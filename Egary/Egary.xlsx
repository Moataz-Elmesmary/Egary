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0"/>
  </bookViews>
  <sheets>
    <sheet sheetId="1" name="2026" state="visible" r:id="rId4"/>
    <sheet sheetId="2" name="ملخص المشاريع" state="visible" r:id="rId5"/>
    <sheet sheetId="3" name="المشاريع" state="visible" r:id="rId6"/>
    <sheet sheetId="4" name="الوحدات" state="visible" r:id="rId7"/>
    <sheet sheetId="5" name="أصول الوحدات" state="visible" r:id="rId8"/>
    <sheet sheetId="6" name="العملاء" state="visible" r:id="rId9"/>
    <sheet sheetId="7" name="العقود" state="visible" r:id="rId10"/>
    <sheet sheetId="8" name="المدفوعات" state="visible" r:id="rId11"/>
    <sheet sheetId="9" name="الصيانة" state="visible" r:id="rId12"/>
    <sheet sheetId="10" name="الإعدادات" state="visible" r:id="rId13"/>
    <sheet sheetId="11" name="سجل التعديلات" state="visible" r:id="rId14"/>
    <sheet sheetId="12" name="المستخدمون" state="hidden" r:id="rId15"/>
  </sheets>
  <calcPr calcId="171027" fullCalcOnLoad="1"/>
</workbook>
</file>

<file path=xl/comments1.xml><?xml version="1.0" encoding="utf-8"?>
<comments xmlns="http://schemas.openxmlformats.org/spreadsheetml/2006/main">
  <authors>
    <author>Author</author>
  </authors>
  <commentList>
    <comment ref="K2" authorId="0">
      <text>
        <r>
          <t>اكتب هنا المبلغ المسدَّد عن الشهر</t>
        </r>
      </text>
    </comment>
    <comment ref="L2" authorId="0">
      <text>
        <r>
          <t>اكتب هنا المبلغ المسدَّد عن الشهر</t>
        </r>
      </text>
    </comment>
    <comment ref="M2" authorId="0">
      <text>
        <r>
          <t>اكتب هنا المبلغ المسدَّد عن الشهر</t>
        </r>
      </text>
    </comment>
    <comment ref="N2" authorId="0">
      <text>
        <r>
          <t>اكتب هنا المبلغ المسدَّد عن الشهر</t>
        </r>
      </text>
    </comment>
    <comment ref="O2" authorId="0">
      <text>
        <r>
          <t>اكتب هنا المبلغ المسدَّد عن الشهر</t>
        </r>
      </text>
    </comment>
    <comment ref="P2" authorId="0">
      <text>
        <r>
          <t>اكتب هنا المبلغ المسدَّد عن الشهر</t>
        </r>
      </text>
    </comment>
    <comment ref="Q2" authorId="0">
      <text>
        <r>
          <t>اكتب هنا المبلغ المسدَّد عن الشهر</t>
        </r>
      </text>
    </comment>
    <comment ref="R2" authorId="0">
      <text>
        <r>
          <t>اكتب هنا المبلغ المسدَّد عن الشهر</t>
        </r>
      </text>
    </comment>
    <comment ref="S2" authorId="0">
      <text>
        <r>
          <t>اكتب هنا المبلغ المسدَّد عن الشهر</t>
        </r>
      </text>
    </comment>
    <comment ref="T2" authorId="0">
      <text>
        <r>
          <t>اكتب هنا المبلغ المسدَّد عن الشهر</t>
        </r>
      </text>
    </comment>
    <comment ref="U2" authorId="0">
      <text>
        <r>
          <t>اكتب هنا المبلغ المسدَّد عن الشهر</t>
        </r>
      </text>
    </comment>
    <comment ref="V2" authorId="0">
      <text>
        <r>
          <t>اكتب هنا المبلغ المسدَّد عن الشهر</t>
        </r>
      </text>
    </comment>
    <comment ref="W2" authorId="0">
      <text>
        <r>
          <t xml:space="preserve">مجموع خانات الشهور — معادلة، لا تكتب هنا
يُحسب تلقائيًا بمعادلة إكسيل من البيانات التي تكتبها، ويتحدّث فورًا مع أي تعديل — لا تكتب هنا؛ البرنامج يعيد كتابته عند كل حفظ.</t>
        </r>
      </text>
    </comment>
    <comment ref="Y2" authorId="0">
      <text>
        <r>
          <t>يعطيه البرنامج تلقائيًا — اتركه فارغًا في صف جديد.</t>
        </r>
      </text>
    </comment>
    <comment ref="Z2" authorId="0">
      <text>
        <r>
          <t>يعطيه البرنامج تلقائيًا — اتركه فارغًا في صف جديد.</t>
        </r>
      </text>
    </comment>
    <comment ref="AA2" authorId="0">
      <text>
        <r>
          <t>يعطيه البرنامج تلقائيًا — اتركه فارغًا في صف جديد.</t>
        </r>
      </text>
    </comment>
    <comment ref="AB2" authorId="0">
      <text>
        <r>
          <t>يعطيه البرنامج تلقائيًا — اتركه فارغًا في صف جديد.</t>
        </r>
      </text>
    </comment>
  </commentList>
</comments>
</file>

<file path=xl/comments2.xml><?xml version="1.0" encoding="utf-8"?>
<comments xmlns="http://schemas.openxmlformats.org/spreadsheetml/2006/main">
  <authors>
    <author>Author</author>
  </authors>
  <commentList>
    <comment ref="B1" authorId="0">
      <text>
        <r>
          <t>يُحسب تلقائيًا بمعادلة إكسيل من البيانات التي تكتبها، ويتحدّث فورًا مع أي تعديل — لا تكتب هنا؛ البرنامج يعيد كتابته عند كل حفظ.</t>
        </r>
      </text>
    </comment>
    <comment ref="C1" authorId="0">
      <text>
        <r>
          <t>يُحسب تلقائيًا بمعادلة إكسيل من البيانات التي تكتبها، ويتحدّث فورًا مع أي تعديل — لا تكتب هنا؛ البرنامج يعيد كتابته عند كل حفظ.</t>
        </r>
      </text>
    </comment>
    <comment ref="D1" authorId="0">
      <text>
        <r>
          <t>يُحسب تلقائيًا بمعادلة إكسيل من البيانات التي تكتبها، ويتحدّث فورًا مع أي تعديل — لا تكتب هنا؛ البرنامج يعيد كتابته عند كل حفظ.</t>
        </r>
      </text>
    </comment>
    <comment ref="E1" authorId="0">
      <text>
        <r>
          <t>يُحسب تلقائيًا بمعادلة إكسيل من البيانات التي تكتبها، ويتحدّث فورًا مع أي تعديل — لا تكتب هنا؛ البرنامج يعيد كتابته عند كل حفظ.</t>
        </r>
      </text>
    </comment>
    <comment ref="F1" authorId="0">
      <text>
        <r>
          <t>يُحسب تلقائيًا بمعادلة إكسيل من البيانات التي تكتبها، ويتحدّث فورًا مع أي تعديل — لا تكتب هنا؛ البرنامج يعيد كتابته عند كل حفظ.</t>
        </r>
      </text>
    </comment>
    <comment ref="G1" authorId="0">
      <text>
        <r>
          <t>يُحسب تلقائيًا بمعادلة إكسيل من البيانات التي تكتبها، ويتحدّث فورًا مع أي تعديل — لا تكتب هنا؛ البرنامج يعيد كتابته عند كل حفظ.</t>
        </r>
      </text>
    </comment>
    <comment ref="H1" authorId="0">
      <text>
        <r>
          <t xml:space="preserve">مجموع «المتأخرات (من البرنامج)» لعقود هذا المشروع من ورقة العقود — يتحدّث عند الحفظ من الموقع.
يحسبه البرنامج ويتحدّث عند الحفظ من الموقع فقط (انظر «آخر كتابة من الموقع» في الإعدادات) — لا يتغيّر وأنت تكتب في الإكسيل؛ لا تكتب هنا.</t>
        </r>
      </text>
    </comment>
    <comment ref="I1" authorId="0">
      <text>
        <r>
          <t>مفتاح معادلات هذا الملخص — يعطيه البرنامج تلقائيًا — اتركه فارغًا في صف جديد.</t>
        </r>
      </text>
    </comment>
  </commentList>
</comments>
</file>

<file path=xl/comments3.xml><?xml version="1.0" encoding="utf-8"?>
<comments xmlns="http://schemas.openxmlformats.org/spreadsheetml/2006/main">
  <authors>
    <author>Author</author>
  </authors>
  <commentList>
    <comment ref="A1" authorId="0">
      <text>
        <r>
          <t>يعطيه البرنامج تلقائيًا — اتركه فارغًا في صف جديد.</t>
        </r>
      </text>
    </comment>
    <comment ref="G1" authorId="0">
      <text>
        <r>
          <t>يُحسب تلقائيًا بمعادلة إكسيل من البيانات التي تكتبها، ويتحدّث فورًا مع أي تعديل — لا تكتب هنا؛ البرنامج يعيد كتابته عند كل حفظ.</t>
        </r>
      </text>
    </comment>
    <comment ref="H1" authorId="0">
      <text>
        <r>
          <t>يُحسب تلقائيًا بمعادلة إكسيل من البيانات التي تكتبها، ويتحدّث فورًا مع أي تعديل — لا تكتب هنا؛ البرنامج يعيد كتابته عند كل حفظ.</t>
        </r>
      </text>
    </comment>
    <comment ref="I1" authorId="0">
      <text>
        <r>
          <t>يُحسب تلقائيًا بمعادلة إكسيل من البيانات التي تكتبها، ويتحدّث فورًا مع أي تعديل — لا تكتب هنا؛ البرنامج يعيد كتابته عند كل حفظ.</t>
        </r>
      </text>
    </comment>
    <comment ref="J1" authorId="0">
      <text>
        <r>
          <t xml:space="preserve">مجموع «المتأخرات (من البرنامج)» لعقود هذا المشروع من ورقة العقود — يتحدّث عند الحفظ من الموقع.
يحسبه البرنامج ويتحدّث عند الحفظ من الموقع فقط (انظر «آخر كتابة من الموقع» في الإعدادات) — لا يتغيّر وأنت تكتب في الإكسيل؛ لا تكتب هنا.</t>
        </r>
      </text>
    </comment>
    <comment ref="K1" authorId="0">
      <text>
        <r>
          <t xml:space="preserve">مجموع عمود «الاجمالي» في ورقة 2026 لعقود هذا المشروع (كل ما سُدِّد عن شهور 2026) — يتحدّث فورًا مع أي مبلغ تكتبه في الورقة.
يُحسب تلقائيًا بمعادلة إكسيل من البيانات التي تكتبها، ويتحدّث فورًا مع أي تعديل — لا تكتب هنا؛ البرنامج يعيد كتابته عند كل حفظ.</t>
        </r>
      </text>
    </comment>
    <comment ref="L1" authorId="0">
      <text>
        <r>
          <t>يُحسب تلقائيًا بمعادلة إكسيل من البيانات التي تكتبها، ويتحدّث فورًا مع أي تعديل — لا تكتب هنا؛ البرنامج يعيد كتابته عند كل حفظ.</t>
        </r>
      </text>
    </comment>
  </commentList>
</comments>
</file>

<file path=xl/comments4.xml><?xml version="1.0" encoding="utf-8"?>
<comments xmlns="http://schemas.openxmlformats.org/spreadsheetml/2006/main">
  <authors>
    <author>Author</author>
  </authors>
  <commentList>
    <comment ref="A1" authorId="0">
      <text>
        <r>
          <t>يعطيه البرنامج تلقائيًا — اتركه فارغًا في صف جديد.</t>
        </r>
      </text>
    </comment>
    <comment ref="B1" authorId="0">
      <text>
        <r>
          <t>كود الربط بالورقة الأخرى: لو كتبته في صف جديد (انسخه من ورقته) تعمل المعادلات فورًا — ولو تركته فارغًا يستنتجه البرنامج من الاسم المجاور عند الحفظ التالي.</t>
        </r>
      </text>
    </comment>
    <comment ref="C1" authorId="0">
      <text>
        <r>
          <t>يُملأ تلقائيًا من الكود — في صف جديد اكتب الاسم هنا لو لم تعرف الكود.</t>
        </r>
      </text>
    </comment>
    <comment ref="J1" authorId="0">
      <text>
        <r>
          <t xml:space="preserve">الأصول الموجودة من ورقة «أصول الوحدات» — عدّلها هناك.
يحسبه البرنامج ويتحدّث عند الحفظ من الموقع فقط (انظر «آخر كتابة من الموقع» في الإعدادات) — لا يتغيّر وأنت تكتب في الإكسيل؛ لا تكتب هنا.</t>
        </r>
      </text>
    </comment>
    <comment ref="K1" authorId="0">
      <text>
        <r>
          <t>يُحسب تلقائيًا بمعادلة إكسيل من البيانات التي تكتبها، ويتحدّث فورًا مع أي تعديل — لا تكتب هنا؛ البرنامج يعيد كتابته عند كل حفظ.</t>
        </r>
      </text>
    </comment>
    <comment ref="L1" authorId="0">
      <text>
        <r>
          <t>يُحسب تلقائيًا بمعادلة إكسيل من البيانات التي تكتبها، ويتحدّث فورًا مع أي تعديل — لا تكتب هنا؛ البرنامج يعيد كتابته عند كل حفظ.</t>
        </r>
      </text>
    </comment>
    <comment ref="M1" authorId="0">
      <text>
        <r>
          <t>يُحسب تلقائيًا بمعادلة إكسيل من البيانات التي تكتبها، ويتحدّث فورًا مع أي تعديل — لا تكتب هنا؛ البرنامج يعيد كتابته عند كل حفظ.</t>
        </r>
      </text>
    </comment>
    <comment ref="N1" authorId="0">
      <text>
        <r>
          <t>يُحسب تلقائيًا بمعادلة إكسيل من البيانات التي تكتبها، ويتحدّث فورًا مع أي تعديل — لا تكتب هنا؛ البرنامج يعيد كتابته عند كل حفظ.</t>
        </r>
      </text>
    </comment>
    <comment ref="O1" authorId="0">
      <text>
        <r>
          <t>يُحسب تلقائيًا بمعادلة إكسيل من البيانات التي تكتبها، ويتحدّث فورًا مع أي تعديل — لا تكتب هنا؛ البرنامج يعيد كتابته عند كل حفظ.</t>
        </r>
      </text>
    </comment>
    <comment ref="P1" authorId="0">
      <text>
        <r>
          <t>يُحسب تلقائيًا بمعادلة إكسيل من البيانات التي تكتبها، ويتحدّث فورًا مع أي تعديل — لا تكتب هنا؛ البرنامج يعيد كتابته عند كل حفظ.</t>
        </r>
      </text>
    </comment>
    <comment ref="Q1" authorId="0">
      <text>
        <r>
          <t>يُحسب تلقائيًا بمعادلة إكسيل من البيانات التي تكتبها، ويتحدّث فورًا مع أي تعديل — لا تكتب هنا؛ البرنامج يعيد كتابته عند كل حفظ.</t>
        </r>
      </text>
    </comment>
    <comment ref="R1" authorId="0">
      <text>
        <r>
          <t>يُحسب تلقائيًا بمعادلة إكسيل من البيانات التي تكتبها، ويتحدّث فورًا مع أي تعديل — لا تكتب هنا؛ البرنامج يعيد كتابته عند كل حفظ.</t>
        </r>
      </text>
    </comment>
  </commentList>
</comments>
</file>

<file path=xl/comments6.xml><?xml version="1.0" encoding="utf-8"?>
<comments xmlns="http://schemas.openxmlformats.org/spreadsheetml/2006/main">
  <authors>
    <author>Author</author>
  </authors>
  <commentList>
    <comment ref="A1" authorId="0">
      <text>
        <r>
          <t>يعطيه البرنامج تلقائيًا — اتركه فارغًا في صف جديد.</t>
        </r>
      </text>
    </comment>
    <comment ref="M1" authorId="0">
      <text>
        <r>
          <t>يُحسب تلقائيًا بمعادلة إكسيل من البيانات التي تكتبها، ويتحدّث فورًا مع أي تعديل — لا تكتب هنا؛ البرنامج يعيد كتابته عند كل حفظ.</t>
        </r>
      </text>
    </comment>
    <comment ref="N1" authorId="0">
      <text>
        <r>
          <t>يُحسب تلقائيًا بمعادلة إكسيل من البيانات التي تكتبها، ويتحدّث فورًا مع أي تعديل — لا تكتب هنا؛ البرنامج يعيد كتابته عند كل حفظ.</t>
        </r>
      </text>
    </comment>
    <comment ref="O1" authorId="0">
      <text>
        <r>
          <t xml:space="preserve">مجموع «المتأخرات (من البرنامج)» لعقود هذا العميل من ورقة العقود — يتحدّث عند الحفظ من الموقع.
يحسبه البرنامج ويتحدّث عند الحفظ من الموقع فقط (انظر «آخر كتابة من الموقع» في الإعدادات) — لا يتغيّر وأنت تكتب في الإكسيل؛ لا تكتب هنا.</t>
        </r>
      </text>
    </comment>
    <comment ref="P1" authorId="0">
      <text>
        <r>
          <t>يُحسب تلقائيًا بمعادلة إكسيل من البيانات التي تكتبها، ويتحدّث فورًا مع أي تعديل — لا تكتب هنا؛ البرنامج يعيد كتابته عند كل حفظ.</t>
        </r>
      </text>
    </comment>
  </commentList>
</comments>
</file>

<file path=xl/comments7.xml><?xml version="1.0" encoding="utf-8"?>
<comments xmlns="http://schemas.openxmlformats.org/spreadsheetml/2006/main">
  <authors>
    <author>Author</author>
  </authors>
  <commentList>
    <comment ref="A1" authorId="0">
      <text>
        <r>
          <t>يعطيه البرنامج تلقائيًا — اتركه فارغًا في صف جديد.</t>
        </r>
      </text>
    </comment>
    <comment ref="B1" authorId="0">
      <text>
        <r>
          <t>كود الربط بالورقة الأخرى: لو كتبته في صف جديد (انسخه من ورقته) تعمل المعادلات فورًا — ولو تركته فارغًا يستنتجه البرنامج من الاسم المجاور عند الحفظ التالي.</t>
        </r>
      </text>
    </comment>
    <comment ref="C1" authorId="0">
      <text>
        <r>
          <t>كود الربط بالورقة الأخرى: لو كتبته في صف جديد (انسخه من ورقته) تعمل المعادلات فورًا — ولو تركته فارغًا يستنتجه البرنامج من الاسم المجاور عند الحفظ التالي.</t>
        </r>
      </text>
    </comment>
    <comment ref="D1" authorId="0">
      <text>
        <r>
          <t>يُملأ تلقائيًا من الكود — في صف جديد اكتب الاسم هنا لو لم تعرف الكود.</t>
        </r>
      </text>
    </comment>
    <comment ref="E1" authorId="0">
      <text>
        <r>
          <t>يُملأ تلقائيًا من الكود — في صف جديد اكتب الاسم هنا لو لم تعرف الكود.</t>
        </r>
      </text>
    </comment>
    <comment ref="F1" authorId="0">
      <text>
        <r>
          <t>يُملأ تلقائيًا من الكود — في صف جديد اكتب الاسم هنا لو لم تعرف الكود.</t>
        </r>
      </text>
    </comment>
    <comment ref="J1" authorId="0">
      <text>
        <r>
          <t>10 = عشرة بالمئة (لا تكتب %)</t>
        </r>
      </text>
    </comment>
    <comment ref="K1" authorId="0">
      <text>
        <r>
          <t>مثال: 2:83600; 3:91960 (سنة العقد:الإيجار)</t>
        </r>
      </text>
    </comment>
    <comment ref="T1" authorId="0">
      <text>
        <r>
          <t>يُحسب تلقائيًا بمعادلة إكسيل من البيانات التي تكتبها، ويتحدّث فورًا مع أي تعديل — لا تكتب هنا؛ البرنامج يعيد كتابته عند كل حفظ.</t>
        </r>
      </text>
    </comment>
    <comment ref="U1" authorId="0">
      <text>
        <r>
          <t xml:space="preserve">إيجار سنة العقد الحالية من أعمدة «إيجار السنة …» (العقود الأطول من 10 سنوات تأخذ رقم البرنامج حتى الحفظ التالي).
يُحسب تلقائيًا بمعادلة إكسيل من البيانات التي تكتبها، ويتحدّث فورًا مع أي تعديل — لا تكتب هنا؛ البرنامج يعيد كتابته عند كل حفظ.</t>
        </r>
      </text>
    </comment>
    <comment ref="V1" authorId="0">
      <text>
        <r>
          <t xml:space="preserve">مجموع كل ما سُجِّل لهذا العقد في ورقة المدفوعات (حتى الصفوف التي شهرها غير مقروء، وهي ملوَّنة بالأحمر هناك ولا يحتسبها البرنامج حتى تُصحَّح).
يُحسب تلقائيًا بمعادلة إكسيل من البيانات التي تكتبها، ويتحدّث فورًا مع أي تعديل — لا تكتب هنا؛ البرنامج يعيد كتابته عند كل حفظ.</t>
        </r>
      </text>
    </comment>
    <comment ref="W1" authorId="0">
      <text>
        <r>
          <t xml:space="preserve">المستحق غير المسدَّد حتى آخر شهر مسجَّل، بعد أيام السماح والفرق المقبول — يحسبه البرنامج عند الحفظ من الموقع.
يحسبه البرنامج ويتحدّث عند الحفظ من الموقع فقط (انظر «آخر كتابة من الموقع» في الإعدادات) — لا يتغيّر وأنت تكتب في الإكسيل؛ لا تكتب هنا.</t>
        </r>
      </text>
    </comment>
    <comment ref="X1" authorId="0">
      <text>
        <r>
          <t>يُحسب تلقائيًا بمعادلة إكسيل من البيانات التي تكتبها، ويتحدّث فورًا مع أي تعديل — لا تكتب هنا؛ البرنامج يعيد كتابته عند كل حفظ.</t>
        </r>
      </text>
    </comment>
    <comment ref="Y1" authorId="0">
      <text>
        <r>
          <t xml:space="preserve">كود مشروع الوحدة — مفتاح تستخدمه معادلات المشاريع وملخص المشاريع.
يُحسب تلقائيًا بمعادلة إكسيل من البيانات التي تكتبها، ويتحدّث فورًا مع أي تعديل — لا تكتب هنا؛ البرنامج يعيد كتابته عند كل حفظ.</t>
        </r>
      </text>
    </comment>
    <comment ref="Z1" authorId="0">
      <text>
        <r>
          <t>يُحسب تلقائيًا بمعادلة إكسيل من البيانات التي تكتبها، ويتحدّث فورًا مع أي تعديل — لا تكتب هنا؛ البرنامج يعيد كتابته عند كل حفظ.</t>
        </r>
      </text>
    </comment>
    <comment ref="AA1" authorId="0">
      <text>
        <r>
          <t>يُحسب تلقائيًا بمعادلة إكسيل من البيانات التي تكتبها، ويتحدّث فورًا مع أي تعديل — لا تكتب هنا؛ البرنامج يعيد كتابته عند كل حفظ.</t>
        </r>
      </text>
    </comment>
    <comment ref="AB1" authorId="0">
      <text>
        <r>
          <t>يُحسب تلقائيًا بمعادلة إكسيل من البيانات التي تكتبها، ويتحدّث فورًا مع أي تعديل — لا تكتب هنا؛ البرنامج يعيد كتابته عند كل حفظ.</t>
        </r>
      </text>
    </comment>
    <comment ref="AC1" authorId="0">
      <text>
        <r>
          <t>يُحسب تلقائيًا بمعادلة إكسيل من البيانات التي تكتبها، ويتحدّث فورًا مع أي تعديل — لا تكتب هنا؛ البرنامج يعيد كتابته عند كل حفظ.</t>
        </r>
      </text>
    </comment>
    <comment ref="AD1" authorId="0">
      <text>
        <r>
          <t>يُحسب تلقائيًا بمعادلة إكسيل من البيانات التي تكتبها، ويتحدّث فورًا مع أي تعديل — لا تكتب هنا؛ البرنامج يعيد كتابته عند كل حفظ.</t>
        </r>
      </text>
    </comment>
    <comment ref="AE1" authorId="0">
      <text>
        <r>
          <t>يُحسب تلقائيًا بمعادلة إكسيل من البيانات التي تكتبها، ويتحدّث فورًا مع أي تعديل — لا تكتب هنا؛ البرنامج يعيد كتابته عند كل حفظ.</t>
        </r>
      </text>
    </comment>
    <comment ref="AF1" authorId="0">
      <text>
        <r>
          <t>يُحسب تلقائيًا بمعادلة إكسيل من البيانات التي تكتبها، ويتحدّث فورًا مع أي تعديل — لا تكتب هنا؛ البرنامج يعيد كتابته عند كل حفظ.</t>
        </r>
      </text>
    </comment>
    <comment ref="AG1" authorId="0">
      <text>
        <r>
          <t>يُحسب تلقائيًا بمعادلة إكسيل من البيانات التي تكتبها، ويتحدّث فورًا مع أي تعديل — لا تكتب هنا؛ البرنامج يعيد كتابته عند كل حفظ.</t>
        </r>
      </text>
    </comment>
    <comment ref="AH1" authorId="0">
      <text>
        <r>
          <t>يُحسب تلقائيًا بمعادلة إكسيل من البيانات التي تكتبها، ويتحدّث فورًا مع أي تعديل — لا تكتب هنا؛ البرنامج يعيد كتابته عند كل حفظ.</t>
        </r>
      </text>
    </comment>
    <comment ref="AI1" authorId="0">
      <text>
        <r>
          <t>يُحسب تلقائيًا بمعادلة إكسيل من البيانات التي تكتبها، ويتحدّث فورًا مع أي تعديل — لا تكتب هنا؛ البرنامج يعيد كتابته عند كل حفظ.</t>
        </r>
      </text>
    </comment>
    <comment ref="AJ1" authorId="0">
      <text>
        <r>
          <t>يُحسب تلقائيًا بمعادلة إكسيل من البيانات التي تكتبها، ويتحدّث فورًا مع أي تعديل — لا تكتب هنا؛ البرنامج يعيد كتابته عند كل حفظ.</t>
        </r>
      </text>
    </comment>
    <comment ref="AK1" authorId="0">
      <text>
        <r>
          <t>يُحسب تلقائيًا بمعادلة إكسيل من البيانات التي تكتبها، ويتحدّث فورًا مع أي تعديل — لا تكتب هنا؛ البرنامج يعيد كتابته عند كل حفظ.</t>
        </r>
      </text>
    </comment>
    <comment ref="AL1" authorId="0">
      <text>
        <r>
          <t>يُحسب تلقائيًا بمعادلة إكسيل من البيانات التي تكتبها، ويتحدّث فورًا مع أي تعديل — لا تكتب هنا؛ البرنامج يعيد كتابته عند كل حفظ.</t>
        </r>
      </text>
    </comment>
    <comment ref="AM1" authorId="0">
      <text>
        <r>
          <t>يُحسب تلقائيًا بمعادلة إكسيل من البيانات التي تكتبها، ويتحدّث فورًا مع أي تعديل — لا تكتب هنا؛ البرنامج يعيد كتابته عند كل حفظ.</t>
        </r>
      </text>
    </comment>
    <comment ref="AN1" authorId="0">
      <text>
        <r>
          <t>عمود مساعد للمعادلات — لا تعدّله ولا تحذفه.</t>
        </r>
      </text>
    </comment>
    <comment ref="AO1" authorId="0">
      <text>
        <r>
          <t>عمود مساعد للمعادلات — لا تعدّله ولا تحذفه.</t>
        </r>
      </text>
    </comment>
  </commentList>
</comments>
</file>

<file path=xl/comments8.xml><?xml version="1.0" encoding="utf-8"?>
<comments xmlns="http://schemas.openxmlformats.org/spreadsheetml/2006/main">
  <authors>
    <author>Author</author>
  </authors>
  <commentList>
    <comment ref="A1" authorId="0">
      <text>
        <r>
          <t>يعطيه البرنامج تلقائيًا — اتركه فارغًا في صف جديد.</t>
        </r>
      </text>
    </comment>
    <comment ref="B1" authorId="0">
      <text>
        <r>
          <t>كود الربط بالورقة الأخرى: لو كتبته في صف جديد (انسخه من ورقته) تعمل المعادلات فورًا — ولو تركته فارغًا يستنتجه البرنامج من الاسم المجاور عند الحفظ التالي.</t>
        </r>
      </text>
    </comment>
    <comment ref="C1" authorId="0">
      <text>
        <r>
          <t>يُملأ من كود العقد — لو لا تعرف الكود اكتب اسم العميل هنا.</t>
        </r>
      </text>
    </comment>
    <comment ref="D1" authorId="0">
      <text>
        <r>
          <t>يُملأ تلقائيًا من الكود — في صف جديد اكتب الاسم هنا لو لم تعرف الكود.</t>
        </r>
      </text>
    </comment>
    <comment ref="M1" authorId="0">
      <text>
        <r>
          <t>يُحسب تلقائيًا بمعادلة إكسيل من البيانات التي تكتبها، ويتحدّث فورًا مع أي تعديل — لا تكتب هنا؛ البرنامج يعيد كتابته عند كل حفظ.</t>
        </r>
      </text>
    </comment>
  </commentList>
</comments>
</file>

<file path=xl/comments9.xml><?xml version="1.0" encoding="utf-8"?>
<comments xmlns="http://schemas.openxmlformats.org/spreadsheetml/2006/main">
  <authors>
    <author>Author</author>
  </authors>
  <commentList>
    <comment ref="A1" authorId="0">
      <text>
        <r>
          <t>يعطيه البرنامج تلقائيًا — اتركه فارغًا في صف جديد.</t>
        </r>
      </text>
    </comment>
    <comment ref="B1" authorId="0">
      <text>
        <r>
          <t>كود الربط بالورقة الأخرى: لو كتبته في صف جديد (انسخه من ورقته) تعمل المعادلات فورًا — ولو تركته فارغًا يستنتجه البرنامج من الاسم المجاور عند الحفظ التالي.</t>
        </r>
      </text>
    </comment>
    <comment ref="C1" authorId="0">
      <text>
        <r>
          <t>يُملأ تلقائيًا من الكود — في صف جديد اكتب الاسم هنا لو لم تعرف الكود.</t>
        </r>
      </text>
    </comment>
    <comment ref="D1" authorId="0">
      <text>
        <r>
          <t>يُملأ تلقائيًا من الكود — في صف جديد اكتب الاسم هنا لو لم تعرف الكود.</t>
        </r>
      </text>
    </comment>
    <comment ref="N1" authorId="0">
      <text>
        <r>
          <t>اكتبه فقط لو أردت تثبيت العقد يدويًا — وإلا يُستنتج في «العقد وقت الصيانة».</t>
        </r>
      </text>
    </comment>
    <comment ref="O1" authorId="0">
      <text>
        <r>
          <t>اكتبه فقط لو أردت تثبيت المستأجر يدويًا — وإلا يُستنتج في «المستأجر وقت الصيانة».</t>
        </r>
      </text>
    </comment>
    <comment ref="P1" authorId="0">
      <text>
        <r>
          <t>يُحسب تلقائيًا بمعادلة إكسيل من البيانات التي تكتبها، ويتحدّث فورًا مع أي تعديل — لا تكتب هنا؛ البرنامج يعيد كتابته عند كل حفظ.</t>
        </r>
      </text>
    </comment>
    <comment ref="Q1" authorId="0">
      <text>
        <r>
          <t>يُحسب تلقائيًا بمعادلة إكسيل من البيانات التي تكتبها، ويتحدّث فورًا مع أي تعديل — لا تكتب هنا؛ البرنامج يعيد كتابته عند كل حفظ.</t>
        </r>
      </text>
    </comment>
  </commentList>
</comments>
</file>

<file path=xl/comments10.xml><?xml version="1.0" encoding="utf-8"?>
<comments xmlns="http://schemas.openxmlformats.org/spreadsheetml/2006/main">
  <authors>
    <author>Author</author>
  </authors>
  <commentList>
    <comment ref="B9" authorId="0">
      <text>
        <r>
          <t>يحسبه البرنامج ويتحدّث عند الحفظ من الموقع فقط (انظر «آخر كتابة من الموقع» في الإعدادات) — لا يتغيّر وأنت تكتب في الإكسيل؛ لا تكتب هنا.</t>
        </r>
      </text>
    </comment>
  </commentList>
</comments>
</file>

<file path=xl/sharedStrings.xml><?xml version="1.0" encoding="utf-8"?>
<sst xmlns="http://schemas.openxmlformats.org/spreadsheetml/2006/main" count="6756" uniqueCount="1224">
  <si>
    <t>إيجاري</t>
  </si>
  <si>
    <t>2026</t>
  </si>
  <si>
    <t>م</t>
  </si>
  <si>
    <t>المشروع</t>
  </si>
  <si>
    <t>الاسم</t>
  </si>
  <si>
    <t>الممثل القانوني</t>
  </si>
  <si>
    <t>الوحدة</t>
  </si>
  <si>
    <t>العنوان</t>
  </si>
  <si>
    <t>العقد من</t>
  </si>
  <si>
    <t>العقد الى</t>
  </si>
  <si>
    <t>تسجيل ضريبي</t>
  </si>
  <si>
    <t>الرقم القومي / الباسبور</t>
  </si>
  <si>
    <t>يناير</t>
  </si>
  <si>
    <t>فبراير</t>
  </si>
  <si>
    <t>مارس</t>
  </si>
  <si>
    <t>ابريل</t>
  </si>
  <si>
    <t>مايو</t>
  </si>
  <si>
    <t>يونيو</t>
  </si>
  <si>
    <t>يوليو</t>
  </si>
  <si>
    <t>اغسطس</t>
  </si>
  <si>
    <t>سبتمبر</t>
  </si>
  <si>
    <t>اكتوبر</t>
  </si>
  <si>
    <t>نوفمبر</t>
  </si>
  <si>
    <t>ديسمبر</t>
  </si>
  <si>
    <t>الاجمالي</t>
  </si>
  <si>
    <t>ملاحظات</t>
  </si>
  <si>
    <t>كود العقد</t>
  </si>
  <si>
    <t>كود الوحدة</t>
  </si>
  <si>
    <t>كود العميل</t>
  </si>
  <si>
    <t>كود المشروع</t>
  </si>
  <si>
    <t>بابل</t>
  </si>
  <si>
    <t>عمرو أيمن زكي</t>
  </si>
  <si>
    <t>باسم رامي عبد الرحمن</t>
  </si>
  <si>
    <t>محل</t>
  </si>
  <si>
    <t>شارع بابل الدقي 39</t>
  </si>
  <si>
    <t/>
  </si>
  <si>
    <t>25138731744548</t>
  </si>
  <si>
    <t>T0001</t>
  </si>
  <si>
    <t>P01-S1</t>
  </si>
  <si>
    <t>C001</t>
  </si>
  <si>
    <t>P01</t>
  </si>
  <si>
    <t>شركة البركة للمقاولات</t>
  </si>
  <si>
    <t>عادل باسم عابدين</t>
  </si>
  <si>
    <t>20876376398458</t>
  </si>
  <si>
    <t>T0002</t>
  </si>
  <si>
    <t>P01-S2</t>
  </si>
  <si>
    <t>C002</t>
  </si>
  <si>
    <t>شركة الأفق لتكنولوجيا المعلومات</t>
  </si>
  <si>
    <t>سامح يوسف نصار</t>
  </si>
  <si>
    <t>ميزان 1/2</t>
  </si>
  <si>
    <t>613-789-568</t>
  </si>
  <si>
    <t>26161169066883</t>
  </si>
  <si>
    <t>T0003</t>
  </si>
  <si>
    <t>P01-M1-2</t>
  </si>
  <si>
    <t>C003</t>
  </si>
  <si>
    <t>شركة النور للإنتاج الفني</t>
  </si>
  <si>
    <t>نهى علي فوزي</t>
  </si>
  <si>
    <t>ميزان 3</t>
  </si>
  <si>
    <t>P95142580</t>
  </si>
  <si>
    <t>T0004</t>
  </si>
  <si>
    <t>P01-M3</t>
  </si>
  <si>
    <t>C004</t>
  </si>
  <si>
    <t>الدور الثاني</t>
  </si>
  <si>
    <t>T0005</t>
  </si>
  <si>
    <t>P01-F2</t>
  </si>
  <si>
    <t>شركة الأمل للاستشارات الهندسية</t>
  </si>
  <si>
    <t>أحمد ياسر منصور</t>
  </si>
  <si>
    <t>مكتب 42</t>
  </si>
  <si>
    <t>644-353-356</t>
  </si>
  <si>
    <t>28134981129635</t>
  </si>
  <si>
    <t>T0006</t>
  </si>
  <si>
    <t>P01-O42</t>
  </si>
  <si>
    <t>C005</t>
  </si>
  <si>
    <t>عمرو إبراهيم فوزي</t>
  </si>
  <si>
    <t>مكتب 61</t>
  </si>
  <si>
    <t>23761205972580</t>
  </si>
  <si>
    <t>T0007</t>
  </si>
  <si>
    <t>P01-O61</t>
  </si>
  <si>
    <t>C006</t>
  </si>
  <si>
    <t>محيي الدين</t>
  </si>
  <si>
    <t>شركة المستقبل للتدريب</t>
  </si>
  <si>
    <t>مروان خالد بدوي</t>
  </si>
  <si>
    <t>ميزان 1</t>
  </si>
  <si>
    <t>شارع محيي الدين ابو العز 30</t>
  </si>
  <si>
    <t>979-738-984</t>
  </si>
  <si>
    <t>28108914237679</t>
  </si>
  <si>
    <t>T0008</t>
  </si>
  <si>
    <t>P02-M1</t>
  </si>
  <si>
    <t>C007</t>
  </si>
  <si>
    <t>P02</t>
  </si>
  <si>
    <t>شركة الياسمين للتجارة</t>
  </si>
  <si>
    <t>ياسر محمد رشاد</t>
  </si>
  <si>
    <t>ميزان 2</t>
  </si>
  <si>
    <t>738-017-798</t>
  </si>
  <si>
    <t>21743589223868</t>
  </si>
  <si>
    <t>T0009</t>
  </si>
  <si>
    <t>P02-M2</t>
  </si>
  <si>
    <t>C008</t>
  </si>
  <si>
    <t>شركة الأفق للاستيراد والتصدير</t>
  </si>
  <si>
    <t>أمير فادي منصور</t>
  </si>
  <si>
    <t>202</t>
  </si>
  <si>
    <t>829-102-559</t>
  </si>
  <si>
    <t>N956207298</t>
  </si>
  <si>
    <t>T0010</t>
  </si>
  <si>
    <t>P02-202</t>
  </si>
  <si>
    <t>C009</t>
  </si>
  <si>
    <t>شريف هشام فوزي</t>
  </si>
  <si>
    <t>301</t>
  </si>
  <si>
    <t>26443030301781</t>
  </si>
  <si>
    <t>فترة سابقة لنفس المستأجر مستنتجة من الورقة (البداية الحقيقية غير معروفة — افتُرضت 01/01/2026)</t>
  </si>
  <si>
    <t>T0074</t>
  </si>
  <si>
    <t>P02-301</t>
  </si>
  <si>
    <t>C010</t>
  </si>
  <si>
    <t>T0011</t>
  </si>
  <si>
    <t>د/ باسم أمير سليم</t>
  </si>
  <si>
    <t>302</t>
  </si>
  <si>
    <t>23152474861518</t>
  </si>
  <si>
    <t>T0075</t>
  </si>
  <si>
    <t>P02-302</t>
  </si>
  <si>
    <t>C011</t>
  </si>
  <si>
    <t>T0012</t>
  </si>
  <si>
    <t>شركة الصفوة للإنتاج الفني</t>
  </si>
  <si>
    <t>خالد يوسف شاكر</t>
  </si>
  <si>
    <t>303</t>
  </si>
  <si>
    <t>963-271-933</t>
  </si>
  <si>
    <t>23918025447827</t>
  </si>
  <si>
    <t>T0013</t>
  </si>
  <si>
    <t>P02-303</t>
  </si>
  <si>
    <t>C012</t>
  </si>
  <si>
    <t>304</t>
  </si>
  <si>
    <t>T0014</t>
  </si>
  <si>
    <t>P02-304</t>
  </si>
  <si>
    <t>د/ يوسف حسن مكرم</t>
  </si>
  <si>
    <t>خالد نادر الجندي</t>
  </si>
  <si>
    <t>401</t>
  </si>
  <si>
    <t>27097993904905</t>
  </si>
  <si>
    <t>T0015</t>
  </si>
  <si>
    <t>P02-401</t>
  </si>
  <si>
    <t>C013</t>
  </si>
  <si>
    <t>د/ فادي سعيد منصور</t>
  </si>
  <si>
    <t>أيمن حسين عبد الرحمن</t>
  </si>
  <si>
    <t>404</t>
  </si>
  <si>
    <t>20471368514380</t>
  </si>
  <si>
    <t>T0016</t>
  </si>
  <si>
    <t>P02-404</t>
  </si>
  <si>
    <t>C014</t>
  </si>
  <si>
    <t>د/ رضوى خالد عبد الرحمن</t>
  </si>
  <si>
    <t>502</t>
  </si>
  <si>
    <t>25947450186407</t>
  </si>
  <si>
    <t>T0017</t>
  </si>
  <si>
    <t>P02-502</t>
  </si>
  <si>
    <t>C015</t>
  </si>
  <si>
    <t>د/ آية أيمن بدوي</t>
  </si>
  <si>
    <t>هالة إبراهيم سليم</t>
  </si>
  <si>
    <t>503</t>
  </si>
  <si>
    <t>22497066998665</t>
  </si>
  <si>
    <t>T0018</t>
  </si>
  <si>
    <t>P02-503</t>
  </si>
  <si>
    <t>C016</t>
  </si>
  <si>
    <t>محمد سعيد عبد الرحمن</t>
  </si>
  <si>
    <t>504</t>
  </si>
  <si>
    <t>26334081585080</t>
  </si>
  <si>
    <t>T0019</t>
  </si>
  <si>
    <t>P02-504</t>
  </si>
  <si>
    <t>C017</t>
  </si>
  <si>
    <t>ابو بكر</t>
  </si>
  <si>
    <t>شركة الأمل للإنتاج الفني</t>
  </si>
  <si>
    <t>حسين إبراهيم حسنين</t>
  </si>
  <si>
    <t>شارع ابو بكر الصديق 3</t>
  </si>
  <si>
    <t>554-940-596</t>
  </si>
  <si>
    <t>21677613365039</t>
  </si>
  <si>
    <t>T0020</t>
  </si>
  <si>
    <t>P03-M1</t>
  </si>
  <si>
    <t>C018</t>
  </si>
  <si>
    <t>P03</t>
  </si>
  <si>
    <t>شركة النور للاستشارات الهندسية</t>
  </si>
  <si>
    <t>024-154-399</t>
  </si>
  <si>
    <t>T0021</t>
  </si>
  <si>
    <t>P03-M2</t>
  </si>
  <si>
    <t>C019</t>
  </si>
  <si>
    <t>عادل عمر مكرم</t>
  </si>
  <si>
    <t>102</t>
  </si>
  <si>
    <t>P67585839</t>
  </si>
  <si>
    <t>T0076</t>
  </si>
  <si>
    <t>P03-102</t>
  </si>
  <si>
    <t>C020</t>
  </si>
  <si>
    <t>T0022</t>
  </si>
  <si>
    <t>تامر علي بدوي</t>
  </si>
  <si>
    <t>103</t>
  </si>
  <si>
    <t>21316304221599</t>
  </si>
  <si>
    <t>T0023</t>
  </si>
  <si>
    <t>P03-103</t>
  </si>
  <si>
    <t>C021</t>
  </si>
  <si>
    <t>مروان محمود حسنين</t>
  </si>
  <si>
    <t>104</t>
  </si>
  <si>
    <t>X488802</t>
  </si>
  <si>
    <t>T0077</t>
  </si>
  <si>
    <t>P03-104</t>
  </si>
  <si>
    <t>C022</t>
  </si>
  <si>
    <t>T0024</t>
  </si>
  <si>
    <t>105</t>
  </si>
  <si>
    <t>T0078</t>
  </si>
  <si>
    <t>P03-105</t>
  </si>
  <si>
    <t>T0025</t>
  </si>
  <si>
    <t>حسين أمير بدوي</t>
  </si>
  <si>
    <t>106</t>
  </si>
  <si>
    <t>29005091319585</t>
  </si>
  <si>
    <t>T0026</t>
  </si>
  <si>
    <t>P03-106</t>
  </si>
  <si>
    <t>C023</t>
  </si>
  <si>
    <t>107</t>
  </si>
  <si>
    <t>T0079</t>
  </si>
  <si>
    <t>P03-107</t>
  </si>
  <si>
    <t>T0027</t>
  </si>
  <si>
    <t>108</t>
  </si>
  <si>
    <t>T0080</t>
  </si>
  <si>
    <t>P03-108</t>
  </si>
  <si>
    <t>T0028</t>
  </si>
  <si>
    <t>شركة الأفق للتدريب</t>
  </si>
  <si>
    <t>رضوى أيمن البنا</t>
  </si>
  <si>
    <t>201</t>
  </si>
  <si>
    <t>24376235169264</t>
  </si>
  <si>
    <t>T0029</t>
  </si>
  <si>
    <t>P03-201</t>
  </si>
  <si>
    <t>C024</t>
  </si>
  <si>
    <t>د/ نادر شريف شاكر</t>
  </si>
  <si>
    <t>هاني فادي الشريف</t>
  </si>
  <si>
    <t>23662595948884</t>
  </si>
  <si>
    <t>T0030</t>
  </si>
  <si>
    <t>P03-202</t>
  </si>
  <si>
    <t>C025</t>
  </si>
  <si>
    <t>د/ يوسف خالد الخولي</t>
  </si>
  <si>
    <t>علي عمرو غانم</t>
  </si>
  <si>
    <t>204</t>
  </si>
  <si>
    <t>27385486153673</t>
  </si>
  <si>
    <t>T0031</t>
  </si>
  <si>
    <t>P03-204</t>
  </si>
  <si>
    <t>C026</t>
  </si>
  <si>
    <t>د/ عمر باسم رزق</t>
  </si>
  <si>
    <t>طارق حسن زكي</t>
  </si>
  <si>
    <t>21773257847648</t>
  </si>
  <si>
    <t>T0032</t>
  </si>
  <si>
    <t>C027</t>
  </si>
  <si>
    <t>أحمد عمرو سليم</t>
  </si>
  <si>
    <t>205</t>
  </si>
  <si>
    <t>N669822642</t>
  </si>
  <si>
    <t>T0033</t>
  </si>
  <si>
    <t>P03-205</t>
  </si>
  <si>
    <t>C028</t>
  </si>
  <si>
    <t>شركة النخبة للتجارة</t>
  </si>
  <si>
    <t>آية سامح غانم</t>
  </si>
  <si>
    <t>206</t>
  </si>
  <si>
    <t>21663141681918</t>
  </si>
  <si>
    <t>T0034</t>
  </si>
  <si>
    <t>P03-206</t>
  </si>
  <si>
    <t>C029</t>
  </si>
  <si>
    <t>د/ رنا هشام رزق</t>
  </si>
  <si>
    <t>شيماء عادل البنا</t>
  </si>
  <si>
    <t>207</t>
  </si>
  <si>
    <t>P59909132</t>
  </si>
  <si>
    <t>T0035</t>
  </si>
  <si>
    <t>P03-207</t>
  </si>
  <si>
    <t>C030</t>
  </si>
  <si>
    <t>شركة النخبة للإنتاج الفني</t>
  </si>
  <si>
    <t>نادر فادي حجازي</t>
  </si>
  <si>
    <t>208</t>
  </si>
  <si>
    <t>007-132-345</t>
  </si>
  <si>
    <t>26108998543202</t>
  </si>
  <si>
    <t>T0036</t>
  </si>
  <si>
    <t>P03-208</t>
  </si>
  <si>
    <t>C031</t>
  </si>
  <si>
    <t>أحمد طارق غانم</t>
  </si>
  <si>
    <t>25580455031010</t>
  </si>
  <si>
    <t>T0037</t>
  </si>
  <si>
    <t>P03-301</t>
  </si>
  <si>
    <t>C032</t>
  </si>
  <si>
    <t>خالد شريف زكي</t>
  </si>
  <si>
    <t>402-661-896</t>
  </si>
  <si>
    <t>27848778987415</t>
  </si>
  <si>
    <t>T0038</t>
  </si>
  <si>
    <t>P03-302</t>
  </si>
  <si>
    <t>C033</t>
  </si>
  <si>
    <t>T0039</t>
  </si>
  <si>
    <t>P03-303</t>
  </si>
  <si>
    <t>مصطفى عمر صبري</t>
  </si>
  <si>
    <t>B06893415</t>
  </si>
  <si>
    <t>T0040</t>
  </si>
  <si>
    <t>P03-304</t>
  </si>
  <si>
    <t>C034</t>
  </si>
  <si>
    <t>ندى محمد البنا</t>
  </si>
  <si>
    <t>P28116896</t>
  </si>
  <si>
    <t>T0041</t>
  </si>
  <si>
    <t>C035</t>
  </si>
  <si>
    <t>شركة النور للخدمات الطبية</t>
  </si>
  <si>
    <t>محمود كريم حسنين</t>
  </si>
  <si>
    <t>305</t>
  </si>
  <si>
    <t>321-202-991</t>
  </si>
  <si>
    <t>24268072855091</t>
  </si>
  <si>
    <t>T0042</t>
  </si>
  <si>
    <t>P03-305</t>
  </si>
  <si>
    <t>C036</t>
  </si>
  <si>
    <t>سامح إبراهيم منصور</t>
  </si>
  <si>
    <t>306</t>
  </si>
  <si>
    <t>24713627349793</t>
  </si>
  <si>
    <t>T0043</t>
  </si>
  <si>
    <t>P03-306</t>
  </si>
  <si>
    <t>C037</t>
  </si>
  <si>
    <t>د/ منى أمير الشريف</t>
  </si>
  <si>
    <t>نهى حسين رزق</t>
  </si>
  <si>
    <t>307</t>
  </si>
  <si>
    <t>22015390430484</t>
  </si>
  <si>
    <t>T0044</t>
  </si>
  <si>
    <t>P03-307</t>
  </si>
  <si>
    <t>C038</t>
  </si>
  <si>
    <t>شركة الأمل للخدمات الطبية</t>
  </si>
  <si>
    <t>هالة فادي رزق</t>
  </si>
  <si>
    <t>285-771-688</t>
  </si>
  <si>
    <t>24576316942942</t>
  </si>
  <si>
    <t>T0045</t>
  </si>
  <si>
    <t>P03-401</t>
  </si>
  <si>
    <t>C039</t>
  </si>
  <si>
    <t>شركة البركة للتدريب</t>
  </si>
  <si>
    <t>تامر محمد عبد الرحمن</t>
  </si>
  <si>
    <t>403</t>
  </si>
  <si>
    <t>P32014397</t>
  </si>
  <si>
    <t>T0046</t>
  </si>
  <si>
    <t>P03-403</t>
  </si>
  <si>
    <t>C040</t>
  </si>
  <si>
    <t>آية محمود بدوي</t>
  </si>
  <si>
    <t>28845924107212</t>
  </si>
  <si>
    <t>T0081</t>
  </si>
  <si>
    <t>P03-404</t>
  </si>
  <si>
    <t>C041</t>
  </si>
  <si>
    <t>T0047</t>
  </si>
  <si>
    <t>شركة الأصيل للإنتاج الفني</t>
  </si>
  <si>
    <t>طارق تامر فهمي</t>
  </si>
  <si>
    <t>405</t>
  </si>
  <si>
    <t>X7515985</t>
  </si>
  <si>
    <t>T0082</t>
  </si>
  <si>
    <t>P03-405</t>
  </si>
  <si>
    <t>C042</t>
  </si>
  <si>
    <t>T0048</t>
  </si>
  <si>
    <t>شركة البركة للاستشارات الهندسية</t>
  </si>
  <si>
    <t>مصطفى إبراهيم صبري</t>
  </si>
  <si>
    <t>406</t>
  </si>
  <si>
    <t>P77226406</t>
  </si>
  <si>
    <t>T0049</t>
  </si>
  <si>
    <t>P03-406</t>
  </si>
  <si>
    <t>C043</t>
  </si>
  <si>
    <t>شركة الهرم لتكنولوجيا المعلومات</t>
  </si>
  <si>
    <t>407</t>
  </si>
  <si>
    <t>269-105-006</t>
  </si>
  <si>
    <t>الإجمالي في الورقة 115,500 لكن الشهور مجموعها 132,000 - راجع الأصل</t>
  </si>
  <si>
    <t>T0050</t>
  </si>
  <si>
    <t>P03-407</t>
  </si>
  <si>
    <t>C044</t>
  </si>
  <si>
    <t>مصطفى وليد الجندي</t>
  </si>
  <si>
    <t>408</t>
  </si>
  <si>
    <t>20494595375850</t>
  </si>
  <si>
    <t>T0051</t>
  </si>
  <si>
    <t>P03-408</t>
  </si>
  <si>
    <t>C045</t>
  </si>
  <si>
    <t>شركة الياسمين للتسويق</t>
  </si>
  <si>
    <t>رضوى هاني الخولي</t>
  </si>
  <si>
    <t>501</t>
  </si>
  <si>
    <t>29181560770972</t>
  </si>
  <si>
    <t>T0052</t>
  </si>
  <si>
    <t>P03-501</t>
  </si>
  <si>
    <t>C046</t>
  </si>
  <si>
    <t>T0053</t>
  </si>
  <si>
    <t>P03-502</t>
  </si>
  <si>
    <t>إبراهيم أحمد البنا</t>
  </si>
  <si>
    <t>29562011693306</t>
  </si>
  <si>
    <t>الإجمالي في الورقة 78,765 لكن الشهور مجموعها 78,305 - يوليو ممكن يكون 11,595</t>
  </si>
  <si>
    <t>T0054</t>
  </si>
  <si>
    <t>P03-503</t>
  </si>
  <si>
    <t>C047</t>
  </si>
  <si>
    <t>شركة المستقبل للخدمات الطبية</t>
  </si>
  <si>
    <t>نادر عادل شاكر</t>
  </si>
  <si>
    <t>23449480817877</t>
  </si>
  <si>
    <t>T0055</t>
  </si>
  <si>
    <t>P03-504</t>
  </si>
  <si>
    <t>C048</t>
  </si>
  <si>
    <t>505</t>
  </si>
  <si>
    <t>T0083</t>
  </si>
  <si>
    <t>P03-505</t>
  </si>
  <si>
    <t>T0056</t>
  </si>
  <si>
    <t>د/ آية هشام رشاد</t>
  </si>
  <si>
    <t>رضوى باسم سلامة</t>
  </si>
  <si>
    <t>506</t>
  </si>
  <si>
    <t>P1137016</t>
  </si>
  <si>
    <t>T0084</t>
  </si>
  <si>
    <t>P03-506</t>
  </si>
  <si>
    <t>C049</t>
  </si>
  <si>
    <t>T0057</t>
  </si>
  <si>
    <t>شركة الأصيل للاستشارات الهندسية</t>
  </si>
  <si>
    <t>عمرو مصطفى نصار</t>
  </si>
  <si>
    <t>508</t>
  </si>
  <si>
    <t>160-305-190</t>
  </si>
  <si>
    <t>P67487613</t>
  </si>
  <si>
    <t>T0058</t>
  </si>
  <si>
    <t>P03-508</t>
  </si>
  <si>
    <t>C050</t>
  </si>
  <si>
    <t>شركة الوادي للتنمية</t>
  </si>
  <si>
    <t>يوسف شريف عبد الرحمن</t>
  </si>
  <si>
    <t>601</t>
  </si>
  <si>
    <t>22463542796975</t>
  </si>
  <si>
    <t>T0059</t>
  </si>
  <si>
    <t>P03-601</t>
  </si>
  <si>
    <t>C051</t>
  </si>
  <si>
    <t>شركة الوفاء للاستشارات الهندسية</t>
  </si>
  <si>
    <t>عادل عمر فهمي</t>
  </si>
  <si>
    <t>602</t>
  </si>
  <si>
    <t>775-395-397</t>
  </si>
  <si>
    <t>28440709184758</t>
  </si>
  <si>
    <t>T0060</t>
  </si>
  <si>
    <t>P03-602</t>
  </si>
  <si>
    <t>C052</t>
  </si>
  <si>
    <t>عادل باسم حسنين</t>
  </si>
  <si>
    <t>603</t>
  </si>
  <si>
    <t>P32438961</t>
  </si>
  <si>
    <t>T0061</t>
  </si>
  <si>
    <t>P03-603</t>
  </si>
  <si>
    <t>C053</t>
  </si>
  <si>
    <t>ندى وليد حسنين</t>
  </si>
  <si>
    <t>604</t>
  </si>
  <si>
    <t>22823424081654</t>
  </si>
  <si>
    <t>T0062</t>
  </si>
  <si>
    <t>P03-604</t>
  </si>
  <si>
    <t>C054</t>
  </si>
  <si>
    <t>شريف هاني فهمي</t>
  </si>
  <si>
    <t>605</t>
  </si>
  <si>
    <t>25107441967523</t>
  </si>
  <si>
    <t>T0085</t>
  </si>
  <si>
    <t>P03-605</t>
  </si>
  <si>
    <t>C055</t>
  </si>
  <si>
    <t>63+.0+3+26309</t>
  </si>
  <si>
    <t>خانة أغسطس مكتوب فيها نص مش رقم (زي الورقة)</t>
  </si>
  <si>
    <t>T0063</t>
  </si>
  <si>
    <t>شركة الياسمين للاستشارات الهندسية</t>
  </si>
  <si>
    <t>تامر كريم عابدين</t>
  </si>
  <si>
    <t>606</t>
  </si>
  <si>
    <t>P53868816</t>
  </si>
  <si>
    <t>T0086</t>
  </si>
  <si>
    <t>P03-606</t>
  </si>
  <si>
    <t>C056</t>
  </si>
  <si>
    <t>T0064</t>
  </si>
  <si>
    <t>شركة الدلتا للتجارة</t>
  </si>
  <si>
    <t>ياسر عمرو حسنين</t>
  </si>
  <si>
    <t>607</t>
  </si>
  <si>
    <t>22212055486555</t>
  </si>
  <si>
    <t>بداية العقد في الورقة الأصلية 01/05/2026 (بعد النهاية) — صُحِّحت تلقائيًا إلى 01/05/2025</t>
  </si>
  <si>
    <t>T0065</t>
  </si>
  <si>
    <t>P03-607</t>
  </si>
  <si>
    <t>C057</t>
  </si>
  <si>
    <t>شركة السلام للتسويق</t>
  </si>
  <si>
    <t>باسم حسين صبري</t>
  </si>
  <si>
    <t>608</t>
  </si>
  <si>
    <t>21497039356152</t>
  </si>
  <si>
    <t>T0066</t>
  </si>
  <si>
    <t>P03-608</t>
  </si>
  <si>
    <t>C058</t>
  </si>
  <si>
    <t>شركة المستقبل للتنمية</t>
  </si>
  <si>
    <t>ريم فادي الخولي</t>
  </si>
  <si>
    <t>701</t>
  </si>
  <si>
    <t>756-267-651</t>
  </si>
  <si>
    <t>21453385572731</t>
  </si>
  <si>
    <t>T0067</t>
  </si>
  <si>
    <t>P03-701</t>
  </si>
  <si>
    <t>C059</t>
  </si>
  <si>
    <t>شركة النخبة للتنمية</t>
  </si>
  <si>
    <t>أحمد تامر الجندي</t>
  </si>
  <si>
    <t>703</t>
  </si>
  <si>
    <t>EM7579528</t>
  </si>
  <si>
    <t>T0068</t>
  </si>
  <si>
    <t>P03-703</t>
  </si>
  <si>
    <t>C060</t>
  </si>
  <si>
    <t>شركة البركة للتسويق</t>
  </si>
  <si>
    <t>إبراهيم أحمد عبد الله</t>
  </si>
  <si>
    <t>704</t>
  </si>
  <si>
    <t>17587095</t>
  </si>
  <si>
    <t>T0069</t>
  </si>
  <si>
    <t>P03-704</t>
  </si>
  <si>
    <t>C061</t>
  </si>
  <si>
    <t>عمر مروان غانم</t>
  </si>
  <si>
    <t>705</t>
  </si>
  <si>
    <t>O3328543</t>
  </si>
  <si>
    <t>T0070</t>
  </si>
  <si>
    <t>P03-705</t>
  </si>
  <si>
    <t>C062</t>
  </si>
  <si>
    <t>شركة الأمل للتسويق</t>
  </si>
  <si>
    <t>أحمد نادر البنا</t>
  </si>
  <si>
    <t>706</t>
  </si>
  <si>
    <t>226-294-497</t>
  </si>
  <si>
    <t>24254910957165</t>
  </si>
  <si>
    <t>T0071</t>
  </si>
  <si>
    <t>P03-706</t>
  </si>
  <si>
    <t>C063</t>
  </si>
  <si>
    <t>شركة الأفق للخدمات الطبية</t>
  </si>
  <si>
    <t>أحمد شريف بدوي</t>
  </si>
  <si>
    <t>707</t>
  </si>
  <si>
    <t>P73767314</t>
  </si>
  <si>
    <t>T0072</t>
  </si>
  <si>
    <t>P03-707</t>
  </si>
  <si>
    <t>C064</t>
  </si>
  <si>
    <t>708</t>
  </si>
  <si>
    <t>T0073</t>
  </si>
  <si>
    <t>P03-708</t>
  </si>
  <si>
    <t>الاجمالي العام</t>
  </si>
  <si>
    <t>عدد العقود في ورقة 2026</t>
  </si>
  <si>
    <t>المحصَّل في 2026</t>
  </si>
  <si>
    <t>عدد الوحدات</t>
  </si>
  <si>
    <t>مؤجَّرة اليوم</t>
  </si>
  <si>
    <t>شاغرة اليوم</t>
  </si>
  <si>
    <t>نسبة الإشغال</t>
  </si>
  <si>
    <t>المتأخرات (من البرنامج)</t>
  </si>
  <si>
    <t>اسم المشروع</t>
  </si>
  <si>
    <t>المنطقة</t>
  </si>
  <si>
    <t>تاريخ الإضافة</t>
  </si>
  <si>
    <t>رقم / اسم الوحدة</t>
  </si>
  <si>
    <t>النوع</t>
  </si>
  <si>
    <t>الدور</t>
  </si>
  <si>
    <t>المساحة م²</t>
  </si>
  <si>
    <t>ملخص الأصول (من البرنامج)</t>
  </si>
  <si>
    <t>حالة الوحدة اليوم</t>
  </si>
  <si>
    <t>المستأجر الحالي</t>
  </si>
  <si>
    <t>العقد الحالي</t>
  </si>
  <si>
    <t>الإيجار الشهري الحالي</t>
  </si>
  <si>
    <t>شاغرة منذ</t>
  </si>
  <si>
    <t>أيام الشغور</t>
  </si>
  <si>
    <t>نهاية العقد الحالي</t>
  </si>
  <si>
    <t>الأيام المتبقية على نهاية العقد</t>
  </si>
  <si>
    <t>تجارية</t>
  </si>
  <si>
    <t>G</t>
  </si>
  <si>
    <t>إدارية</t>
  </si>
  <si>
    <t>M</t>
  </si>
  <si>
    <t>2</t>
  </si>
  <si>
    <t>4</t>
  </si>
  <si>
    <t>6</t>
  </si>
  <si>
    <t>3</t>
  </si>
  <si>
    <t>5</t>
  </si>
  <si>
    <t>1</t>
  </si>
  <si>
    <t>7</t>
  </si>
  <si>
    <t>الأصل</t>
  </si>
  <si>
    <t>موجود</t>
  </si>
  <si>
    <t>التفاصيل</t>
  </si>
  <si>
    <t>التليفون</t>
  </si>
  <si>
    <t>تليفون آخر</t>
  </si>
  <si>
    <t>البريد الإلكتروني</t>
  </si>
  <si>
    <t>عدد العقود</t>
  </si>
  <si>
    <t>عقود سارية اليوم</t>
  </si>
  <si>
    <t>إجمالي المسدَّد</t>
  </si>
  <si>
    <t>فرد</t>
  </si>
  <si>
    <t>شركة</t>
  </si>
  <si>
    <t>العميل</t>
  </si>
  <si>
    <t>بداية العقد</t>
  </si>
  <si>
    <t>نهاية العقد</t>
  </si>
  <si>
    <t>الإيجار الشهري (السنة الأولى)</t>
  </si>
  <si>
    <t>الزيادة السنوية %</t>
  </si>
  <si>
    <t>إيجار كل سنة (يدوي)</t>
  </si>
  <si>
    <t>التأمين</t>
  </si>
  <si>
    <t>حالة التأمين</t>
  </si>
  <si>
    <t>يوم الاستحقاق</t>
  </si>
  <si>
    <t>العقد السابق</t>
  </si>
  <si>
    <t>ترتيب الصف في ورقة السنة</t>
  </si>
  <si>
    <t>مستنتج تلقائيًا من الورقة</t>
  </si>
  <si>
    <t>حالة العقد اليوم</t>
  </si>
  <si>
    <t>سنة العقد الحالية</t>
  </si>
  <si>
    <t>عدد سنوات العقد</t>
  </si>
  <si>
    <t>تاريخ الزيادة القادمة</t>
  </si>
  <si>
    <t>الإيجار بعد الزيادة القادمة</t>
  </si>
  <si>
    <t>إيجار السنة 1</t>
  </si>
  <si>
    <t>إيجار السنة 2</t>
  </si>
  <si>
    <t>إيجار السنة 3</t>
  </si>
  <si>
    <t>إيجار السنة 4</t>
  </si>
  <si>
    <t>إيجار السنة 5</t>
  </si>
  <si>
    <t>إيجار السنة 6</t>
  </si>
  <si>
    <t>إيجار السنة 7</t>
  </si>
  <si>
    <t>إيجار السنة 8</t>
  </si>
  <si>
    <t>إيجار السنة 9</t>
  </si>
  <si>
    <t>إيجار السنة 10</t>
  </si>
  <si>
    <t>مفتاح الإيجار اليدوي (للمعادلات)</t>
  </si>
  <si>
    <t>الوحدة لو العقد ساري (للمعادلات)</t>
  </si>
  <si>
    <t>3:12705</t>
  </si>
  <si>
    <t>بدون تأمين</t>
  </si>
  <si>
    <t>2:45100; 3:49610</t>
  </si>
  <si>
    <t>2:41800</t>
  </si>
  <si>
    <t>2:83600; 3:91960</t>
  </si>
  <si>
    <t>3:30250</t>
  </si>
  <si>
    <t>3:24330</t>
  </si>
  <si>
    <t>3:42350; 4:46585</t>
  </si>
  <si>
    <t>3:25410</t>
  </si>
  <si>
    <t>3:46585</t>
  </si>
  <si>
    <t>2:49450</t>
  </si>
  <si>
    <t>2:25300; 3:27830</t>
  </si>
  <si>
    <t>2:37665</t>
  </si>
  <si>
    <t>3:19060</t>
  </si>
  <si>
    <t>3:20570</t>
  </si>
  <si>
    <t>2:40700; 3:44770</t>
  </si>
  <si>
    <t>3:11495</t>
  </si>
  <si>
    <t>2:19250; 3:21175</t>
  </si>
  <si>
    <t>3:7565</t>
  </si>
  <si>
    <t>3:11195</t>
  </si>
  <si>
    <t>2:12100</t>
  </si>
  <si>
    <t>2:11000; 3:12100</t>
  </si>
  <si>
    <t>3:14850</t>
  </si>
  <si>
    <t>3:14565</t>
  </si>
  <si>
    <t>3:9680</t>
  </si>
  <si>
    <t>3:10890</t>
  </si>
  <si>
    <t>نعم</t>
  </si>
  <si>
    <t>رقم الفاتورة</t>
  </si>
  <si>
    <t>الشهر</t>
  </si>
  <si>
    <t>المبلغ</t>
  </si>
  <si>
    <t>تاريخ السداد</t>
  </si>
  <si>
    <t>طريقة السداد</t>
  </si>
  <si>
    <t>مرجع / إيصال</t>
  </si>
  <si>
    <t>المصدر</t>
  </si>
  <si>
    <t>تاريخ التسجيل</t>
  </si>
  <si>
    <t>INV-2026-0001</t>
  </si>
  <si>
    <t>2026-01</t>
  </si>
  <si>
    <t>غير محدد</t>
  </si>
  <si>
    <t>الإكسيل</t>
  </si>
  <si>
    <t>INV-2026-0006</t>
  </si>
  <si>
    <t>INV-2026-0010</t>
  </si>
  <si>
    <t>INV-2026-0018</t>
  </si>
  <si>
    <t>INV-2026-0023</t>
  </si>
  <si>
    <t>INV-2026-0031</t>
  </si>
  <si>
    <t>INV-2026-0039</t>
  </si>
  <si>
    <t>INV-2026-0042</t>
  </si>
  <si>
    <t>INV-2026-0050</t>
  </si>
  <si>
    <t>INV-2026-0058</t>
  </si>
  <si>
    <t>INV-2026-0066</t>
  </si>
  <si>
    <t>INV-2026-0074</t>
  </si>
  <si>
    <t>INV-2026-0082</t>
  </si>
  <si>
    <t>INV-2026-0090</t>
  </si>
  <si>
    <t>INV-2026-0098</t>
  </si>
  <si>
    <t>INV-2026-0106</t>
  </si>
  <si>
    <t>INV-2026-0114</t>
  </si>
  <si>
    <t>INV-2026-0122</t>
  </si>
  <si>
    <t>INV-2026-0130</t>
  </si>
  <si>
    <t>INV-2026-0138</t>
  </si>
  <si>
    <t>INV-2026-0146</t>
  </si>
  <si>
    <t>INV-2026-0154</t>
  </si>
  <si>
    <t>INV-2026-0162</t>
  </si>
  <si>
    <t>INV-2026-0170</t>
  </si>
  <si>
    <t>INV-2026-0178</t>
  </si>
  <si>
    <t>INV-2026-0186</t>
  </si>
  <si>
    <t>INV-2026-0194</t>
  </si>
  <si>
    <t>INV-2026-0202</t>
  </si>
  <si>
    <t>INV-2026-0210</t>
  </si>
  <si>
    <t>INV-2026-0215</t>
  </si>
  <si>
    <t>INV-2026-0223</t>
  </si>
  <si>
    <t>INV-2026-0231</t>
  </si>
  <si>
    <t>INV-2026-0239</t>
  </si>
  <si>
    <t>INV-2026-0251</t>
  </si>
  <si>
    <t>INV-2026-0259</t>
  </si>
  <si>
    <t>INV-2026-0264</t>
  </si>
  <si>
    <t>INV-2026-0279</t>
  </si>
  <si>
    <t>INV-2026-0281</t>
  </si>
  <si>
    <t>INV-2026-0289</t>
  </si>
  <si>
    <t>INV-2026-0297</t>
  </si>
  <si>
    <t>INV-2026-0305</t>
  </si>
  <si>
    <t>INV-2026-0313</t>
  </si>
  <si>
    <t>INV-2026-0321</t>
  </si>
  <si>
    <t>INV-2026-0329</t>
  </si>
  <si>
    <t>INV-2026-0337</t>
  </si>
  <si>
    <t>INV-2026-0345</t>
  </si>
  <si>
    <t>INV-2026-0353</t>
  </si>
  <si>
    <t>INV-2026-0361</t>
  </si>
  <si>
    <t>INV-2026-0368</t>
  </si>
  <si>
    <t>INV-2026-0375</t>
  </si>
  <si>
    <t>INV-2026-0382</t>
  </si>
  <si>
    <t>INV-2026-0390</t>
  </si>
  <si>
    <t>INV-2026-0398</t>
  </si>
  <si>
    <t>INV-2026-0409</t>
  </si>
  <si>
    <t>INV-2026-0417</t>
  </si>
  <si>
    <t>INV-2026-0425</t>
  </si>
  <si>
    <t>INV-2026-0433</t>
  </si>
  <si>
    <t>INV-2026-0441</t>
  </si>
  <si>
    <t>INV-2026-0448</t>
  </si>
  <si>
    <t>INV-2026-0456</t>
  </si>
  <si>
    <t>INV-2026-0460</t>
  </si>
  <si>
    <t>INV-2026-0466</t>
  </si>
  <si>
    <t>INV-2026-0476</t>
  </si>
  <si>
    <t>INV-2026-0483</t>
  </si>
  <si>
    <t>INV-2026-0488</t>
  </si>
  <si>
    <t>INV-2026-0494</t>
  </si>
  <si>
    <t>INV-2026-0502</t>
  </si>
  <si>
    <t>INV-2026-0002</t>
  </si>
  <si>
    <t>2026-02</t>
  </si>
  <si>
    <t>INV-2026-0007</t>
  </si>
  <si>
    <t>INV-2026-0011</t>
  </si>
  <si>
    <t>INV-2026-0019</t>
  </si>
  <si>
    <t>INV-2026-0024</t>
  </si>
  <si>
    <t>INV-2026-0032</t>
  </si>
  <si>
    <t>INV-2026-0040</t>
  </si>
  <si>
    <t>INV-2026-0043</t>
  </si>
  <si>
    <t>INV-2026-0051</t>
  </si>
  <si>
    <t>INV-2026-0059</t>
  </si>
  <si>
    <t>INV-2026-0067</t>
  </si>
  <si>
    <t>INV-2026-0075</t>
  </si>
  <si>
    <t>INV-2026-0083</t>
  </si>
  <si>
    <t>INV-2026-0091</t>
  </si>
  <si>
    <t>INV-2026-0099</t>
  </si>
  <si>
    <t>INV-2026-0107</t>
  </si>
  <si>
    <t>INV-2026-0115</t>
  </si>
  <si>
    <t>INV-2026-0123</t>
  </si>
  <si>
    <t>INV-2026-0131</t>
  </si>
  <si>
    <t>INV-2026-0139</t>
  </si>
  <si>
    <t>INV-2026-0147</t>
  </si>
  <si>
    <t>INV-2026-0155</t>
  </si>
  <si>
    <t>INV-2026-0163</t>
  </si>
  <si>
    <t>INV-2026-0171</t>
  </si>
  <si>
    <t>INV-2026-0179</t>
  </si>
  <si>
    <t>INV-2026-0187</t>
  </si>
  <si>
    <t>INV-2026-0195</t>
  </si>
  <si>
    <t>INV-2026-0203</t>
  </si>
  <si>
    <t>INV-2026-0211</t>
  </si>
  <si>
    <t>INV-2026-0216</t>
  </si>
  <si>
    <t>INV-2026-0224</t>
  </si>
  <si>
    <t>INV-2026-0232</t>
  </si>
  <si>
    <t>INV-2026-0240</t>
  </si>
  <si>
    <t>INV-2026-0252</t>
  </si>
  <si>
    <t>INV-2026-0260</t>
  </si>
  <si>
    <t>INV-2026-0265</t>
  </si>
  <si>
    <t>INV-2026-0272</t>
  </si>
  <si>
    <t>INV-2026-0282</t>
  </si>
  <si>
    <t>INV-2026-0290</t>
  </si>
  <si>
    <t>INV-2026-0298</t>
  </si>
  <si>
    <t>INV-2026-0306</t>
  </si>
  <si>
    <t>INV-2026-0314</t>
  </si>
  <si>
    <t>INV-2026-0322</t>
  </si>
  <si>
    <t>INV-2026-0330</t>
  </si>
  <si>
    <t>INV-2026-0338</t>
  </si>
  <si>
    <t>INV-2026-0346</t>
  </si>
  <si>
    <t>INV-2026-0354</t>
  </si>
  <si>
    <t>INV-2026-0362</t>
  </si>
  <si>
    <t>INV-2026-0369</t>
  </si>
  <si>
    <t>INV-2026-0376</t>
  </si>
  <si>
    <t>INV-2026-0383</t>
  </si>
  <si>
    <t>INV-2026-0391</t>
  </si>
  <si>
    <t>INV-2026-0399</t>
  </si>
  <si>
    <t>INV-2026-0410</t>
  </si>
  <si>
    <t>INV-2026-0418</t>
  </si>
  <si>
    <t>INV-2026-0426</t>
  </si>
  <si>
    <t>INV-2026-0434</t>
  </si>
  <si>
    <t>INV-2026-0442</t>
  </si>
  <si>
    <t>INV-2026-0449</t>
  </si>
  <si>
    <t>INV-2026-0457</t>
  </si>
  <si>
    <t>INV-2026-0461</t>
  </si>
  <si>
    <t>INV-2026-0467</t>
  </si>
  <si>
    <t>INV-2026-0477</t>
  </si>
  <si>
    <t>INV-2026-0484</t>
  </si>
  <si>
    <t>INV-2026-0489</t>
  </si>
  <si>
    <t>INV-2026-0495</t>
  </si>
  <si>
    <t>INV-2026-0503</t>
  </si>
  <si>
    <t>INV-2026-0003</t>
  </si>
  <si>
    <t>2026-03</t>
  </si>
  <si>
    <t>INV-2026-0008</t>
  </si>
  <si>
    <t>INV-2026-0012</t>
  </si>
  <si>
    <t>INV-2026-0020</t>
  </si>
  <si>
    <t>INV-2026-0025</t>
  </si>
  <si>
    <t>INV-2026-0033</t>
  </si>
  <si>
    <t>INV-2026-0041</t>
  </si>
  <si>
    <t>INV-2026-0044</t>
  </si>
  <si>
    <t>INV-2026-0052</t>
  </si>
  <si>
    <t>INV-2026-0060</t>
  </si>
  <si>
    <t>INV-2026-0068</t>
  </si>
  <si>
    <t>INV-2026-0076</t>
  </si>
  <si>
    <t>INV-2026-0084</t>
  </si>
  <si>
    <t>INV-2026-0092</t>
  </si>
  <si>
    <t>INV-2026-0100</t>
  </si>
  <si>
    <t>INV-2026-0108</t>
  </si>
  <si>
    <t>INV-2026-0116</t>
  </si>
  <si>
    <t>INV-2026-0124</t>
  </si>
  <si>
    <t>INV-2026-0132</t>
  </si>
  <si>
    <t>INV-2026-0140</t>
  </si>
  <si>
    <t>INV-2026-0148</t>
  </si>
  <si>
    <t>INV-2026-0156</t>
  </si>
  <si>
    <t>INV-2026-0164</t>
  </si>
  <si>
    <t>INV-2026-0172</t>
  </si>
  <si>
    <t>INV-2026-0180</t>
  </si>
  <si>
    <t>INV-2026-0188</t>
  </si>
  <si>
    <t>INV-2026-0196</t>
  </si>
  <si>
    <t>INV-2026-0204</t>
  </si>
  <si>
    <t>INV-2026-0212</t>
  </si>
  <si>
    <t>INV-2026-0217</t>
  </si>
  <si>
    <t>INV-2026-0225</t>
  </si>
  <si>
    <t>INV-2026-0233</t>
  </si>
  <si>
    <t>INV-2026-0241</t>
  </si>
  <si>
    <t>INV-2026-0253</t>
  </si>
  <si>
    <t>INV-2026-0261</t>
  </si>
  <si>
    <t>INV-2026-0266</t>
  </si>
  <si>
    <t>INV-2026-0273</t>
  </si>
  <si>
    <t>INV-2026-0283</t>
  </si>
  <si>
    <t>INV-2026-0291</t>
  </si>
  <si>
    <t>INV-2026-0299</t>
  </si>
  <si>
    <t>INV-2026-0307</t>
  </si>
  <si>
    <t>INV-2026-0315</t>
  </si>
  <si>
    <t>INV-2026-0323</t>
  </si>
  <si>
    <t>INV-2026-0331</t>
  </si>
  <si>
    <t>INV-2026-0339</t>
  </si>
  <si>
    <t>INV-2026-0347</t>
  </si>
  <si>
    <t>INV-2026-0355</t>
  </si>
  <si>
    <t>INV-2026-0363</t>
  </si>
  <si>
    <t>INV-2026-0370</t>
  </si>
  <si>
    <t>INV-2026-0377</t>
  </si>
  <si>
    <t>INV-2026-0384</t>
  </si>
  <si>
    <t>INV-2026-0392</t>
  </si>
  <si>
    <t>INV-2026-0400</t>
  </si>
  <si>
    <t>INV-2026-0411</t>
  </si>
  <si>
    <t>INV-2026-0419</t>
  </si>
  <si>
    <t>INV-2026-0427</t>
  </si>
  <si>
    <t>INV-2026-0435</t>
  </si>
  <si>
    <t>INV-2026-0443</t>
  </si>
  <si>
    <t>INV-2026-0450</t>
  </si>
  <si>
    <t>INV-2026-0458</t>
  </si>
  <si>
    <t>INV-2026-0462</t>
  </si>
  <si>
    <t>INV-2026-0468</t>
  </si>
  <si>
    <t>INV-2026-0478</t>
  </si>
  <si>
    <t>INV-2026-0485</t>
  </si>
  <si>
    <t>INV-2026-0490</t>
  </si>
  <si>
    <t>INV-2026-0496</t>
  </si>
  <si>
    <t>INV-2026-0504</t>
  </si>
  <si>
    <t>INV-2026-0004</t>
  </si>
  <si>
    <t>2026-04</t>
  </si>
  <si>
    <t>INV-2026-0009</t>
  </si>
  <si>
    <t>INV-2026-0013</t>
  </si>
  <si>
    <t>INV-2026-0021</t>
  </si>
  <si>
    <t>INV-2026-0026</t>
  </si>
  <si>
    <t>INV-2026-0034</t>
  </si>
  <si>
    <t>INV-2026-0045</t>
  </si>
  <si>
    <t>INV-2026-0053</t>
  </si>
  <si>
    <t>INV-2026-0061</t>
  </si>
  <si>
    <t>INV-2026-0069</t>
  </si>
  <si>
    <t>INV-2026-0077</t>
  </si>
  <si>
    <t>INV-2026-0085</t>
  </si>
  <si>
    <t>INV-2026-0093</t>
  </si>
  <si>
    <t>INV-2026-0101</t>
  </si>
  <si>
    <t>INV-2026-0109</t>
  </si>
  <si>
    <t>INV-2026-0117</t>
  </si>
  <si>
    <t>INV-2026-0125</t>
  </si>
  <si>
    <t>INV-2026-0133</t>
  </si>
  <si>
    <t>INV-2026-0141</t>
  </si>
  <si>
    <t>INV-2026-0149</t>
  </si>
  <si>
    <t>INV-2026-0157</t>
  </si>
  <si>
    <t>INV-2026-0165</t>
  </si>
  <si>
    <t>INV-2026-0173</t>
  </si>
  <si>
    <t>INV-2026-0181</t>
  </si>
  <si>
    <t>INV-2026-0189</t>
  </si>
  <si>
    <t>INV-2026-0197</t>
  </si>
  <si>
    <t>INV-2026-0205</t>
  </si>
  <si>
    <t>INV-2026-0213</t>
  </si>
  <si>
    <t>INV-2026-0218</t>
  </si>
  <si>
    <t>INV-2026-0226</t>
  </si>
  <si>
    <t>INV-2026-0234</t>
  </si>
  <si>
    <t>INV-2026-0242</t>
  </si>
  <si>
    <t>INV-2026-0254</t>
  </si>
  <si>
    <t>INV-2026-0262</t>
  </si>
  <si>
    <t>INV-2026-0267</t>
  </si>
  <si>
    <t>INV-2026-0274</t>
  </si>
  <si>
    <t>INV-2026-0284</t>
  </si>
  <si>
    <t>INV-2026-0292</t>
  </si>
  <si>
    <t>INV-2026-0300</t>
  </si>
  <si>
    <t>INV-2026-0308</t>
  </si>
  <si>
    <t>INV-2026-0316</t>
  </si>
  <si>
    <t>INV-2026-0324</t>
  </si>
  <si>
    <t>INV-2026-0332</t>
  </si>
  <si>
    <t>INV-2026-0340</t>
  </si>
  <si>
    <t>INV-2026-0348</t>
  </si>
  <si>
    <t>INV-2026-0356</t>
  </si>
  <si>
    <t>INV-2026-0364</t>
  </si>
  <si>
    <t>INV-2026-0371</t>
  </si>
  <si>
    <t>INV-2026-0378</t>
  </si>
  <si>
    <t>INV-2026-0385</t>
  </si>
  <si>
    <t>INV-2026-0393</t>
  </si>
  <si>
    <t>INV-2026-0401</t>
  </si>
  <si>
    <t>INV-2026-0412</t>
  </si>
  <si>
    <t>INV-2026-0420</t>
  </si>
  <si>
    <t>INV-2026-0428</t>
  </si>
  <si>
    <t>INV-2026-0436</t>
  </si>
  <si>
    <t>INV-2026-0444</t>
  </si>
  <si>
    <t>INV-2026-0451</t>
  </si>
  <si>
    <t>INV-2026-0459</t>
  </si>
  <si>
    <t>INV-2026-0463</t>
  </si>
  <si>
    <t>INV-2026-0469</t>
  </si>
  <si>
    <t>INV-2026-0479</t>
  </si>
  <si>
    <t>INV-2026-0486</t>
  </si>
  <si>
    <t>INV-2026-0491</t>
  </si>
  <si>
    <t>INV-2026-0497</t>
  </si>
  <si>
    <t>INV-2026-0505</t>
  </si>
  <si>
    <t>INV-2026-0005</t>
  </si>
  <si>
    <t>2026-05</t>
  </si>
  <si>
    <t>INV-2026-0014</t>
  </si>
  <si>
    <t>INV-2026-0022</t>
  </si>
  <si>
    <t>INV-2026-0027</t>
  </si>
  <si>
    <t>INV-2026-0035</t>
  </si>
  <si>
    <t>INV-2026-0046</t>
  </si>
  <si>
    <t>INV-2026-0054</t>
  </si>
  <si>
    <t>INV-2026-0062</t>
  </si>
  <si>
    <t>INV-2026-0070</t>
  </si>
  <si>
    <t>INV-2026-0078</t>
  </si>
  <si>
    <t>INV-2026-0086</t>
  </si>
  <si>
    <t>INV-2026-0094</t>
  </si>
  <si>
    <t>INV-2026-0102</t>
  </si>
  <si>
    <t>INV-2026-0110</t>
  </si>
  <si>
    <t>INV-2026-0118</t>
  </si>
  <si>
    <t>INV-2026-0126</t>
  </si>
  <si>
    <t>INV-2026-0134</t>
  </si>
  <si>
    <t>INV-2026-0142</t>
  </si>
  <si>
    <t>INV-2026-0150</t>
  </si>
  <si>
    <t>INV-2026-0158</t>
  </si>
  <si>
    <t>INV-2026-0166</t>
  </si>
  <si>
    <t>INV-2026-0174</t>
  </si>
  <si>
    <t>INV-2026-0182</t>
  </si>
  <si>
    <t>INV-2026-0190</t>
  </si>
  <si>
    <t>INV-2026-0198</t>
  </si>
  <si>
    <t>INV-2026-0206</t>
  </si>
  <si>
    <t>INV-2026-0214</t>
  </si>
  <si>
    <t>INV-2026-0219</t>
  </si>
  <si>
    <t>INV-2026-0227</t>
  </si>
  <si>
    <t>INV-2026-0235</t>
  </si>
  <si>
    <t>INV-2026-0243</t>
  </si>
  <si>
    <t>INV-2026-0247</t>
  </si>
  <si>
    <t>INV-2026-0255</t>
  </si>
  <si>
    <t>INV-2026-0263</t>
  </si>
  <si>
    <t>INV-2026-0268</t>
  </si>
  <si>
    <t>INV-2026-0275</t>
  </si>
  <si>
    <t>INV-2026-0285</t>
  </si>
  <si>
    <t>INV-2026-0293</t>
  </si>
  <si>
    <t>INV-2026-0301</t>
  </si>
  <si>
    <t>INV-2026-0309</t>
  </si>
  <si>
    <t>INV-2026-0317</t>
  </si>
  <si>
    <t>INV-2026-0325</t>
  </si>
  <si>
    <t>INV-2026-0333</t>
  </si>
  <si>
    <t>INV-2026-0341</t>
  </si>
  <si>
    <t>INV-2026-0349</t>
  </si>
  <si>
    <t>INV-2026-0357</t>
  </si>
  <si>
    <t>INV-2026-0365</t>
  </si>
  <si>
    <t>INV-2026-0372</t>
  </si>
  <si>
    <t>INV-2026-0379</t>
  </si>
  <si>
    <t>INV-2026-0386</t>
  </si>
  <si>
    <t>INV-2026-0394</t>
  </si>
  <si>
    <t>INV-2026-0402</t>
  </si>
  <si>
    <t>INV-2026-0413</t>
  </si>
  <si>
    <t>INV-2026-0421</t>
  </si>
  <si>
    <t>INV-2026-0429</t>
  </si>
  <si>
    <t>INV-2026-0437</t>
  </si>
  <si>
    <t>INV-2026-0445</t>
  </si>
  <si>
    <t>INV-2026-0452</t>
  </si>
  <si>
    <t>INV-2026-0464</t>
  </si>
  <si>
    <t>INV-2026-0470</t>
  </si>
  <si>
    <t>INV-2026-0480</t>
  </si>
  <si>
    <t>INV-2026-0487</t>
  </si>
  <si>
    <t>INV-2026-0492</t>
  </si>
  <si>
    <t>INV-2026-0498</t>
  </si>
  <si>
    <t>INV-2026-0506</t>
  </si>
  <si>
    <t>INV-2026-0015</t>
  </si>
  <si>
    <t>2026-06</t>
  </si>
  <si>
    <t>INV-2026-0028</t>
  </si>
  <si>
    <t>INV-2026-0036</t>
  </si>
  <si>
    <t>INV-2026-0047</t>
  </si>
  <si>
    <t>INV-2026-0055</t>
  </si>
  <si>
    <t>INV-2026-0063</t>
  </si>
  <si>
    <t>INV-2026-0071</t>
  </si>
  <si>
    <t>INV-2026-0079</t>
  </si>
  <si>
    <t>INV-2026-0087</t>
  </si>
  <si>
    <t>INV-2026-0095</t>
  </si>
  <si>
    <t>INV-2026-0103</t>
  </si>
  <si>
    <t>INV-2026-0111</t>
  </si>
  <si>
    <t>INV-2026-0119</t>
  </si>
  <si>
    <t>INV-2026-0127</t>
  </si>
  <si>
    <t>INV-2026-0135</t>
  </si>
  <si>
    <t>INV-2026-0143</t>
  </si>
  <si>
    <t>INV-2026-0151</t>
  </si>
  <si>
    <t>INV-2026-0159</t>
  </si>
  <si>
    <t>INV-2026-0167</t>
  </si>
  <si>
    <t>INV-2026-0175</t>
  </si>
  <si>
    <t>INV-2026-0183</t>
  </si>
  <si>
    <t>INV-2026-0191</t>
  </si>
  <si>
    <t>INV-2026-0199</t>
  </si>
  <si>
    <t>INV-2026-0207</t>
  </si>
  <si>
    <t>INV-2026-0220</t>
  </si>
  <si>
    <t>INV-2026-0228</t>
  </si>
  <si>
    <t>INV-2026-0236</t>
  </si>
  <si>
    <t>INV-2026-0244</t>
  </si>
  <si>
    <t>INV-2026-0248</t>
  </si>
  <si>
    <t>INV-2026-0256</t>
  </si>
  <si>
    <t>INV-2026-0269</t>
  </si>
  <si>
    <t>INV-2026-0276</t>
  </si>
  <si>
    <t>INV-2026-0286</t>
  </si>
  <si>
    <t>INV-2026-0294</t>
  </si>
  <si>
    <t>INV-2026-0302</t>
  </si>
  <si>
    <t>INV-2026-0310</t>
  </si>
  <si>
    <t>INV-2026-0318</t>
  </si>
  <si>
    <t>INV-2026-0326</t>
  </si>
  <si>
    <t>INV-2026-0334</t>
  </si>
  <si>
    <t>INV-2026-0342</t>
  </si>
  <si>
    <t>INV-2026-0350</t>
  </si>
  <si>
    <t>INV-2026-0358</t>
  </si>
  <si>
    <t>INV-2026-0366</t>
  </si>
  <si>
    <t>INV-2026-0373</t>
  </si>
  <si>
    <t>INV-2026-0380</t>
  </si>
  <si>
    <t>INV-2026-0387</t>
  </si>
  <si>
    <t>INV-2026-0395</t>
  </si>
  <si>
    <t>INV-2026-0403</t>
  </si>
  <si>
    <t>INV-2026-0406</t>
  </si>
  <si>
    <t>INV-2026-0414</t>
  </si>
  <si>
    <t>INV-2026-0422</t>
  </si>
  <si>
    <t>INV-2026-0430</t>
  </si>
  <si>
    <t>INV-2026-0438</t>
  </si>
  <si>
    <t>INV-2026-0446</t>
  </si>
  <si>
    <t>INV-2026-0453</t>
  </si>
  <si>
    <t>INV-2026-0465</t>
  </si>
  <si>
    <t>INV-2026-0471</t>
  </si>
  <si>
    <t>INV-2026-0481</t>
  </si>
  <si>
    <t>INV-2026-0493</t>
  </si>
  <si>
    <t>INV-2026-0499</t>
  </si>
  <si>
    <t>INV-2026-0507</t>
  </si>
  <si>
    <t>INV-2026-0016</t>
  </si>
  <si>
    <t>2026-07</t>
  </si>
  <si>
    <t>INV-2026-0029</t>
  </si>
  <si>
    <t>INV-2026-0037</t>
  </si>
  <si>
    <t>INV-2026-0048</t>
  </si>
  <si>
    <t>INV-2026-0056</t>
  </si>
  <si>
    <t>INV-2026-0064</t>
  </si>
  <si>
    <t>INV-2026-0072</t>
  </si>
  <si>
    <t>INV-2026-0080</t>
  </si>
  <si>
    <t>INV-2026-0088</t>
  </si>
  <si>
    <t>INV-2026-0096</t>
  </si>
  <si>
    <t>INV-2026-0104</t>
  </si>
  <si>
    <t>INV-2026-0112</t>
  </si>
  <si>
    <t>INV-2026-0120</t>
  </si>
  <si>
    <t>INV-2026-0128</t>
  </si>
  <si>
    <t>INV-2026-0136</t>
  </si>
  <si>
    <t>INV-2026-0144</t>
  </si>
  <si>
    <t>INV-2026-0152</t>
  </si>
  <si>
    <t>INV-2026-0160</t>
  </si>
  <si>
    <t>INV-2026-0168</t>
  </si>
  <si>
    <t>INV-2026-0176</t>
  </si>
  <si>
    <t>INV-2026-0184</t>
  </si>
  <si>
    <t>INV-2026-0192</t>
  </si>
  <si>
    <t>INV-2026-0200</t>
  </si>
  <si>
    <t>INV-2026-0208</t>
  </si>
  <si>
    <t>INV-2026-0221</t>
  </si>
  <si>
    <t>INV-2026-0229</t>
  </si>
  <si>
    <t>INV-2026-0237</t>
  </si>
  <si>
    <t>INV-2026-0245</t>
  </si>
  <si>
    <t>INV-2026-0249</t>
  </si>
  <si>
    <t>INV-2026-0257</t>
  </si>
  <si>
    <t>INV-2026-0270</t>
  </si>
  <si>
    <t>INV-2026-0277</t>
  </si>
  <si>
    <t>INV-2026-0287</t>
  </si>
  <si>
    <t>INV-2026-0295</t>
  </si>
  <si>
    <t>INV-2026-0303</t>
  </si>
  <si>
    <t>INV-2026-0311</t>
  </si>
  <si>
    <t>INV-2026-0319</t>
  </si>
  <si>
    <t>INV-2026-0327</t>
  </si>
  <si>
    <t>INV-2026-0335</t>
  </si>
  <si>
    <t>INV-2026-0343</t>
  </si>
  <si>
    <t>INV-2026-0351</t>
  </si>
  <si>
    <t>INV-2026-0359</t>
  </si>
  <si>
    <t>INV-2026-0367</t>
  </si>
  <si>
    <t>INV-2026-0374</t>
  </si>
  <si>
    <t>INV-2026-0381</t>
  </si>
  <si>
    <t>INV-2026-0388</t>
  </si>
  <si>
    <t>INV-2026-0396</t>
  </si>
  <si>
    <t>INV-2026-0404</t>
  </si>
  <si>
    <t>INV-2026-0407</t>
  </si>
  <si>
    <t>INV-2026-0415</t>
  </si>
  <si>
    <t>INV-2026-0423</t>
  </si>
  <si>
    <t>INV-2026-0431</t>
  </si>
  <si>
    <t>INV-2026-0439</t>
  </si>
  <si>
    <t>INV-2026-0447</t>
  </si>
  <si>
    <t>INV-2026-0454</t>
  </si>
  <si>
    <t>INV-2026-0472</t>
  </si>
  <si>
    <t>INV-2026-0474</t>
  </si>
  <si>
    <t>INV-2026-0482</t>
  </si>
  <si>
    <t>INV-2026-0500</t>
  </si>
  <si>
    <t>INV-2026-0508</t>
  </si>
  <si>
    <t>INV-2026-0017</t>
  </si>
  <si>
    <t>2026-08</t>
  </si>
  <si>
    <t>INV-2026-0030</t>
  </si>
  <si>
    <t>INV-2026-0038</t>
  </si>
  <si>
    <t>INV-2026-0049</t>
  </si>
  <si>
    <t>INV-2026-0057</t>
  </si>
  <si>
    <t>INV-2026-0065</t>
  </si>
  <si>
    <t>INV-2026-0073</t>
  </si>
  <si>
    <t>INV-2026-0081</t>
  </si>
  <si>
    <t>INV-2026-0089</t>
  </si>
  <si>
    <t>INV-2026-0097</t>
  </si>
  <si>
    <t>INV-2026-0105</t>
  </si>
  <si>
    <t>INV-2026-0113</t>
  </si>
  <si>
    <t>INV-2026-0121</t>
  </si>
  <si>
    <t>INV-2026-0129</t>
  </si>
  <si>
    <t>INV-2026-0137</t>
  </si>
  <si>
    <t>INV-2026-0145</t>
  </si>
  <si>
    <t>INV-2026-0153</t>
  </si>
  <si>
    <t>INV-2026-0161</t>
  </si>
  <si>
    <t>INV-2026-0169</t>
  </si>
  <si>
    <t>INV-2026-0177</t>
  </si>
  <si>
    <t>INV-2026-0185</t>
  </si>
  <si>
    <t>INV-2026-0193</t>
  </si>
  <si>
    <t>INV-2026-0201</t>
  </si>
  <si>
    <t>INV-2026-0209</t>
  </si>
  <si>
    <t>INV-2026-0222</t>
  </si>
  <si>
    <t>INV-2026-0230</t>
  </si>
  <si>
    <t>INV-2026-0238</t>
  </si>
  <si>
    <t>INV-2026-0246</t>
  </si>
  <si>
    <t>INV-2026-0250</t>
  </si>
  <si>
    <t>INV-2026-0258</t>
  </si>
  <si>
    <t>INV-2026-0271</t>
  </si>
  <si>
    <t>INV-2026-0278</t>
  </si>
  <si>
    <t>INV-2026-0280</t>
  </si>
  <si>
    <t>INV-2026-0288</t>
  </si>
  <si>
    <t>INV-2026-0296</t>
  </si>
  <si>
    <t>INV-2026-0304</t>
  </si>
  <si>
    <t>INV-2026-0312</t>
  </si>
  <si>
    <t>INV-2026-0320</t>
  </si>
  <si>
    <t>INV-2026-0328</t>
  </si>
  <si>
    <t>INV-2026-0336</t>
  </si>
  <si>
    <t>INV-2026-0344</t>
  </si>
  <si>
    <t>INV-2026-0352</t>
  </si>
  <si>
    <t>INV-2026-0360</t>
  </si>
  <si>
    <t>INV-2026-0389</t>
  </si>
  <si>
    <t>INV-2026-0397</t>
  </si>
  <si>
    <t>INV-2026-0405</t>
  </si>
  <si>
    <t>INV-2026-0408</t>
  </si>
  <si>
    <t>INV-2026-0416</t>
  </si>
  <si>
    <t>INV-2026-0424</t>
  </si>
  <si>
    <t>INV-2026-0432</t>
  </si>
  <si>
    <t>INV-2026-0440</t>
  </si>
  <si>
    <t>INV-2026-0455</t>
  </si>
  <si>
    <t>INV-2026-0473</t>
  </si>
  <si>
    <t>INV-2026-0475</t>
  </si>
  <si>
    <t>INV-2026-0501</t>
  </si>
  <si>
    <t>INV-2026-0509</t>
  </si>
  <si>
    <t>كود الصيانة</t>
  </si>
  <si>
    <t>التاريخ</t>
  </si>
  <si>
    <t>الوصف</t>
  </si>
  <si>
    <t>التكلفة</t>
  </si>
  <si>
    <t>يتحملها</t>
  </si>
  <si>
    <t>الحالة</t>
  </si>
  <si>
    <t>تاريخ الإغلاق</t>
  </si>
  <si>
    <t>العقد وقتها</t>
  </si>
  <si>
    <t>المستأجر وقتها</t>
  </si>
  <si>
    <t>المستأجر وقت الصيانة</t>
  </si>
  <si>
    <t>العقد وقت الصيانة</t>
  </si>
  <si>
    <t>الإعداد</t>
  </si>
  <si>
    <t>القيمة</t>
  </si>
  <si>
    <t>الشرح</t>
  </si>
  <si>
    <t>اسم المكتب</t>
  </si>
  <si>
    <t>يظهر أعلى الورقة والموقع</t>
  </si>
  <si>
    <t>أيام السماح بعد الاستحقاق</t>
  </si>
  <si>
    <t>بعدها يُعتبر الشهر متأخرًا</t>
  </si>
  <si>
    <t>يوم الاستحقاق الافتراضي</t>
  </si>
  <si>
    <t>يوم الشهر الذي يستحق فيه الإيجار ما لم يحدد العقد غيره</t>
  </si>
  <si>
    <t>تنبيه الشغور الطويل بعد (شهور)</t>
  </si>
  <si>
    <t>الوحدة الشاغرة أطول من ذلك تظهر كتنبيه</t>
  </si>
  <si>
    <t>بداية المحاسبة (سنة-شهر)</t>
  </si>
  <si>
    <t>الشهور قبله لا تُحاسَب (بداية الورقة)</t>
  </si>
  <si>
    <t>الزيادة السنوية المقترحة للعقود الجديدة %</t>
  </si>
  <si>
    <t>تُقترح عند إنشاء عقد جديد فقط ولا تغيّر العقود القائمة</t>
  </si>
  <si>
    <t>سنوات الورقة</t>
  </si>
  <si>
    <t>أوراق السنوات الموجودة (تُضاف تلقائيًا)</t>
  </si>
  <si>
    <t>أعلى أرقام الأكواد الصادرة</t>
  </si>
  <si>
    <t>{"P":3,"C":64,"T":86,"INV-2026":509}</t>
  </si>
  <si>
    <t>لا تُعدَّل: تضمن ألا يُعاد استخدام كود محذوف</t>
  </si>
  <si>
    <t>بداية المحاسبة (تلقائي/يدوي)</t>
  </si>
  <si>
    <t>تلقائي = تبدأ من أقدم ورقة سنة · يدوي = كما ضبطها المدير</t>
  </si>
  <si>
    <t>بادئة رقم الفاتورة</t>
  </si>
  <si>
    <t>INV</t>
  </si>
  <si>
    <t>الحروف التي يبدأ بها رقم الفاتورة (ثم السنة والرقم المتسلسل)</t>
  </si>
  <si>
    <t>العملة</t>
  </si>
  <si>
    <t>ج</t>
  </si>
  <si>
    <t>رمز العملة في العرض</t>
  </si>
  <si>
    <t>آخر شهر مسجَّل في الورقة (سنة-شهر أو فارغ = تلقائي)</t>
  </si>
  <si>
    <t>الشهور بعده تُعرض «لم يُسجَّل بعد» لا «متأخرة»</t>
  </si>
  <si>
    <t>فرق مقبول في السداد %</t>
  </si>
  <si>
    <t>يُقبل المبلغ كسداد كامل لو الفرق أقل من هذه النسبة</t>
  </si>
  <si>
    <t>الحد الأدنى للفرق المقبول (ج)</t>
  </si>
  <si>
    <t>حد أدنى للفرق المقبول بالجنيه</t>
  </si>
  <si>
    <t>حساب الشهر المقطوع (30 = على أساس 30 يومًا · فعلي = بأيام الشهر الحقيقية)</t>
  </si>
  <si>
    <t>30</t>
  </si>
  <si>
    <t>30 = الشهر 30 يومًا (النصف 15/30) كما يحسب المكتب · فعلي = بعدد أيام الشهر</t>
  </si>
  <si>
    <t>آخر شهر مسجَّل (كما اكتشفه البرنامج)</t>
  </si>
  <si>
    <t>أغسطس 2026 (2026-08)</t>
  </si>
  <si>
    <t>آخر شهر يُحاسَب عليه: الشهور بعده «لم تُسجَّل بعد» لا «متأخرة» (يُثبَّت من «آخر شهر مسجَّل في الورقة» أعلاه)</t>
  </si>
  <si>
    <t>آخر كتابة من الموقع</t>
  </si>
  <si>
    <t>2026-10-10 19:09:16</t>
  </si>
  <si>
    <t>الأعمدة الرمادية (من البرنامج) محسوبة حتى هذا الوقت</t>
  </si>
  <si>
    <t>إصدار تنسيق الملف</t>
  </si>
  <si>
    <t>دليل ألوان العناوين</t>
  </si>
  <si>
    <t>عنوان أزرق</t>
  </si>
  <si>
    <t>تكتبه أنت</t>
  </si>
  <si>
    <t>تكتبه أنت: هذه هي البيانات التي يقرأها البرنامج من الملف (خانات الشهور في ورقة السنة، المدفوعات، العقود، العملاء، الوحدات، الصيانة، الإعدادات). الأكواد يعطيها البرنامج تلقائيًا؛ اتركها فارغة في الصف الجديد.</t>
  </si>
  <si>
    <t>عنوان أخضر</t>
  </si>
  <si>
    <t>معادلة إكسيل</t>
  </si>
  <si>
    <t>معادلة إكسيل: يحسبه الإكسيل فورًا من البيانات التي تكتبها (مثل إجمالي المسدَّد، حالة العقد اليوم، الإيجار الشهري الحالي، عدد العقود) — لا تكتب فيه؛ البرنامج يعيد كتابته عند كل حفظ.</t>
  </si>
  <si>
    <t>عنوان رمادي (من البرنامج)</t>
  </si>
  <si>
    <t>يحسبه البرنامج عند الحفظ</t>
  </si>
  <si>
    <t>يحسبه البرنامج عند الحفظ فقط: المتأخرات (بعد أيام السماح والفرق المقبول وحتى آخر شهر مسجَّل) وملخص الأصول — لا يتغيّر وأنت تكتب في الإكسيل، بل عند الحفظ من الموقع (التاريخ في «آخر كتابة من الموقع»)؛ لا تكتب فيه.</t>
  </si>
  <si>
    <t>الخلايا الخضراء الفاتحة والرمادية لا تُكتب: تُحسب تلقائيًا. السطر «آخر شهر مسجَّل (كما اكتشفه البرنامج)» يوضح آخر شهر تُحسب عليه المتأخرات.</t>
  </si>
  <si>
    <t>الوقت</t>
  </si>
  <si>
    <t>العملية</t>
  </si>
  <si>
    <t>الكيان</t>
  </si>
  <si>
    <t>الكود</t>
  </si>
  <si>
    <t>المستخدم</t>
  </si>
  <si>
    <t>اسم المستخدم</t>
  </si>
  <si>
    <t>كلمة المرور (مشفّرة)</t>
  </si>
  <si>
    <t>مفعّل</t>
  </si>
  <si>
    <t>آخر دخول</t>
  </si>
  <si>
    <t>admin</t>
  </si>
  <si>
    <t>المدير</t>
  </si>
  <si>
    <t>مدير</t>
  </si>
  <si>
    <t>pbkdf2$120000$39f541ab1001e3e292a5bc8a7ed17c13$f40d67c359d44555075398d7e3b331026fd8376285b7cd75b98a1e62ec9d879d</t>
  </si>
  <si>
    <t>office</t>
  </si>
  <si>
    <t>موظف المكتب</t>
  </si>
  <si>
    <t>موظف</t>
  </si>
  <si>
    <t>pbkdf2$120000$2b431887e27192fad12ce28eacd0a89e$07f8f95e6cca3f95f1b200d984595c283f5c52fab6e2af1dcebd33653618f7ae</t>
  </si>
  <si>
    <t>zaer</t>
  </si>
  <si>
    <t>زائر</t>
  </si>
  <si>
    <t>مشاهدة فقط</t>
  </si>
  <si>
    <t>pbkdf2$120000$e8a6c003adc64bc6912e5333f41e9218$00b64fdf60cef40b86fe6b43700292f46ad254d793ebf17e2d0c284001125dd4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</si>
</sst>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10" x14ac:knownFonts="1">
    <font>
      <color theme="1"/>
      <family val="2"/>
      <scheme val="minor"/>
      <sz val="11"/>
      <name val="Calibri"/>
    </font>
    <font>
      <b/>
      <color rgb="FF1F4E78"/>
      <sz val="12"/>
    </font>
    <font>
      <b/>
      <sz val="14"/>
    </font>
    <font>
      <b/>
      <color rgb="FFFFFFFF"/>
      <sz val="11"/>
    </font>
    <font>
      <b/>
    </font>
    <font>
      <color rgb="FF7F7F7F"/>
      <sz val="9"/>
    </font>
    <font>
      <color rgb="FF1F1F1F"/>
    </font>
    <font>
      <i/>
      <color rgb="FF595959"/>
    </font>
    <font>
      <b/>
      <sz val="12"/>
    </font>
    <font>
      <b/>
      <color rgb="FFFFFFFF"/>
    </font>
  </fonts>
  <fills count="11">
    <fill>
      <patternFill patternType="none"/>
    </fill>
    <fill>
      <patternFill patternType="gray125"/>
    </fill>
    <fill>
      <patternFill patternType="solid">
        <fgColor rgb="FF1F4E78"/>
      </patternFill>
    </fill>
    <fill>
      <patternFill patternType="solid">
        <fgColor rgb="FF548235"/>
      </patternFill>
    </fill>
    <fill>
      <patternFill patternType="solid">
        <fgColor rgb="FFFFF2CC"/>
      </patternFill>
    </fill>
    <fill>
      <patternFill patternType="solid">
        <fgColor rgb="FFDDEBF7"/>
      </patternFill>
    </fill>
    <fill>
      <patternFill patternType="solid">
        <fgColor rgb="FFE2EFDA"/>
      </patternFill>
    </fill>
    <fill>
      <patternFill patternType="solid">
        <fgColor rgb="FFD9D9D9"/>
      </patternFill>
    </fill>
    <fill>
      <patternFill patternType="solid">
        <fgColor rgb="FF595959"/>
      </patternFill>
    </fill>
    <fill>
      <patternFill patternType="solid">
        <fgColor rgb="FFEBF1DE"/>
      </patternFill>
    </fill>
    <fill>
      <patternFill patternType="solid">
        <fgColor rgb="FFEDEDED"/>
      </patternFill>
    </fill>
  </fills>
  <borders count="3">
    <border>
      <left/>
      <right/>
      <top/>
      <bottom/>
      <diagonal/>
    </border>
    <border>
      <left/>
      <right/>
      <top/>
      <bottom style="thin"/>
      <diagonal/>
    </border>
    <border>
      <left style="hair"/>
      <right style="hair"/>
      <top style="hair"/>
      <bottom style="hair"/>
      <diagonal/>
    </border>
  </borders>
  <cellStyleXfs count="1">
    <xf numFmtId="0" fontId="0" fillId="0" borderId="0"/>
  </cellStyleXfs>
  <cellXfs count="46">
    <xf numFmtId="0" fontId="0" fillId="0" borderId="0" xfId="0"/>
    <xf numFmtId="0" fontId="1" fillId="0" borderId="0" xfId="0" applyFont="1"/>
    <xf numFmtId="0" fontId="2" fillId="0" borderId="0" xfId="0" applyFont="1" applyAlignment="1">
      <alignment horizontal="center"/>
    </xf>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4" borderId="2" xfId="0" applyFill="1" applyBorder="1"/>
    <xf numFmtId="164" fontId="0" fillId="4" borderId="2" xfId="0" applyNumberFormat="1" applyFill="1" applyBorder="1"/>
    <xf numFmtId="49" fontId="0" fillId="4" borderId="2" xfId="0" applyNumberFormat="1" applyFill="1" applyBorder="1"/>
    <xf numFmtId="4" fontId="0" fillId="4" borderId="2" xfId="0" applyNumberFormat="1" applyFill="1" applyBorder="1"/>
    <xf numFmtId="4" fontId="4" fillId="4" borderId="2" xfId="0" applyNumberFormat="1" applyFont="1" applyFill="1" applyBorder="1"/>
    <xf numFmtId="0" fontId="5" fillId="4" borderId="2" xfId="0" applyFont="1" applyFill="1" applyBorder="1"/>
    <xf numFmtId="0" fontId="0" fillId="5" borderId="2" xfId="0" applyFill="1" applyBorder="1"/>
    <xf numFmtId="164" fontId="0" fillId="5" borderId="2" xfId="0" applyNumberFormat="1" applyFill="1" applyBorder="1"/>
    <xf numFmtId="49" fontId="0" fillId="5" borderId="2" xfId="0" applyNumberFormat="1" applyFill="1" applyBorder="1"/>
    <xf numFmtId="4" fontId="0" fillId="5" borderId="2" xfId="0" applyNumberFormat="1" applyFill="1" applyBorder="1"/>
    <xf numFmtId="4" fontId="4" fillId="5" borderId="2" xfId="0" applyNumberFormat="1" applyFont="1" applyFill="1" applyBorder="1"/>
    <xf numFmtId="0" fontId="5" fillId="5" borderId="2" xfId="0" applyFont="1" applyFill="1" applyBorder="1"/>
    <xf numFmtId="0" fontId="0" fillId="6" borderId="2" xfId="0" applyFill="1" applyBorder="1"/>
    <xf numFmtId="164" fontId="0" fillId="6" borderId="2" xfId="0" applyNumberFormat="1" applyFill="1" applyBorder="1"/>
    <xf numFmtId="49" fontId="0" fillId="6" borderId="2" xfId="0" applyNumberFormat="1" applyFill="1" applyBorder="1"/>
    <xf numFmtId="4" fontId="0" fillId="6" borderId="2" xfId="0" applyNumberFormat="1" applyFill="1" applyBorder="1"/>
    <xf numFmtId="4" fontId="4" fillId="6" borderId="2" xfId="0" applyNumberFormat="1" applyFont="1" applyFill="1" applyBorder="1"/>
    <xf numFmtId="0" fontId="5" fillId="6" borderId="2" xfId="0" applyFont="1" applyFill="1" applyBorder="1"/>
    <xf numFmtId="0" fontId="0" fillId="7" borderId="0" xfId="0" applyFill="1"/>
    <xf numFmtId="0" fontId="4" fillId="7" borderId="0" xfId="0" applyFont="1" applyFill="1"/>
    <xf numFmtId="4" fontId="4" fillId="7" borderId="0" xfId="0" applyNumberFormat="1" applyFont="1" applyFill="1"/>
    <xf numFmtId="0" fontId="3" fillId="8" borderId="1" xfId="0" applyFont="1" applyFill="1" applyBorder="1" applyAlignment="1">
      <alignment horizontal="center" vertical="center" wrapText="1"/>
    </xf>
    <xf numFmtId="0" fontId="6" fillId="9" borderId="0" xfId="0" applyFont="1" applyFill="1"/>
    <xf numFmtId="4" fontId="6" fillId="9" borderId="0" xfId="0" applyNumberFormat="1" applyFont="1" applyFill="1"/>
    <xf numFmtId="9" fontId="6" fillId="9" borderId="0" xfId="0" applyNumberFormat="1" applyFont="1" applyFill="1"/>
    <xf numFmtId="3" fontId="7" fillId="10" borderId="0" xfId="0" applyNumberFormat="1" applyFont="1" applyFill="1"/>
    <xf numFmtId="3" fontId="4" fillId="7" borderId="0" xfId="0" applyNumberFormat="1" applyFont="1" applyFill="1"/>
    <xf numFmtId="9" fontId="4" fillId="7" borderId="0" xfId="0" applyNumberFormat="1" applyFont="1" applyFill="1"/>
    <xf numFmtId="164" fontId="0" fillId="0" borderId="0" xfId="0" applyNumberFormat="1"/>
    <xf numFmtId="1" fontId="6" fillId="9" borderId="0" xfId="0" applyNumberFormat="1" applyFont="1" applyFill="1"/>
    <xf numFmtId="4" fontId="7" fillId="10" borderId="0" xfId="0" applyNumberFormat="1" applyFont="1" applyFill="1"/>
    <xf numFmtId="0" fontId="7" fillId="10" borderId="0" xfId="0" applyFont="1" applyFill="1"/>
    <xf numFmtId="164" fontId="6" fillId="9" borderId="0" xfId="0" applyNumberFormat="1" applyFont="1" applyFill="1"/>
    <xf numFmtId="49" fontId="0" fillId="0" borderId="0" xfId="0" applyNumberFormat="1"/>
    <xf numFmtId="4" fontId="0" fillId="0" borderId="0" xfId="0" applyNumberFormat="1"/>
    <xf numFmtId="49" fontId="7" fillId="10" borderId="0" xfId="0" applyNumberFormat="1" applyFont="1" applyFill="1"/>
    <xf numFmtId="0" fontId="8" fillId="0" borderId="0" xfId="0" applyFont="1"/>
    <xf numFmtId="0" fontId="9" fillId="2" borderId="0" xfId="0" applyFont="1" applyFill="1" applyAlignment="1">
      <alignment horizontal="center" vertical="center"/>
    </xf>
    <xf numFmtId="0" fontId="0" fillId="0" borderId="0" xfId="0" applyAlignment="1">
      <alignment vertical="top" wrapText="1"/>
    </xf>
    <xf numFmtId="0" fontId="9" fillId="3" borderId="0" xfId="0" applyFont="1" applyFill="1" applyAlignment="1">
      <alignment horizontal="center" vertical="center"/>
    </xf>
    <xf numFmtId="0" fontId="9" fillId="8"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89"/>
  <sheetViews>
    <sheetView workbookViewId="0" rightToLeft="1">
      <pane xSplit="5" ySplit="2" topLeftCell="F3" activePane="bottomRight" state="frozen"/>
      <selection pane="bottomRight"/>
    </sheetView>
  </sheetViews>
  <sheetFormatPr defaultRowHeight="15" outlineLevelRow="0" outlineLevelCol="0" x14ac:dyDescent="55"/>
  <cols>
    <col min="1" max="1" width="5" customWidth="1"/>
    <col min="2" max="2" width="12" customWidth="1"/>
    <col min="3" max="3" width="34" customWidth="1"/>
    <col min="4" max="4" width="30" customWidth="1"/>
    <col min="5" max="5" width="12" customWidth="1"/>
    <col min="6" max="6" width="26" customWidth="1"/>
    <col min="7" max="8" width="12" customWidth="1"/>
    <col min="9" max="9" width="13" customWidth="1"/>
    <col min="10" max="10" width="18" customWidth="1"/>
    <col min="11" max="22" width="11" customWidth="1"/>
    <col min="23" max="23" width="14" customWidth="1"/>
    <col min="24" max="24" width="40" customWidth="1"/>
    <col min="25" max="25" width="11" customWidth="1"/>
    <col min="26" max="26" width="12" customWidth="1"/>
    <col min="27" max="27" width="11" customWidth="1"/>
    <col min="28" max="28" width="12" customWidth="1"/>
  </cols>
  <sheetData>
    <row r="1" spans="1:22" x14ac:dyDescent="0.25">
      <c r="A1" s="1" t="s">
        <v>0</v>
      </c>
      <c r="K1" s="2" t="s">
        <v>1</v>
      </c>
      <c r="L1" s="2"/>
      <c r="M1" s="2"/>
      <c r="N1" s="2"/>
      <c r="O1" s="2"/>
      <c r="P1" s="2"/>
      <c r="Q1" s="2"/>
      <c r="R1" s="2"/>
      <c r="S1" s="2"/>
      <c r="T1" s="2"/>
      <c r="U1" s="2"/>
      <c r="V1" s="2"/>
    </row>
    <row r="2" ht="28" customHeight="1" spans="1:28" x14ac:dyDescent="0.25">
      <c r="A2" s="3" t="s">
        <v>2</v>
      </c>
      <c r="B2" s="3" t="s">
        <v>3</v>
      </c>
      <c r="C2" s="3" t="s">
        <v>4</v>
      </c>
      <c r="D2" s="3" t="s">
        <v>5</v>
      </c>
      <c r="E2" s="3" t="s">
        <v>6</v>
      </c>
      <c r="F2" s="3" t="s">
        <v>7</v>
      </c>
      <c r="G2" s="3" t="s">
        <v>8</v>
      </c>
      <c r="H2" s="3" t="s">
        <v>9</v>
      </c>
      <c r="I2" s="3" t="s">
        <v>10</v>
      </c>
      <c r="J2" s="3" t="s">
        <v>11</v>
      </c>
      <c r="K2" s="3" t="s">
        <v>12</v>
      </c>
      <c r="L2" s="3" t="s">
        <v>13</v>
      </c>
      <c r="M2" s="3" t="s">
        <v>14</v>
      </c>
      <c r="N2" s="3" t="s">
        <v>15</v>
      </c>
      <c r="O2" s="3" t="s">
        <v>16</v>
      </c>
      <c r="P2" s="3" t="s">
        <v>17</v>
      </c>
      <c r="Q2" s="3" t="s">
        <v>18</v>
      </c>
      <c r="R2" s="3" t="s">
        <v>19</v>
      </c>
      <c r="S2" s="3" t="s">
        <v>20</v>
      </c>
      <c r="T2" s="3" t="s">
        <v>21</v>
      </c>
      <c r="U2" s="3" t="s">
        <v>22</v>
      </c>
      <c r="V2" s="3" t="s">
        <v>23</v>
      </c>
      <c r="W2" s="4" t="s">
        <v>24</v>
      </c>
      <c r="X2" s="3" t="s">
        <v>25</v>
      </c>
      <c r="Y2" s="3" t="s">
        <v>26</v>
      </c>
      <c r="Z2" s="3" t="s">
        <v>27</v>
      </c>
      <c r="AA2" s="3" t="s">
        <v>28</v>
      </c>
      <c r="AB2" s="3" t="s">
        <v>29</v>
      </c>
    </row>
    <row r="3" spans="1:28" x14ac:dyDescent="0.25">
      <c r="A3" s="5">
        <v>1</v>
      </c>
      <c r="B3" s="5" t="s">
        <v>30</v>
      </c>
      <c r="C3" s="5" t="s">
        <v>31</v>
      </c>
      <c r="D3" s="5" t="s">
        <v>32</v>
      </c>
      <c r="E3" s="5" t="s">
        <v>33</v>
      </c>
      <c r="F3" s="5" t="s">
        <v>34</v>
      </c>
      <c r="G3" s="6">
        <v>45078</v>
      </c>
      <c r="H3" s="6">
        <v>46173</v>
      </c>
      <c r="I3" s="7" t="s">
        <v>35</v>
      </c>
      <c r="J3" s="7" t="s">
        <v>36</v>
      </c>
      <c r="K3" s="8">
        <v>12705</v>
      </c>
      <c r="L3" s="8">
        <v>12705</v>
      </c>
      <c r="M3" s="8">
        <v>12705</v>
      </c>
      <c r="N3" s="8">
        <v>12705</v>
      </c>
      <c r="O3" s="8">
        <v>12705</v>
      </c>
      <c r="P3" s="8"/>
      <c r="Q3" s="8"/>
      <c r="R3" s="8"/>
      <c r="S3" s="8"/>
      <c r="T3" s="8"/>
      <c r="U3" s="8"/>
      <c r="V3" s="8"/>
      <c r="W3" s="9">
        <f>SUM(K3:V3)</f>
        <v>63525</v>
      </c>
      <c r="X3" s="5" t="s">
        <v>35</v>
      </c>
      <c r="Y3" s="10" t="s">
        <v>37</v>
      </c>
      <c r="Z3" s="10" t="s">
        <v>38</v>
      </c>
      <c r="AA3" s="10" t="s">
        <v>39</v>
      </c>
      <c r="AB3" s="10" t="s">
        <v>40</v>
      </c>
    </row>
    <row r="4" spans="1:28" x14ac:dyDescent="0.25">
      <c r="A4" s="5">
        <v>2</v>
      </c>
      <c r="B4" s="5" t="s">
        <v>30</v>
      </c>
      <c r="C4" s="5" t="s">
        <v>41</v>
      </c>
      <c r="D4" s="5" t="s">
        <v>42</v>
      </c>
      <c r="E4" s="5" t="s">
        <v>33</v>
      </c>
      <c r="F4" s="5" t="s">
        <v>34</v>
      </c>
      <c r="G4" s="6">
        <v>45778</v>
      </c>
      <c r="H4" s="6">
        <v>46142</v>
      </c>
      <c r="I4" s="7" t="s">
        <v>35</v>
      </c>
      <c r="J4" s="7" t="s">
        <v>43</v>
      </c>
      <c r="K4" s="8">
        <v>30500</v>
      </c>
      <c r="L4" s="8">
        <v>30500</v>
      </c>
      <c r="M4" s="8">
        <v>30500</v>
      </c>
      <c r="N4" s="8">
        <v>30500</v>
      </c>
      <c r="O4" s="8"/>
      <c r="P4" s="8"/>
      <c r="Q4" s="8"/>
      <c r="R4" s="8"/>
      <c r="S4" s="8"/>
      <c r="T4" s="8"/>
      <c r="U4" s="8"/>
      <c r="V4" s="8"/>
      <c r="W4" s="9">
        <f>SUM(K4:V4)</f>
        <v>122000</v>
      </c>
      <c r="X4" s="5" t="s">
        <v>35</v>
      </c>
      <c r="Y4" s="10" t="s">
        <v>44</v>
      </c>
      <c r="Z4" s="10" t="s">
        <v>45</v>
      </c>
      <c r="AA4" s="10" t="s">
        <v>46</v>
      </c>
      <c r="AB4" s="10" t="s">
        <v>40</v>
      </c>
    </row>
    <row r="5" spans="1:28" x14ac:dyDescent="0.25">
      <c r="A5" s="5">
        <v>3</v>
      </c>
      <c r="B5" s="5" t="s">
        <v>30</v>
      </c>
      <c r="C5" s="5" t="s">
        <v>47</v>
      </c>
      <c r="D5" s="5" t="s">
        <v>48</v>
      </c>
      <c r="E5" s="5" t="s">
        <v>49</v>
      </c>
      <c r="F5" s="5" t="s">
        <v>34</v>
      </c>
      <c r="G5" s="6">
        <v>45432</v>
      </c>
      <c r="H5" s="6">
        <v>46526</v>
      </c>
      <c r="I5" s="7" t="s">
        <v>50</v>
      </c>
      <c r="J5" s="7" t="s">
        <v>51</v>
      </c>
      <c r="K5" s="8">
        <v>45100</v>
      </c>
      <c r="L5" s="8">
        <v>45100</v>
      </c>
      <c r="M5" s="8">
        <v>45100</v>
      </c>
      <c r="N5" s="8">
        <v>45100</v>
      </c>
      <c r="O5" s="8">
        <v>46603</v>
      </c>
      <c r="P5" s="8">
        <v>49610</v>
      </c>
      <c r="Q5" s="8">
        <v>49610</v>
      </c>
      <c r="R5" s="8">
        <v>49610</v>
      </c>
      <c r="S5" s="8"/>
      <c r="T5" s="8"/>
      <c r="U5" s="8"/>
      <c r="V5" s="8"/>
      <c r="W5" s="9">
        <f>SUM(K5:V5)</f>
        <v>375833</v>
      </c>
      <c r="X5" s="5" t="s">
        <v>35</v>
      </c>
      <c r="Y5" s="10" t="s">
        <v>52</v>
      </c>
      <c r="Z5" s="10" t="s">
        <v>53</v>
      </c>
      <c r="AA5" s="10" t="s">
        <v>54</v>
      </c>
      <c r="AB5" s="10" t="s">
        <v>40</v>
      </c>
    </row>
    <row r="6" spans="1:28" x14ac:dyDescent="0.25">
      <c r="A6" s="5">
        <v>4</v>
      </c>
      <c r="B6" s="5" t="s">
        <v>30</v>
      </c>
      <c r="C6" s="5" t="s">
        <v>55</v>
      </c>
      <c r="D6" s="5" t="s">
        <v>56</v>
      </c>
      <c r="E6" s="5" t="s">
        <v>57</v>
      </c>
      <c r="F6" s="5" t="s">
        <v>34</v>
      </c>
      <c r="G6" s="6">
        <v>45444</v>
      </c>
      <c r="H6" s="6">
        <v>46173</v>
      </c>
      <c r="I6" s="7" t="s">
        <v>35</v>
      </c>
      <c r="J6" s="7" t="s">
        <v>58</v>
      </c>
      <c r="K6" s="8">
        <v>41800</v>
      </c>
      <c r="L6" s="8">
        <v>41800</v>
      </c>
      <c r="M6" s="8">
        <v>41800</v>
      </c>
      <c r="N6" s="8">
        <v>41800</v>
      </c>
      <c r="O6" s="8">
        <v>41800</v>
      </c>
      <c r="P6" s="8"/>
      <c r="Q6" s="8"/>
      <c r="R6" s="8"/>
      <c r="S6" s="8"/>
      <c r="T6" s="8"/>
      <c r="U6" s="8"/>
      <c r="V6" s="8"/>
      <c r="W6" s="9">
        <f>SUM(K6:V6)</f>
        <v>209000</v>
      </c>
      <c r="X6" s="5" t="s">
        <v>35</v>
      </c>
      <c r="Y6" s="10" t="s">
        <v>59</v>
      </c>
      <c r="Z6" s="10" t="s">
        <v>60</v>
      </c>
      <c r="AA6" s="10" t="s">
        <v>61</v>
      </c>
      <c r="AB6" s="10" t="s">
        <v>40</v>
      </c>
    </row>
    <row r="7" spans="1:28" x14ac:dyDescent="0.25">
      <c r="A7" s="5">
        <v>5</v>
      </c>
      <c r="B7" s="5" t="s">
        <v>30</v>
      </c>
      <c r="C7" s="5" t="s">
        <v>47</v>
      </c>
      <c r="D7" s="5" t="s">
        <v>48</v>
      </c>
      <c r="E7" s="5" t="s">
        <v>62</v>
      </c>
      <c r="F7" s="5" t="s">
        <v>34</v>
      </c>
      <c r="G7" s="6">
        <v>45352</v>
      </c>
      <c r="H7" s="6">
        <v>46446</v>
      </c>
      <c r="I7" s="7" t="s">
        <v>50</v>
      </c>
      <c r="J7" s="7" t="s">
        <v>51</v>
      </c>
      <c r="K7" s="8">
        <v>83600</v>
      </c>
      <c r="L7" s="8">
        <v>83600</v>
      </c>
      <c r="M7" s="8">
        <v>91960</v>
      </c>
      <c r="N7" s="8">
        <v>91960</v>
      </c>
      <c r="O7" s="8">
        <v>91960</v>
      </c>
      <c r="P7" s="8">
        <v>91960</v>
      </c>
      <c r="Q7" s="8">
        <v>91960</v>
      </c>
      <c r="R7" s="8">
        <v>91960</v>
      </c>
      <c r="S7" s="8"/>
      <c r="T7" s="8"/>
      <c r="U7" s="8"/>
      <c r="V7" s="8"/>
      <c r="W7" s="9">
        <f>SUM(K7:V7)</f>
        <v>718960</v>
      </c>
      <c r="X7" s="5" t="s">
        <v>35</v>
      </c>
      <c r="Y7" s="10" t="s">
        <v>63</v>
      </c>
      <c r="Z7" s="10" t="s">
        <v>64</v>
      </c>
      <c r="AA7" s="10" t="s">
        <v>54</v>
      </c>
      <c r="AB7" s="10" t="s">
        <v>40</v>
      </c>
    </row>
    <row r="8" spans="1:28" x14ac:dyDescent="0.25">
      <c r="A8" s="5">
        <v>6</v>
      </c>
      <c r="B8" s="5" t="s">
        <v>30</v>
      </c>
      <c r="C8" s="5" t="s">
        <v>65</v>
      </c>
      <c r="D8" s="5" t="s">
        <v>66</v>
      </c>
      <c r="E8" s="5" t="s">
        <v>67</v>
      </c>
      <c r="F8" s="5" t="s">
        <v>34</v>
      </c>
      <c r="G8" s="6">
        <v>45158</v>
      </c>
      <c r="H8" s="6">
        <v>46253</v>
      </c>
      <c r="I8" s="7" t="s">
        <v>68</v>
      </c>
      <c r="J8" s="7" t="s">
        <v>69</v>
      </c>
      <c r="K8" s="8">
        <v>30250</v>
      </c>
      <c r="L8" s="8">
        <v>30250</v>
      </c>
      <c r="M8" s="8">
        <v>30250</v>
      </c>
      <c r="N8" s="8">
        <v>30250</v>
      </c>
      <c r="O8" s="8">
        <v>30250</v>
      </c>
      <c r="P8" s="8">
        <v>30250</v>
      </c>
      <c r="Q8" s="8">
        <v>30250</v>
      </c>
      <c r="R8" s="8">
        <v>44090</v>
      </c>
      <c r="S8" s="8"/>
      <c r="T8" s="8"/>
      <c r="U8" s="8"/>
      <c r="V8" s="8"/>
      <c r="W8" s="9">
        <f>SUM(K8:V8)</f>
        <v>255840</v>
      </c>
      <c r="X8" s="5" t="s">
        <v>35</v>
      </c>
      <c r="Y8" s="10" t="s">
        <v>70</v>
      </c>
      <c r="Z8" s="10" t="s">
        <v>71</v>
      </c>
      <c r="AA8" s="10" t="s">
        <v>72</v>
      </c>
      <c r="AB8" s="10" t="s">
        <v>40</v>
      </c>
    </row>
    <row r="9" spans="1:28" x14ac:dyDescent="0.25">
      <c r="A9" s="5">
        <v>7</v>
      </c>
      <c r="B9" s="5" t="s">
        <v>30</v>
      </c>
      <c r="C9" s="5" t="s">
        <v>73</v>
      </c>
      <c r="D9" s="5" t="s">
        <v>73</v>
      </c>
      <c r="E9" s="5" t="s">
        <v>74</v>
      </c>
      <c r="F9" s="5" t="s">
        <v>34</v>
      </c>
      <c r="G9" s="6">
        <v>45017</v>
      </c>
      <c r="H9" s="6">
        <v>46112</v>
      </c>
      <c r="I9" s="7" t="s">
        <v>35</v>
      </c>
      <c r="J9" s="7" t="s">
        <v>75</v>
      </c>
      <c r="K9" s="8">
        <v>24330</v>
      </c>
      <c r="L9" s="8">
        <v>24330</v>
      </c>
      <c r="M9" s="8">
        <v>24330</v>
      </c>
      <c r="N9" s="8"/>
      <c r="O9" s="8"/>
      <c r="P9" s="8"/>
      <c r="Q9" s="8"/>
      <c r="R9" s="8"/>
      <c r="S9" s="8"/>
      <c r="T9" s="8"/>
      <c r="U9" s="8"/>
      <c r="V9" s="8"/>
      <c r="W9" s="9">
        <f>SUM(K9:V9)</f>
        <v>72990</v>
      </c>
      <c r="X9" s="5" t="s">
        <v>35</v>
      </c>
      <c r="Y9" s="10" t="s">
        <v>76</v>
      </c>
      <c r="Z9" s="10" t="s">
        <v>77</v>
      </c>
      <c r="AA9" s="10" t="s">
        <v>78</v>
      </c>
      <c r="AB9" s="10" t="s">
        <v>40</v>
      </c>
    </row>
    <row r="10" spans="1:28" x14ac:dyDescent="0.25">
      <c r="A10" s="11">
        <v>8</v>
      </c>
      <c r="B10" s="11" t="s">
        <v>79</v>
      </c>
      <c r="C10" s="11" t="s">
        <v>80</v>
      </c>
      <c r="D10" s="11" t="s">
        <v>81</v>
      </c>
      <c r="E10" s="11" t="s">
        <v>82</v>
      </c>
      <c r="F10" s="11" t="s">
        <v>83</v>
      </c>
      <c r="G10" s="12">
        <v>45139</v>
      </c>
      <c r="H10" s="12">
        <v>46965</v>
      </c>
      <c r="I10" s="13" t="s">
        <v>84</v>
      </c>
      <c r="J10" s="13" t="s">
        <v>85</v>
      </c>
      <c r="K10" s="14">
        <v>42350</v>
      </c>
      <c r="L10" s="14">
        <v>42350</v>
      </c>
      <c r="M10" s="14">
        <v>42350</v>
      </c>
      <c r="N10" s="14">
        <v>42350</v>
      </c>
      <c r="O10" s="14">
        <v>42350</v>
      </c>
      <c r="P10" s="14">
        <v>42350</v>
      </c>
      <c r="Q10" s="14">
        <v>42350</v>
      </c>
      <c r="R10" s="14">
        <v>46585</v>
      </c>
      <c r="S10" s="14"/>
      <c r="T10" s="14"/>
      <c r="U10" s="14"/>
      <c r="V10" s="14"/>
      <c r="W10" s="15">
        <f>SUM(K10:V10)</f>
        <v>343035</v>
      </c>
      <c r="X10" s="11" t="s">
        <v>35</v>
      </c>
      <c r="Y10" s="16" t="s">
        <v>86</v>
      </c>
      <c r="Z10" s="16" t="s">
        <v>87</v>
      </c>
      <c r="AA10" s="16" t="s">
        <v>88</v>
      </c>
      <c r="AB10" s="16" t="s">
        <v>89</v>
      </c>
    </row>
    <row r="11" spans="1:28" x14ac:dyDescent="0.25">
      <c r="A11" s="11">
        <v>9</v>
      </c>
      <c r="B11" s="11" t="s">
        <v>79</v>
      </c>
      <c r="C11" s="11" t="s">
        <v>90</v>
      </c>
      <c r="D11" s="11" t="s">
        <v>91</v>
      </c>
      <c r="E11" s="11" t="s">
        <v>92</v>
      </c>
      <c r="F11" s="11" t="s">
        <v>83</v>
      </c>
      <c r="G11" s="12">
        <v>45242</v>
      </c>
      <c r="H11" s="12">
        <v>46337</v>
      </c>
      <c r="I11" s="13" t="s">
        <v>93</v>
      </c>
      <c r="J11" s="13" t="s">
        <v>94</v>
      </c>
      <c r="K11" s="14">
        <v>25410</v>
      </c>
      <c r="L11" s="14">
        <v>25410</v>
      </c>
      <c r="M11" s="14">
        <v>25410</v>
      </c>
      <c r="N11" s="14">
        <v>25410</v>
      </c>
      <c r="O11" s="14">
        <v>25410</v>
      </c>
      <c r="P11" s="14">
        <v>25410</v>
      </c>
      <c r="Q11" s="14">
        <v>25410</v>
      </c>
      <c r="R11" s="14">
        <v>25410</v>
      </c>
      <c r="S11" s="14"/>
      <c r="T11" s="14"/>
      <c r="U11" s="14"/>
      <c r="V11" s="14"/>
      <c r="W11" s="15">
        <f>SUM(K11:V11)</f>
        <v>203280</v>
      </c>
      <c r="X11" s="11" t="s">
        <v>35</v>
      </c>
      <c r="Y11" s="16" t="s">
        <v>95</v>
      </c>
      <c r="Z11" s="16" t="s">
        <v>96</v>
      </c>
      <c r="AA11" s="16" t="s">
        <v>97</v>
      </c>
      <c r="AB11" s="16" t="s">
        <v>89</v>
      </c>
    </row>
    <row r="12" spans="1:28" x14ac:dyDescent="0.25">
      <c r="A12" s="11">
        <v>10</v>
      </c>
      <c r="B12" s="11" t="s">
        <v>79</v>
      </c>
      <c r="C12" s="11" t="s">
        <v>98</v>
      </c>
      <c r="D12" s="11" t="s">
        <v>99</v>
      </c>
      <c r="E12" s="11" t="s">
        <v>100</v>
      </c>
      <c r="F12" s="11" t="s">
        <v>83</v>
      </c>
      <c r="G12" s="12">
        <v>45231</v>
      </c>
      <c r="H12" s="12">
        <v>46326</v>
      </c>
      <c r="I12" s="13" t="s">
        <v>101</v>
      </c>
      <c r="J12" s="13" t="s">
        <v>102</v>
      </c>
      <c r="K12" s="14">
        <v>46585</v>
      </c>
      <c r="L12" s="14">
        <v>46585</v>
      </c>
      <c r="M12" s="14">
        <v>46585</v>
      </c>
      <c r="N12" s="14">
        <v>46585</v>
      </c>
      <c r="O12" s="14">
        <v>46585</v>
      </c>
      <c r="P12" s="14">
        <v>46585</v>
      </c>
      <c r="Q12" s="14">
        <v>46585</v>
      </c>
      <c r="R12" s="14">
        <v>46585</v>
      </c>
      <c r="S12" s="14"/>
      <c r="T12" s="14"/>
      <c r="U12" s="14"/>
      <c r="V12" s="14"/>
      <c r="W12" s="15">
        <f>SUM(K12:V12)</f>
        <v>372680</v>
      </c>
      <c r="X12" s="11" t="s">
        <v>35</v>
      </c>
      <c r="Y12" s="16" t="s">
        <v>103</v>
      </c>
      <c r="Z12" s="16" t="s">
        <v>104</v>
      </c>
      <c r="AA12" s="16" t="s">
        <v>105</v>
      </c>
      <c r="AB12" s="16" t="s">
        <v>89</v>
      </c>
    </row>
    <row r="13" spans="1:28" x14ac:dyDescent="0.25">
      <c r="A13" s="11">
        <v>11</v>
      </c>
      <c r="B13" s="11" t="s">
        <v>79</v>
      </c>
      <c r="C13" s="11" t="s">
        <v>106</v>
      </c>
      <c r="D13" s="11" t="s">
        <v>106</v>
      </c>
      <c r="E13" s="11" t="s">
        <v>107</v>
      </c>
      <c r="F13" s="11" t="s">
        <v>83</v>
      </c>
      <c r="G13" s="12">
        <v>46023</v>
      </c>
      <c r="H13" s="12">
        <v>46142</v>
      </c>
      <c r="I13" s="13" t="s">
        <v>35</v>
      </c>
      <c r="J13" s="13" t="s">
        <v>108</v>
      </c>
      <c r="K13" s="14">
        <v>22990</v>
      </c>
      <c r="L13" s="14">
        <v>22990</v>
      </c>
      <c r="M13" s="14">
        <v>22990</v>
      </c>
      <c r="N13" s="14">
        <v>22990</v>
      </c>
      <c r="O13" s="14"/>
      <c r="P13" s="14"/>
      <c r="Q13" s="14"/>
      <c r="R13" s="14"/>
      <c r="S13" s="14"/>
      <c r="T13" s="14"/>
      <c r="U13" s="14"/>
      <c r="V13" s="14"/>
      <c r="W13" s="15">
        <f>SUM(K13:V13)</f>
        <v>91960</v>
      </c>
      <c r="X13" s="11" t="s">
        <v>109</v>
      </c>
      <c r="Y13" s="16" t="s">
        <v>110</v>
      </c>
      <c r="Z13" s="16" t="s">
        <v>111</v>
      </c>
      <c r="AA13" s="16" t="s">
        <v>112</v>
      </c>
      <c r="AB13" s="16" t="s">
        <v>89</v>
      </c>
    </row>
    <row r="14" spans="1:28" x14ac:dyDescent="0.25">
      <c r="A14" s="11">
        <v>12</v>
      </c>
      <c r="B14" s="11" t="s">
        <v>79</v>
      </c>
      <c r="C14" s="11" t="s">
        <v>106</v>
      </c>
      <c r="D14" s="11" t="s">
        <v>106</v>
      </c>
      <c r="E14" s="11" t="s">
        <v>107</v>
      </c>
      <c r="F14" s="11" t="s">
        <v>83</v>
      </c>
      <c r="G14" s="12">
        <v>46143</v>
      </c>
      <c r="H14" s="12">
        <v>46507</v>
      </c>
      <c r="I14" s="13" t="s">
        <v>35</v>
      </c>
      <c r="J14" s="13" t="s">
        <v>108</v>
      </c>
      <c r="K14" s="14"/>
      <c r="L14" s="14"/>
      <c r="M14" s="14"/>
      <c r="N14" s="14"/>
      <c r="O14" s="14">
        <v>37000</v>
      </c>
      <c r="P14" s="14">
        <v>37000</v>
      </c>
      <c r="Q14" s="14">
        <v>37000</v>
      </c>
      <c r="R14" s="14">
        <v>37000</v>
      </c>
      <c r="S14" s="14"/>
      <c r="T14" s="14"/>
      <c r="U14" s="14"/>
      <c r="V14" s="14"/>
      <c r="W14" s="15">
        <f>SUM(K14:V14)</f>
        <v>148000</v>
      </c>
      <c r="X14" s="11" t="s">
        <v>35</v>
      </c>
      <c r="Y14" s="16" t="s">
        <v>113</v>
      </c>
      <c r="Z14" s="16" t="s">
        <v>111</v>
      </c>
      <c r="AA14" s="16" t="s">
        <v>112</v>
      </c>
      <c r="AB14" s="16" t="s">
        <v>89</v>
      </c>
    </row>
    <row r="15" spans="1:28" x14ac:dyDescent="0.25">
      <c r="A15" s="11">
        <v>13</v>
      </c>
      <c r="B15" s="11" t="s">
        <v>79</v>
      </c>
      <c r="C15" s="11" t="s">
        <v>114</v>
      </c>
      <c r="D15" s="11" t="s">
        <v>114</v>
      </c>
      <c r="E15" s="11" t="s">
        <v>115</v>
      </c>
      <c r="F15" s="11" t="s">
        <v>83</v>
      </c>
      <c r="G15" s="12">
        <v>46023</v>
      </c>
      <c r="H15" s="12">
        <v>46142</v>
      </c>
      <c r="I15" s="13" t="s">
        <v>35</v>
      </c>
      <c r="J15" s="13" t="s">
        <v>116</v>
      </c>
      <c r="K15" s="14">
        <v>35000</v>
      </c>
      <c r="L15" s="14">
        <v>35000</v>
      </c>
      <c r="M15" s="14">
        <v>35000</v>
      </c>
      <c r="N15" s="14">
        <v>35000</v>
      </c>
      <c r="O15" s="14"/>
      <c r="P15" s="14"/>
      <c r="Q15" s="14"/>
      <c r="R15" s="14"/>
      <c r="S15" s="14"/>
      <c r="T15" s="14"/>
      <c r="U15" s="14"/>
      <c r="V15" s="14"/>
      <c r="W15" s="15">
        <f>SUM(K15:V15)</f>
        <v>140000</v>
      </c>
      <c r="X15" s="11" t="s">
        <v>109</v>
      </c>
      <c r="Y15" s="16" t="s">
        <v>117</v>
      </c>
      <c r="Z15" s="16" t="s">
        <v>118</v>
      </c>
      <c r="AA15" s="16" t="s">
        <v>119</v>
      </c>
      <c r="AB15" s="16" t="s">
        <v>89</v>
      </c>
    </row>
    <row r="16" spans="1:28" x14ac:dyDescent="0.25">
      <c r="A16" s="11">
        <v>14</v>
      </c>
      <c r="B16" s="11" t="s">
        <v>79</v>
      </c>
      <c r="C16" s="11" t="s">
        <v>114</v>
      </c>
      <c r="D16" s="11" t="s">
        <v>114</v>
      </c>
      <c r="E16" s="11" t="s">
        <v>115</v>
      </c>
      <c r="F16" s="11" t="s">
        <v>83</v>
      </c>
      <c r="G16" s="12">
        <v>46143</v>
      </c>
      <c r="H16" s="12">
        <v>46507</v>
      </c>
      <c r="I16" s="13" t="s">
        <v>35</v>
      </c>
      <c r="J16" s="13" t="s">
        <v>116</v>
      </c>
      <c r="K16" s="14"/>
      <c r="L16" s="14"/>
      <c r="M16" s="14"/>
      <c r="N16" s="14"/>
      <c r="O16" s="14">
        <v>38500</v>
      </c>
      <c r="P16" s="14">
        <v>38500</v>
      </c>
      <c r="Q16" s="14">
        <v>38500</v>
      </c>
      <c r="R16" s="14">
        <v>37500</v>
      </c>
      <c r="S16" s="14"/>
      <c r="T16" s="14"/>
      <c r="U16" s="14"/>
      <c r="V16" s="14"/>
      <c r="W16" s="15">
        <f>SUM(K16:V16)</f>
        <v>153000</v>
      </c>
      <c r="X16" s="11" t="s">
        <v>35</v>
      </c>
      <c r="Y16" s="16" t="s">
        <v>120</v>
      </c>
      <c r="Z16" s="16" t="s">
        <v>118</v>
      </c>
      <c r="AA16" s="16" t="s">
        <v>119</v>
      </c>
      <c r="AB16" s="16" t="s">
        <v>89</v>
      </c>
    </row>
    <row r="17" spans="1:28" x14ac:dyDescent="0.25">
      <c r="A17" s="11">
        <v>15</v>
      </c>
      <c r="B17" s="11" t="s">
        <v>79</v>
      </c>
      <c r="C17" s="11" t="s">
        <v>121</v>
      </c>
      <c r="D17" s="11" t="s">
        <v>122</v>
      </c>
      <c r="E17" s="11" t="s">
        <v>123</v>
      </c>
      <c r="F17" s="11" t="s">
        <v>83</v>
      </c>
      <c r="G17" s="12">
        <v>45870</v>
      </c>
      <c r="H17" s="12">
        <v>46965</v>
      </c>
      <c r="I17" s="13" t="s">
        <v>124</v>
      </c>
      <c r="J17" s="13" t="s">
        <v>125</v>
      </c>
      <c r="K17" s="14">
        <v>43000</v>
      </c>
      <c r="L17" s="14">
        <v>43000</v>
      </c>
      <c r="M17" s="14">
        <v>43000</v>
      </c>
      <c r="N17" s="14">
        <v>43000</v>
      </c>
      <c r="O17" s="14">
        <v>43000</v>
      </c>
      <c r="P17" s="14">
        <v>43000</v>
      </c>
      <c r="Q17" s="14">
        <v>43000</v>
      </c>
      <c r="R17" s="14">
        <v>49450</v>
      </c>
      <c r="S17" s="14"/>
      <c r="T17" s="14"/>
      <c r="U17" s="14"/>
      <c r="V17" s="14"/>
      <c r="W17" s="15">
        <f>SUM(K17:V17)</f>
        <v>350450</v>
      </c>
      <c r="X17" s="11" t="s">
        <v>35</v>
      </c>
      <c r="Y17" s="16" t="s">
        <v>126</v>
      </c>
      <c r="Z17" s="16" t="s">
        <v>127</v>
      </c>
      <c r="AA17" s="16" t="s">
        <v>128</v>
      </c>
      <c r="AB17" s="16" t="s">
        <v>89</v>
      </c>
    </row>
    <row r="18" spans="1:28" x14ac:dyDescent="0.25">
      <c r="A18" s="11">
        <v>16</v>
      </c>
      <c r="B18" s="11" t="s">
        <v>79</v>
      </c>
      <c r="C18" s="11" t="s">
        <v>121</v>
      </c>
      <c r="D18" s="11" t="s">
        <v>122</v>
      </c>
      <c r="E18" s="11" t="s">
        <v>129</v>
      </c>
      <c r="F18" s="11" t="s">
        <v>83</v>
      </c>
      <c r="G18" s="12">
        <v>45474</v>
      </c>
      <c r="H18" s="12">
        <v>46568</v>
      </c>
      <c r="I18" s="13" t="s">
        <v>124</v>
      </c>
      <c r="J18" s="13" t="s">
        <v>125</v>
      </c>
      <c r="K18" s="14">
        <v>25300</v>
      </c>
      <c r="L18" s="14">
        <v>25300</v>
      </c>
      <c r="M18" s="14">
        <v>25300</v>
      </c>
      <c r="N18" s="14">
        <v>25300</v>
      </c>
      <c r="O18" s="14">
        <v>25300</v>
      </c>
      <c r="P18" s="14">
        <v>25300</v>
      </c>
      <c r="Q18" s="14">
        <v>27830</v>
      </c>
      <c r="R18" s="14">
        <v>27830</v>
      </c>
      <c r="S18" s="14"/>
      <c r="T18" s="14"/>
      <c r="U18" s="14"/>
      <c r="V18" s="14"/>
      <c r="W18" s="15">
        <f>SUM(K18:V18)</f>
        <v>207460</v>
      </c>
      <c r="X18" s="11" t="s">
        <v>35</v>
      </c>
      <c r="Y18" s="16" t="s">
        <v>130</v>
      </c>
      <c r="Z18" s="16" t="s">
        <v>131</v>
      </c>
      <c r="AA18" s="16" t="s">
        <v>128</v>
      </c>
      <c r="AB18" s="16" t="s">
        <v>89</v>
      </c>
    </row>
    <row r="19" spans="1:28" x14ac:dyDescent="0.25">
      <c r="A19" s="11">
        <v>17</v>
      </c>
      <c r="B19" s="11" t="s">
        <v>79</v>
      </c>
      <c r="C19" s="11" t="s">
        <v>132</v>
      </c>
      <c r="D19" s="11" t="s">
        <v>133</v>
      </c>
      <c r="E19" s="11" t="s">
        <v>134</v>
      </c>
      <c r="F19" s="11" t="s">
        <v>83</v>
      </c>
      <c r="G19" s="12">
        <v>45668</v>
      </c>
      <c r="H19" s="12">
        <v>46397</v>
      </c>
      <c r="I19" s="13" t="s">
        <v>35</v>
      </c>
      <c r="J19" s="13" t="s">
        <v>135</v>
      </c>
      <c r="K19" s="14">
        <v>36025</v>
      </c>
      <c r="L19" s="14">
        <v>37665</v>
      </c>
      <c r="M19" s="14">
        <v>37665</v>
      </c>
      <c r="N19" s="14">
        <v>37665</v>
      </c>
      <c r="O19" s="14">
        <v>37665</v>
      </c>
      <c r="P19" s="14">
        <v>37665</v>
      </c>
      <c r="Q19" s="14">
        <v>37665</v>
      </c>
      <c r="R19" s="14">
        <v>37665</v>
      </c>
      <c r="S19" s="14"/>
      <c r="T19" s="14"/>
      <c r="U19" s="14"/>
      <c r="V19" s="14"/>
      <c r="W19" s="15">
        <f>SUM(K19:V19)</f>
        <v>299680</v>
      </c>
      <c r="X19" s="11" t="s">
        <v>35</v>
      </c>
      <c r="Y19" s="16" t="s">
        <v>136</v>
      </c>
      <c r="Z19" s="16" t="s">
        <v>137</v>
      </c>
      <c r="AA19" s="16" t="s">
        <v>138</v>
      </c>
      <c r="AB19" s="16" t="s">
        <v>89</v>
      </c>
    </row>
    <row r="20" spans="1:28" x14ac:dyDescent="0.25">
      <c r="A20" s="11">
        <v>18</v>
      </c>
      <c r="B20" s="11" t="s">
        <v>79</v>
      </c>
      <c r="C20" s="11" t="s">
        <v>139</v>
      </c>
      <c r="D20" s="11" t="s">
        <v>140</v>
      </c>
      <c r="E20" s="11" t="s">
        <v>141</v>
      </c>
      <c r="F20" s="11" t="s">
        <v>83</v>
      </c>
      <c r="G20" s="12">
        <v>45292</v>
      </c>
      <c r="H20" s="12">
        <v>46387</v>
      </c>
      <c r="I20" s="13" t="s">
        <v>35</v>
      </c>
      <c r="J20" s="13" t="s">
        <v>142</v>
      </c>
      <c r="K20" s="14">
        <v>30250</v>
      </c>
      <c r="L20" s="14">
        <v>30250</v>
      </c>
      <c r="M20" s="14">
        <v>30250</v>
      </c>
      <c r="N20" s="14">
        <v>30250</v>
      </c>
      <c r="O20" s="14">
        <v>30250</v>
      </c>
      <c r="P20" s="14">
        <v>30250</v>
      </c>
      <c r="Q20" s="14">
        <v>30250</v>
      </c>
      <c r="R20" s="14">
        <v>30250</v>
      </c>
      <c r="S20" s="14"/>
      <c r="T20" s="14"/>
      <c r="U20" s="14"/>
      <c r="V20" s="14"/>
      <c r="W20" s="15">
        <f>SUM(K20:V20)</f>
        <v>242000</v>
      </c>
      <c r="X20" s="11" t="s">
        <v>35</v>
      </c>
      <c r="Y20" s="16" t="s">
        <v>143</v>
      </c>
      <c r="Z20" s="16" t="s">
        <v>144</v>
      </c>
      <c r="AA20" s="16" t="s">
        <v>145</v>
      </c>
      <c r="AB20" s="16" t="s">
        <v>89</v>
      </c>
    </row>
    <row r="21" spans="1:28" x14ac:dyDescent="0.25">
      <c r="A21" s="11">
        <v>19</v>
      </c>
      <c r="B21" s="11" t="s">
        <v>79</v>
      </c>
      <c r="C21" s="11" t="s">
        <v>146</v>
      </c>
      <c r="D21" s="11" t="s">
        <v>146</v>
      </c>
      <c r="E21" s="11" t="s">
        <v>147</v>
      </c>
      <c r="F21" s="11" t="s">
        <v>83</v>
      </c>
      <c r="G21" s="12">
        <v>45170</v>
      </c>
      <c r="H21" s="12">
        <v>46265</v>
      </c>
      <c r="I21" s="13" t="s">
        <v>35</v>
      </c>
      <c r="J21" s="13" t="s">
        <v>148</v>
      </c>
      <c r="K21" s="14">
        <v>19060</v>
      </c>
      <c r="L21" s="14">
        <v>19060</v>
      </c>
      <c r="M21" s="14">
        <v>19060</v>
      </c>
      <c r="N21" s="14">
        <v>19060</v>
      </c>
      <c r="O21" s="14">
        <v>19060</v>
      </c>
      <c r="P21" s="14">
        <v>19060</v>
      </c>
      <c r="Q21" s="14">
        <v>19060</v>
      </c>
      <c r="R21" s="14">
        <v>19060</v>
      </c>
      <c r="S21" s="14"/>
      <c r="T21" s="14"/>
      <c r="U21" s="14"/>
      <c r="V21" s="14"/>
      <c r="W21" s="15">
        <f>SUM(K21:V21)</f>
        <v>152480</v>
      </c>
      <c r="X21" s="11" t="s">
        <v>35</v>
      </c>
      <c r="Y21" s="16" t="s">
        <v>149</v>
      </c>
      <c r="Z21" s="16" t="s">
        <v>150</v>
      </c>
      <c r="AA21" s="16" t="s">
        <v>151</v>
      </c>
      <c r="AB21" s="16" t="s">
        <v>89</v>
      </c>
    </row>
    <row r="22" spans="1:28" x14ac:dyDescent="0.25">
      <c r="A22" s="11">
        <v>20</v>
      </c>
      <c r="B22" s="11" t="s">
        <v>79</v>
      </c>
      <c r="C22" s="11" t="s">
        <v>152</v>
      </c>
      <c r="D22" s="11" t="s">
        <v>153</v>
      </c>
      <c r="E22" s="11" t="s">
        <v>154</v>
      </c>
      <c r="F22" s="11" t="s">
        <v>83</v>
      </c>
      <c r="G22" s="12">
        <v>45200</v>
      </c>
      <c r="H22" s="12">
        <v>46295</v>
      </c>
      <c r="I22" s="13" t="s">
        <v>35</v>
      </c>
      <c r="J22" s="13" t="s">
        <v>155</v>
      </c>
      <c r="K22" s="14">
        <v>20570</v>
      </c>
      <c r="L22" s="14">
        <v>20570</v>
      </c>
      <c r="M22" s="14">
        <v>20570</v>
      </c>
      <c r="N22" s="14">
        <v>20570</v>
      </c>
      <c r="O22" s="14">
        <v>20570</v>
      </c>
      <c r="P22" s="14">
        <v>20570</v>
      </c>
      <c r="Q22" s="14">
        <v>20570</v>
      </c>
      <c r="R22" s="14">
        <v>20570</v>
      </c>
      <c r="S22" s="14"/>
      <c r="T22" s="14"/>
      <c r="U22" s="14"/>
      <c r="V22" s="14"/>
      <c r="W22" s="15">
        <f>SUM(K22:V22)</f>
        <v>164560</v>
      </c>
      <c r="X22" s="11" t="s">
        <v>35</v>
      </c>
      <c r="Y22" s="16" t="s">
        <v>156</v>
      </c>
      <c r="Z22" s="16" t="s">
        <v>157</v>
      </c>
      <c r="AA22" s="16" t="s">
        <v>158</v>
      </c>
      <c r="AB22" s="16" t="s">
        <v>89</v>
      </c>
    </row>
    <row r="23" spans="1:28" x14ac:dyDescent="0.25">
      <c r="A23" s="11">
        <v>21</v>
      </c>
      <c r="B23" s="11" t="s">
        <v>79</v>
      </c>
      <c r="C23" s="11" t="s">
        <v>159</v>
      </c>
      <c r="D23" s="11" t="s">
        <v>159</v>
      </c>
      <c r="E23" s="11" t="s">
        <v>160</v>
      </c>
      <c r="F23" s="11" t="s">
        <v>83</v>
      </c>
      <c r="G23" s="12">
        <v>45231</v>
      </c>
      <c r="H23" s="12">
        <v>46326</v>
      </c>
      <c r="I23" s="13" t="s">
        <v>35</v>
      </c>
      <c r="J23" s="13" t="s">
        <v>161</v>
      </c>
      <c r="K23" s="14">
        <v>25410</v>
      </c>
      <c r="L23" s="14">
        <v>25410</v>
      </c>
      <c r="M23" s="14">
        <v>25410</v>
      </c>
      <c r="N23" s="14">
        <v>25410</v>
      </c>
      <c r="O23" s="14">
        <v>25410</v>
      </c>
      <c r="P23" s="14">
        <v>25410</v>
      </c>
      <c r="Q23" s="14">
        <v>25410</v>
      </c>
      <c r="R23" s="14">
        <v>25410</v>
      </c>
      <c r="S23" s="14"/>
      <c r="T23" s="14"/>
      <c r="U23" s="14"/>
      <c r="V23" s="14"/>
      <c r="W23" s="15">
        <f>SUM(K23:V23)</f>
        <v>203280</v>
      </c>
      <c r="X23" s="11" t="s">
        <v>35</v>
      </c>
      <c r="Y23" s="16" t="s">
        <v>162</v>
      </c>
      <c r="Z23" s="16" t="s">
        <v>163</v>
      </c>
      <c r="AA23" s="16" t="s">
        <v>164</v>
      </c>
      <c r="AB23" s="16" t="s">
        <v>89</v>
      </c>
    </row>
    <row r="24" spans="1:28" x14ac:dyDescent="0.25">
      <c r="A24" s="17">
        <v>22</v>
      </c>
      <c r="B24" s="17" t="s">
        <v>165</v>
      </c>
      <c r="C24" s="17" t="s">
        <v>166</v>
      </c>
      <c r="D24" s="17" t="s">
        <v>167</v>
      </c>
      <c r="E24" s="17" t="s">
        <v>82</v>
      </c>
      <c r="F24" s="17" t="s">
        <v>168</v>
      </c>
      <c r="G24" s="18">
        <v>45505</v>
      </c>
      <c r="H24" s="18">
        <v>46599</v>
      </c>
      <c r="I24" s="19" t="s">
        <v>169</v>
      </c>
      <c r="J24" s="19" t="s">
        <v>170</v>
      </c>
      <c r="K24" s="20">
        <v>40700</v>
      </c>
      <c r="L24" s="20">
        <v>40700</v>
      </c>
      <c r="M24" s="20">
        <v>40700</v>
      </c>
      <c r="N24" s="20">
        <v>40700</v>
      </c>
      <c r="O24" s="20">
        <v>40700</v>
      </c>
      <c r="P24" s="20">
        <v>40700</v>
      </c>
      <c r="Q24" s="20">
        <v>40700</v>
      </c>
      <c r="R24" s="20">
        <v>44770</v>
      </c>
      <c r="S24" s="20"/>
      <c r="T24" s="20"/>
      <c r="U24" s="20"/>
      <c r="V24" s="20"/>
      <c r="W24" s="21">
        <f>SUM(K24:V24)</f>
        <v>329670</v>
      </c>
      <c r="X24" s="17" t="s">
        <v>35</v>
      </c>
      <c r="Y24" s="22" t="s">
        <v>171</v>
      </c>
      <c r="Z24" s="22" t="s">
        <v>172</v>
      </c>
      <c r="AA24" s="22" t="s">
        <v>173</v>
      </c>
      <c r="AB24" s="22" t="s">
        <v>174</v>
      </c>
    </row>
    <row r="25" spans="1:28" x14ac:dyDescent="0.25">
      <c r="A25" s="17">
        <v>23</v>
      </c>
      <c r="B25" s="17" t="s">
        <v>165</v>
      </c>
      <c r="C25" s="17" t="s">
        <v>175</v>
      </c>
      <c r="D25" s="17" t="s">
        <v>167</v>
      </c>
      <c r="E25" s="17" t="s">
        <v>92</v>
      </c>
      <c r="F25" s="17" t="s">
        <v>168</v>
      </c>
      <c r="G25" s="18">
        <v>45505</v>
      </c>
      <c r="H25" s="18">
        <v>46599</v>
      </c>
      <c r="I25" s="19" t="s">
        <v>176</v>
      </c>
      <c r="J25" s="19" t="s">
        <v>170</v>
      </c>
      <c r="K25" s="20">
        <v>40700</v>
      </c>
      <c r="L25" s="20">
        <v>40700</v>
      </c>
      <c r="M25" s="20">
        <v>40700</v>
      </c>
      <c r="N25" s="20">
        <v>40700</v>
      </c>
      <c r="O25" s="20">
        <v>40700</v>
      </c>
      <c r="P25" s="20">
        <v>40700</v>
      </c>
      <c r="Q25" s="20">
        <v>40700</v>
      </c>
      <c r="R25" s="20">
        <v>44770</v>
      </c>
      <c r="S25" s="20"/>
      <c r="T25" s="20"/>
      <c r="U25" s="20"/>
      <c r="V25" s="20"/>
      <c r="W25" s="21">
        <f>SUM(K25:V25)</f>
        <v>329670</v>
      </c>
      <c r="X25" s="17" t="s">
        <v>35</v>
      </c>
      <c r="Y25" s="22" t="s">
        <v>177</v>
      </c>
      <c r="Z25" s="22" t="s">
        <v>178</v>
      </c>
      <c r="AA25" s="22" t="s">
        <v>179</v>
      </c>
      <c r="AB25" s="22" t="s">
        <v>174</v>
      </c>
    </row>
    <row r="26" spans="1:28" x14ac:dyDescent="0.25">
      <c r="A26" s="17">
        <v>24</v>
      </c>
      <c r="B26" s="17" t="s">
        <v>165</v>
      </c>
      <c r="C26" s="17" t="s">
        <v>180</v>
      </c>
      <c r="D26" s="17" t="s">
        <v>180</v>
      </c>
      <c r="E26" s="17" t="s">
        <v>181</v>
      </c>
      <c r="F26" s="17" t="s">
        <v>168</v>
      </c>
      <c r="G26" s="18">
        <v>46023</v>
      </c>
      <c r="H26" s="18">
        <v>46203</v>
      </c>
      <c r="I26" s="19" t="s">
        <v>35</v>
      </c>
      <c r="J26" s="19" t="s">
        <v>182</v>
      </c>
      <c r="K26" s="20">
        <v>17500</v>
      </c>
      <c r="L26" s="20">
        <v>17500</v>
      </c>
      <c r="M26" s="20">
        <v>17500</v>
      </c>
      <c r="N26" s="20">
        <v>17500</v>
      </c>
      <c r="O26" s="20">
        <v>17500</v>
      </c>
      <c r="P26" s="20">
        <v>17500</v>
      </c>
      <c r="Q26" s="20"/>
      <c r="R26" s="20"/>
      <c r="S26" s="20"/>
      <c r="T26" s="20"/>
      <c r="U26" s="20"/>
      <c r="V26" s="20"/>
      <c r="W26" s="21">
        <f>SUM(K26:V26)</f>
        <v>105000</v>
      </c>
      <c r="X26" s="17" t="s">
        <v>109</v>
      </c>
      <c r="Y26" s="22" t="s">
        <v>183</v>
      </c>
      <c r="Z26" s="22" t="s">
        <v>184</v>
      </c>
      <c r="AA26" s="22" t="s">
        <v>185</v>
      </c>
      <c r="AB26" s="22" t="s">
        <v>174</v>
      </c>
    </row>
    <row r="27" spans="1:28" x14ac:dyDescent="0.25">
      <c r="A27" s="17">
        <v>25</v>
      </c>
      <c r="B27" s="17" t="s">
        <v>165</v>
      </c>
      <c r="C27" s="17" t="s">
        <v>180</v>
      </c>
      <c r="D27" s="17" t="s">
        <v>180</v>
      </c>
      <c r="E27" s="17" t="s">
        <v>181</v>
      </c>
      <c r="F27" s="17" t="s">
        <v>168</v>
      </c>
      <c r="G27" s="18">
        <v>46204</v>
      </c>
      <c r="H27" s="18">
        <v>46568</v>
      </c>
      <c r="I27" s="19" t="s">
        <v>35</v>
      </c>
      <c r="J27" s="19" t="s">
        <v>182</v>
      </c>
      <c r="K27" s="20"/>
      <c r="L27" s="20"/>
      <c r="M27" s="20"/>
      <c r="N27" s="20"/>
      <c r="O27" s="20"/>
      <c r="P27" s="20"/>
      <c r="Q27" s="20">
        <v>20000</v>
      </c>
      <c r="R27" s="20">
        <v>20000</v>
      </c>
      <c r="S27" s="20"/>
      <c r="T27" s="20"/>
      <c r="U27" s="20"/>
      <c r="V27" s="20"/>
      <c r="W27" s="21">
        <f>SUM(K27:V27)</f>
        <v>40000</v>
      </c>
      <c r="X27" s="17" t="s">
        <v>35</v>
      </c>
      <c r="Y27" s="22" t="s">
        <v>186</v>
      </c>
      <c r="Z27" s="22" t="s">
        <v>184</v>
      </c>
      <c r="AA27" s="22" t="s">
        <v>185</v>
      </c>
      <c r="AB27" s="22" t="s">
        <v>174</v>
      </c>
    </row>
    <row r="28" spans="1:28" x14ac:dyDescent="0.25">
      <c r="A28" s="17">
        <v>26</v>
      </c>
      <c r="B28" s="17" t="s">
        <v>165</v>
      </c>
      <c r="C28" s="17" t="s">
        <v>187</v>
      </c>
      <c r="D28" s="17" t="s">
        <v>187</v>
      </c>
      <c r="E28" s="17" t="s">
        <v>188</v>
      </c>
      <c r="F28" s="17" t="s">
        <v>168</v>
      </c>
      <c r="G28" s="18">
        <v>45992</v>
      </c>
      <c r="H28" s="18">
        <v>46356</v>
      </c>
      <c r="I28" s="19" t="s">
        <v>35</v>
      </c>
      <c r="J28" s="19" t="s">
        <v>189</v>
      </c>
      <c r="K28" s="20">
        <v>7000</v>
      </c>
      <c r="L28" s="20">
        <v>7000</v>
      </c>
      <c r="M28" s="20">
        <v>7000</v>
      </c>
      <c r="N28" s="20">
        <v>7000</v>
      </c>
      <c r="O28" s="20">
        <v>7000</v>
      </c>
      <c r="P28" s="20">
        <v>7000</v>
      </c>
      <c r="Q28" s="20">
        <v>7000</v>
      </c>
      <c r="R28" s="20">
        <v>7000</v>
      </c>
      <c r="S28" s="20"/>
      <c r="T28" s="20"/>
      <c r="U28" s="20"/>
      <c r="V28" s="20"/>
      <c r="W28" s="21">
        <f>SUM(K28:V28)</f>
        <v>56000</v>
      </c>
      <c r="X28" s="17" t="s">
        <v>35</v>
      </c>
      <c r="Y28" s="22" t="s">
        <v>190</v>
      </c>
      <c r="Z28" s="22" t="s">
        <v>191</v>
      </c>
      <c r="AA28" s="22" t="s">
        <v>192</v>
      </c>
      <c r="AB28" s="22" t="s">
        <v>174</v>
      </c>
    </row>
    <row r="29" spans="1:28" x14ac:dyDescent="0.25">
      <c r="A29" s="17">
        <v>27</v>
      </c>
      <c r="B29" s="17" t="s">
        <v>165</v>
      </c>
      <c r="C29" s="17" t="s">
        <v>193</v>
      </c>
      <c r="D29" s="17" t="s">
        <v>193</v>
      </c>
      <c r="E29" s="17" t="s">
        <v>194</v>
      </c>
      <c r="F29" s="17" t="s">
        <v>168</v>
      </c>
      <c r="G29" s="18">
        <v>46023</v>
      </c>
      <c r="H29" s="18">
        <v>46203</v>
      </c>
      <c r="I29" s="19" t="s">
        <v>35</v>
      </c>
      <c r="J29" s="19" t="s">
        <v>195</v>
      </c>
      <c r="K29" s="20">
        <v>13000</v>
      </c>
      <c r="L29" s="20">
        <v>13000</v>
      </c>
      <c r="M29" s="20">
        <v>13000</v>
      </c>
      <c r="N29" s="20">
        <v>13000</v>
      </c>
      <c r="O29" s="20">
        <v>13000</v>
      </c>
      <c r="P29" s="20">
        <v>13000</v>
      </c>
      <c r="Q29" s="20"/>
      <c r="R29" s="20"/>
      <c r="S29" s="20"/>
      <c r="T29" s="20"/>
      <c r="U29" s="20"/>
      <c r="V29" s="20"/>
      <c r="W29" s="21">
        <f>SUM(K29:V29)</f>
        <v>78000</v>
      </c>
      <c r="X29" s="17" t="s">
        <v>109</v>
      </c>
      <c r="Y29" s="22" t="s">
        <v>196</v>
      </c>
      <c r="Z29" s="22" t="s">
        <v>197</v>
      </c>
      <c r="AA29" s="22" t="s">
        <v>198</v>
      </c>
      <c r="AB29" s="22" t="s">
        <v>174</v>
      </c>
    </row>
    <row r="30" spans="1:28" x14ac:dyDescent="0.25">
      <c r="A30" s="17">
        <v>28</v>
      </c>
      <c r="B30" s="17" t="s">
        <v>165</v>
      </c>
      <c r="C30" s="17" t="s">
        <v>193</v>
      </c>
      <c r="D30" s="17" t="s">
        <v>193</v>
      </c>
      <c r="E30" s="17" t="s">
        <v>194</v>
      </c>
      <c r="F30" s="17" t="s">
        <v>168</v>
      </c>
      <c r="G30" s="18">
        <v>46204</v>
      </c>
      <c r="H30" s="18">
        <v>46568</v>
      </c>
      <c r="I30" s="19" t="s">
        <v>35</v>
      </c>
      <c r="J30" s="19" t="s">
        <v>195</v>
      </c>
      <c r="K30" s="20"/>
      <c r="L30" s="20"/>
      <c r="M30" s="20"/>
      <c r="N30" s="20"/>
      <c r="O30" s="20"/>
      <c r="P30" s="20"/>
      <c r="Q30" s="20">
        <v>15000</v>
      </c>
      <c r="R30" s="20">
        <v>15000</v>
      </c>
      <c r="S30" s="20"/>
      <c r="T30" s="20"/>
      <c r="U30" s="20"/>
      <c r="V30" s="20"/>
      <c r="W30" s="21">
        <f>SUM(K30:V30)</f>
        <v>30000</v>
      </c>
      <c r="X30" s="17" t="s">
        <v>35</v>
      </c>
      <c r="Y30" s="22" t="s">
        <v>199</v>
      </c>
      <c r="Z30" s="22" t="s">
        <v>197</v>
      </c>
      <c r="AA30" s="22" t="s">
        <v>198</v>
      </c>
      <c r="AB30" s="22" t="s">
        <v>174</v>
      </c>
    </row>
    <row r="31" spans="1:28" x14ac:dyDescent="0.25">
      <c r="A31" s="17">
        <v>29</v>
      </c>
      <c r="B31" s="17" t="s">
        <v>165</v>
      </c>
      <c r="C31" s="17" t="s">
        <v>180</v>
      </c>
      <c r="D31" s="17" t="s">
        <v>180</v>
      </c>
      <c r="E31" s="17" t="s">
        <v>200</v>
      </c>
      <c r="F31" s="17" t="s">
        <v>168</v>
      </c>
      <c r="G31" s="18">
        <v>46023</v>
      </c>
      <c r="H31" s="18">
        <v>46203</v>
      </c>
      <c r="I31" s="19" t="s">
        <v>35</v>
      </c>
      <c r="J31" s="19" t="s">
        <v>182</v>
      </c>
      <c r="K31" s="20">
        <v>13500</v>
      </c>
      <c r="L31" s="20">
        <v>13500</v>
      </c>
      <c r="M31" s="20">
        <v>13500</v>
      </c>
      <c r="N31" s="20">
        <v>13500</v>
      </c>
      <c r="O31" s="20">
        <v>13500</v>
      </c>
      <c r="P31" s="20">
        <v>13500</v>
      </c>
      <c r="Q31" s="20"/>
      <c r="R31" s="20"/>
      <c r="S31" s="20"/>
      <c r="T31" s="20"/>
      <c r="U31" s="20"/>
      <c r="V31" s="20"/>
      <c r="W31" s="21">
        <f>SUM(K31:V31)</f>
        <v>81000</v>
      </c>
      <c r="X31" s="17" t="s">
        <v>109</v>
      </c>
      <c r="Y31" s="22" t="s">
        <v>201</v>
      </c>
      <c r="Z31" s="22" t="s">
        <v>202</v>
      </c>
      <c r="AA31" s="22" t="s">
        <v>185</v>
      </c>
      <c r="AB31" s="22" t="s">
        <v>174</v>
      </c>
    </row>
    <row r="32" spans="1:28" x14ac:dyDescent="0.25">
      <c r="A32" s="17">
        <v>30</v>
      </c>
      <c r="B32" s="17" t="s">
        <v>165</v>
      </c>
      <c r="C32" s="17" t="s">
        <v>180</v>
      </c>
      <c r="D32" s="17" t="s">
        <v>180</v>
      </c>
      <c r="E32" s="17" t="s">
        <v>200</v>
      </c>
      <c r="F32" s="17" t="s">
        <v>168</v>
      </c>
      <c r="G32" s="18">
        <v>46204</v>
      </c>
      <c r="H32" s="18">
        <v>46568</v>
      </c>
      <c r="I32" s="19" t="s">
        <v>35</v>
      </c>
      <c r="J32" s="19" t="s">
        <v>182</v>
      </c>
      <c r="K32" s="20"/>
      <c r="L32" s="20"/>
      <c r="M32" s="20"/>
      <c r="N32" s="20"/>
      <c r="O32" s="20"/>
      <c r="P32" s="20"/>
      <c r="Q32" s="20">
        <v>15000</v>
      </c>
      <c r="R32" s="20">
        <v>1000</v>
      </c>
      <c r="S32" s="20"/>
      <c r="T32" s="20"/>
      <c r="U32" s="20"/>
      <c r="V32" s="20"/>
      <c r="W32" s="21">
        <f>SUM(K32:V32)</f>
        <v>16000</v>
      </c>
      <c r="X32" s="17" t="s">
        <v>35</v>
      </c>
      <c r="Y32" s="22" t="s">
        <v>203</v>
      </c>
      <c r="Z32" s="22" t="s">
        <v>202</v>
      </c>
      <c r="AA32" s="22" t="s">
        <v>185</v>
      </c>
      <c r="AB32" s="22" t="s">
        <v>174</v>
      </c>
    </row>
    <row r="33" spans="1:28" x14ac:dyDescent="0.25">
      <c r="A33" s="17">
        <v>31</v>
      </c>
      <c r="B33" s="17" t="s">
        <v>165</v>
      </c>
      <c r="C33" s="17" t="s">
        <v>204</v>
      </c>
      <c r="D33" s="17" t="s">
        <v>204</v>
      </c>
      <c r="E33" s="17" t="s">
        <v>205</v>
      </c>
      <c r="F33" s="17" t="s">
        <v>168</v>
      </c>
      <c r="G33" s="18">
        <v>45992</v>
      </c>
      <c r="H33" s="18">
        <v>46356</v>
      </c>
      <c r="I33" s="19" t="s">
        <v>35</v>
      </c>
      <c r="J33" s="19" t="s">
        <v>206</v>
      </c>
      <c r="K33" s="20">
        <v>7000</v>
      </c>
      <c r="L33" s="20">
        <v>7000</v>
      </c>
      <c r="M33" s="20">
        <v>7000</v>
      </c>
      <c r="N33" s="20">
        <v>7000</v>
      </c>
      <c r="O33" s="20">
        <v>7000</v>
      </c>
      <c r="P33" s="20">
        <v>7000</v>
      </c>
      <c r="Q33" s="20">
        <v>7000</v>
      </c>
      <c r="R33" s="20">
        <v>7000</v>
      </c>
      <c r="S33" s="20"/>
      <c r="T33" s="20"/>
      <c r="U33" s="20"/>
      <c r="V33" s="20"/>
      <c r="W33" s="21">
        <f>SUM(K33:V33)</f>
        <v>56000</v>
      </c>
      <c r="X33" s="17" t="s">
        <v>35</v>
      </c>
      <c r="Y33" s="22" t="s">
        <v>207</v>
      </c>
      <c r="Z33" s="22" t="s">
        <v>208</v>
      </c>
      <c r="AA33" s="22" t="s">
        <v>209</v>
      </c>
      <c r="AB33" s="22" t="s">
        <v>174</v>
      </c>
    </row>
    <row r="34" spans="1:28" x14ac:dyDescent="0.25">
      <c r="A34" s="17">
        <v>32</v>
      </c>
      <c r="B34" s="17" t="s">
        <v>165</v>
      </c>
      <c r="C34" s="17" t="s">
        <v>204</v>
      </c>
      <c r="D34" s="17" t="s">
        <v>204</v>
      </c>
      <c r="E34" s="17" t="s">
        <v>210</v>
      </c>
      <c r="F34" s="17" t="s">
        <v>168</v>
      </c>
      <c r="G34" s="18">
        <v>46023</v>
      </c>
      <c r="H34" s="18">
        <v>46203</v>
      </c>
      <c r="I34" s="19" t="s">
        <v>35</v>
      </c>
      <c r="J34" s="19" t="s">
        <v>206</v>
      </c>
      <c r="K34" s="20">
        <v>6000</v>
      </c>
      <c r="L34" s="20">
        <v>6000</v>
      </c>
      <c r="M34" s="20">
        <v>6000</v>
      </c>
      <c r="N34" s="20">
        <v>6000</v>
      </c>
      <c r="O34" s="20">
        <v>6000</v>
      </c>
      <c r="P34" s="20">
        <v>8000</v>
      </c>
      <c r="Q34" s="20"/>
      <c r="R34" s="20"/>
      <c r="S34" s="20"/>
      <c r="T34" s="20"/>
      <c r="U34" s="20"/>
      <c r="V34" s="20"/>
      <c r="W34" s="21">
        <f>SUM(K34:V34)</f>
        <v>38000</v>
      </c>
      <c r="X34" s="17" t="s">
        <v>109</v>
      </c>
      <c r="Y34" s="22" t="s">
        <v>211</v>
      </c>
      <c r="Z34" s="22" t="s">
        <v>212</v>
      </c>
      <c r="AA34" s="22" t="s">
        <v>209</v>
      </c>
      <c r="AB34" s="22" t="s">
        <v>174</v>
      </c>
    </row>
    <row r="35" spans="1:28" x14ac:dyDescent="0.25">
      <c r="A35" s="17">
        <v>33</v>
      </c>
      <c r="B35" s="17" t="s">
        <v>165</v>
      </c>
      <c r="C35" s="17" t="s">
        <v>204</v>
      </c>
      <c r="D35" s="17" t="s">
        <v>204</v>
      </c>
      <c r="E35" s="17" t="s">
        <v>210</v>
      </c>
      <c r="F35" s="17" t="s">
        <v>168</v>
      </c>
      <c r="G35" s="18">
        <v>46204</v>
      </c>
      <c r="H35" s="18">
        <v>46568</v>
      </c>
      <c r="I35" s="19" t="s">
        <v>35</v>
      </c>
      <c r="J35" s="19" t="s">
        <v>206</v>
      </c>
      <c r="K35" s="20"/>
      <c r="L35" s="20"/>
      <c r="M35" s="20"/>
      <c r="N35" s="20"/>
      <c r="O35" s="20"/>
      <c r="P35" s="20"/>
      <c r="Q35" s="20">
        <v>8000</v>
      </c>
      <c r="R35" s="20">
        <v>8000</v>
      </c>
      <c r="S35" s="20"/>
      <c r="T35" s="20"/>
      <c r="U35" s="20"/>
      <c r="V35" s="20"/>
      <c r="W35" s="21">
        <f>SUM(K35:V35)</f>
        <v>16000</v>
      </c>
      <c r="X35" s="17" t="s">
        <v>35</v>
      </c>
      <c r="Y35" s="22" t="s">
        <v>213</v>
      </c>
      <c r="Z35" s="22" t="s">
        <v>212</v>
      </c>
      <c r="AA35" s="22" t="s">
        <v>209</v>
      </c>
      <c r="AB35" s="22" t="s">
        <v>174</v>
      </c>
    </row>
    <row r="36" spans="1:28" x14ac:dyDescent="0.25">
      <c r="A36" s="17">
        <v>34</v>
      </c>
      <c r="B36" s="17" t="s">
        <v>165</v>
      </c>
      <c r="C36" s="17" t="s">
        <v>204</v>
      </c>
      <c r="D36" s="17" t="s">
        <v>204</v>
      </c>
      <c r="E36" s="17" t="s">
        <v>214</v>
      </c>
      <c r="F36" s="17" t="s">
        <v>168</v>
      </c>
      <c r="G36" s="18">
        <v>46023</v>
      </c>
      <c r="H36" s="18">
        <v>46203</v>
      </c>
      <c r="I36" s="19" t="s">
        <v>35</v>
      </c>
      <c r="J36" s="19" t="s">
        <v>206</v>
      </c>
      <c r="K36" s="20">
        <v>6000</v>
      </c>
      <c r="L36" s="20">
        <v>6000</v>
      </c>
      <c r="M36" s="20">
        <v>6000</v>
      </c>
      <c r="N36" s="20">
        <v>6000</v>
      </c>
      <c r="O36" s="20">
        <v>6000</v>
      </c>
      <c r="P36" s="20">
        <v>8000</v>
      </c>
      <c r="Q36" s="20"/>
      <c r="R36" s="20"/>
      <c r="S36" s="20"/>
      <c r="T36" s="20"/>
      <c r="U36" s="20"/>
      <c r="V36" s="20"/>
      <c r="W36" s="21">
        <f>SUM(K36:V36)</f>
        <v>38000</v>
      </c>
      <c r="X36" s="17" t="s">
        <v>109</v>
      </c>
      <c r="Y36" s="22" t="s">
        <v>215</v>
      </c>
      <c r="Z36" s="22" t="s">
        <v>216</v>
      </c>
      <c r="AA36" s="22" t="s">
        <v>209</v>
      </c>
      <c r="AB36" s="22" t="s">
        <v>174</v>
      </c>
    </row>
    <row r="37" spans="1:28" x14ac:dyDescent="0.25">
      <c r="A37" s="17">
        <v>35</v>
      </c>
      <c r="B37" s="17" t="s">
        <v>165</v>
      </c>
      <c r="C37" s="17" t="s">
        <v>204</v>
      </c>
      <c r="D37" s="17" t="s">
        <v>204</v>
      </c>
      <c r="E37" s="17" t="s">
        <v>214</v>
      </c>
      <c r="F37" s="17" t="s">
        <v>168</v>
      </c>
      <c r="G37" s="18">
        <v>46204</v>
      </c>
      <c r="H37" s="18">
        <v>46568</v>
      </c>
      <c r="I37" s="19" t="s">
        <v>35</v>
      </c>
      <c r="J37" s="19" t="s">
        <v>206</v>
      </c>
      <c r="K37" s="20"/>
      <c r="L37" s="20"/>
      <c r="M37" s="20"/>
      <c r="N37" s="20"/>
      <c r="O37" s="20"/>
      <c r="P37" s="20"/>
      <c r="Q37" s="20">
        <v>8000</v>
      </c>
      <c r="R37" s="20">
        <v>8000</v>
      </c>
      <c r="S37" s="20"/>
      <c r="T37" s="20"/>
      <c r="U37" s="20"/>
      <c r="V37" s="20"/>
      <c r="W37" s="21">
        <f>SUM(K37:V37)</f>
        <v>16000</v>
      </c>
      <c r="X37" s="17" t="s">
        <v>35</v>
      </c>
      <c r="Y37" s="22" t="s">
        <v>217</v>
      </c>
      <c r="Z37" s="22" t="s">
        <v>216</v>
      </c>
      <c r="AA37" s="22" t="s">
        <v>209</v>
      </c>
      <c r="AB37" s="22" t="s">
        <v>174</v>
      </c>
    </row>
    <row r="38" spans="1:28" x14ac:dyDescent="0.25">
      <c r="A38" s="17">
        <v>36</v>
      </c>
      <c r="B38" s="17" t="s">
        <v>165</v>
      </c>
      <c r="C38" s="17" t="s">
        <v>218</v>
      </c>
      <c r="D38" s="17" t="s">
        <v>219</v>
      </c>
      <c r="E38" s="17" t="s">
        <v>220</v>
      </c>
      <c r="F38" s="17" t="s">
        <v>168</v>
      </c>
      <c r="G38" s="18">
        <v>45078</v>
      </c>
      <c r="H38" s="18">
        <v>46173</v>
      </c>
      <c r="I38" s="19" t="s">
        <v>35</v>
      </c>
      <c r="J38" s="19" t="s">
        <v>221</v>
      </c>
      <c r="K38" s="20">
        <v>11495</v>
      </c>
      <c r="L38" s="20">
        <v>11495</v>
      </c>
      <c r="M38" s="20">
        <v>11495</v>
      </c>
      <c r="N38" s="20">
        <v>11495</v>
      </c>
      <c r="O38" s="20">
        <v>11495</v>
      </c>
      <c r="P38" s="20"/>
      <c r="Q38" s="20"/>
      <c r="R38" s="20"/>
      <c r="S38" s="20"/>
      <c r="T38" s="20"/>
      <c r="U38" s="20"/>
      <c r="V38" s="20"/>
      <c r="W38" s="21">
        <f>SUM(K38:V38)</f>
        <v>57475</v>
      </c>
      <c r="X38" s="17" t="s">
        <v>35</v>
      </c>
      <c r="Y38" s="22" t="s">
        <v>222</v>
      </c>
      <c r="Z38" s="22" t="s">
        <v>223</v>
      </c>
      <c r="AA38" s="22" t="s">
        <v>224</v>
      </c>
      <c r="AB38" s="22" t="s">
        <v>174</v>
      </c>
    </row>
    <row r="39" spans="1:28" x14ac:dyDescent="0.25">
      <c r="A39" s="17">
        <v>37</v>
      </c>
      <c r="B39" s="17" t="s">
        <v>165</v>
      </c>
      <c r="C39" s="17" t="s">
        <v>225</v>
      </c>
      <c r="D39" s="17" t="s">
        <v>226</v>
      </c>
      <c r="E39" s="17" t="s">
        <v>100</v>
      </c>
      <c r="F39" s="17" t="s">
        <v>168</v>
      </c>
      <c r="G39" s="18">
        <v>45901</v>
      </c>
      <c r="H39" s="18">
        <v>46265</v>
      </c>
      <c r="I39" s="19" t="s">
        <v>35</v>
      </c>
      <c r="J39" s="19" t="s">
        <v>227</v>
      </c>
      <c r="K39" s="20">
        <v>16500</v>
      </c>
      <c r="L39" s="20">
        <v>16500</v>
      </c>
      <c r="M39" s="20">
        <v>16500</v>
      </c>
      <c r="N39" s="20">
        <v>16500</v>
      </c>
      <c r="O39" s="20">
        <v>16500</v>
      </c>
      <c r="P39" s="20">
        <v>16500</v>
      </c>
      <c r="Q39" s="20">
        <v>16500</v>
      </c>
      <c r="R39" s="20">
        <v>16500</v>
      </c>
      <c r="S39" s="20"/>
      <c r="T39" s="20"/>
      <c r="U39" s="20"/>
      <c r="V39" s="20"/>
      <c r="W39" s="21">
        <f>SUM(K39:V39)</f>
        <v>132000</v>
      </c>
      <c r="X39" s="17" t="s">
        <v>35</v>
      </c>
      <c r="Y39" s="22" t="s">
        <v>228</v>
      </c>
      <c r="Z39" s="22" t="s">
        <v>229</v>
      </c>
      <c r="AA39" s="22" t="s">
        <v>230</v>
      </c>
      <c r="AB39" s="22" t="s">
        <v>174</v>
      </c>
    </row>
    <row r="40" spans="1:28" x14ac:dyDescent="0.25">
      <c r="A40" s="17">
        <v>38</v>
      </c>
      <c r="B40" s="17" t="s">
        <v>165</v>
      </c>
      <c r="C40" s="17" t="s">
        <v>231</v>
      </c>
      <c r="D40" s="17" t="s">
        <v>232</v>
      </c>
      <c r="E40" s="17" t="s">
        <v>233</v>
      </c>
      <c r="F40" s="17" t="s">
        <v>168</v>
      </c>
      <c r="G40" s="18">
        <v>45839</v>
      </c>
      <c r="H40" s="18">
        <v>46203</v>
      </c>
      <c r="I40" s="19" t="s">
        <v>35</v>
      </c>
      <c r="J40" s="19" t="s">
        <v>234</v>
      </c>
      <c r="K40" s="20">
        <v>12500</v>
      </c>
      <c r="L40" s="20">
        <v>12500</v>
      </c>
      <c r="M40" s="20">
        <v>12500</v>
      </c>
      <c r="N40" s="20">
        <v>12500</v>
      </c>
      <c r="O40" s="20">
        <v>12500</v>
      </c>
      <c r="P40" s="20">
        <v>12500</v>
      </c>
      <c r="Q40" s="20"/>
      <c r="R40" s="20"/>
      <c r="S40" s="20"/>
      <c r="T40" s="20"/>
      <c r="U40" s="20"/>
      <c r="V40" s="20"/>
      <c r="W40" s="21">
        <f>SUM(K40:V40)</f>
        <v>75000</v>
      </c>
      <c r="X40" s="17" t="s">
        <v>35</v>
      </c>
      <c r="Y40" s="22" t="s">
        <v>235</v>
      </c>
      <c r="Z40" s="22" t="s">
        <v>236</v>
      </c>
      <c r="AA40" s="22" t="s">
        <v>237</v>
      </c>
      <c r="AB40" s="22" t="s">
        <v>174</v>
      </c>
    </row>
    <row r="41" spans="1:28" x14ac:dyDescent="0.25">
      <c r="A41" s="17">
        <v>39</v>
      </c>
      <c r="B41" s="17" t="s">
        <v>165</v>
      </c>
      <c r="C41" s="17" t="s">
        <v>238</v>
      </c>
      <c r="D41" s="17" t="s">
        <v>239</v>
      </c>
      <c r="E41" s="17" t="s">
        <v>233</v>
      </c>
      <c r="F41" s="17" t="s">
        <v>168</v>
      </c>
      <c r="G41" s="18">
        <v>46204</v>
      </c>
      <c r="H41" s="18">
        <v>46568</v>
      </c>
      <c r="I41" s="19" t="s">
        <v>35</v>
      </c>
      <c r="J41" s="19" t="s">
        <v>240</v>
      </c>
      <c r="K41" s="20"/>
      <c r="L41" s="20"/>
      <c r="M41" s="20"/>
      <c r="N41" s="20"/>
      <c r="O41" s="20"/>
      <c r="P41" s="20"/>
      <c r="Q41" s="20">
        <v>14500</v>
      </c>
      <c r="R41" s="20">
        <v>14500</v>
      </c>
      <c r="S41" s="20"/>
      <c r="T41" s="20"/>
      <c r="U41" s="20"/>
      <c r="V41" s="20"/>
      <c r="W41" s="21">
        <f>SUM(K41:V41)</f>
        <v>29000</v>
      </c>
      <c r="X41" s="17" t="s">
        <v>35</v>
      </c>
      <c r="Y41" s="22" t="s">
        <v>241</v>
      </c>
      <c r="Z41" s="22" t="s">
        <v>236</v>
      </c>
      <c r="AA41" s="22" t="s">
        <v>242</v>
      </c>
      <c r="AB41" s="22" t="s">
        <v>174</v>
      </c>
    </row>
    <row r="42" spans="1:28" x14ac:dyDescent="0.25">
      <c r="A42" s="17">
        <v>40</v>
      </c>
      <c r="B42" s="17" t="s">
        <v>165</v>
      </c>
      <c r="C42" s="17" t="s">
        <v>243</v>
      </c>
      <c r="D42" s="17" t="s">
        <v>243</v>
      </c>
      <c r="E42" s="17" t="s">
        <v>244</v>
      </c>
      <c r="F42" s="17" t="s">
        <v>168</v>
      </c>
      <c r="G42" s="18">
        <v>45977</v>
      </c>
      <c r="H42" s="18">
        <v>46341</v>
      </c>
      <c r="I42" s="19" t="s">
        <v>35</v>
      </c>
      <c r="J42" s="19" t="s">
        <v>245</v>
      </c>
      <c r="K42" s="20">
        <v>14000</v>
      </c>
      <c r="L42" s="20">
        <v>14000</v>
      </c>
      <c r="M42" s="20">
        <v>14000</v>
      </c>
      <c r="N42" s="20">
        <v>14000</v>
      </c>
      <c r="O42" s="20">
        <v>14000</v>
      </c>
      <c r="P42" s="20">
        <v>14000</v>
      </c>
      <c r="Q42" s="20">
        <v>14000</v>
      </c>
      <c r="R42" s="20">
        <v>14000</v>
      </c>
      <c r="S42" s="20"/>
      <c r="T42" s="20"/>
      <c r="U42" s="20"/>
      <c r="V42" s="20"/>
      <c r="W42" s="21">
        <f>SUM(K42:V42)</f>
        <v>112000</v>
      </c>
      <c r="X42" s="17" t="s">
        <v>35</v>
      </c>
      <c r="Y42" s="22" t="s">
        <v>246</v>
      </c>
      <c r="Z42" s="22" t="s">
        <v>247</v>
      </c>
      <c r="AA42" s="22" t="s">
        <v>248</v>
      </c>
      <c r="AB42" s="22" t="s">
        <v>174</v>
      </c>
    </row>
    <row r="43" spans="1:28" x14ac:dyDescent="0.25">
      <c r="A43" s="17">
        <v>41</v>
      </c>
      <c r="B43" s="17" t="s">
        <v>165</v>
      </c>
      <c r="C43" s="17" t="s">
        <v>249</v>
      </c>
      <c r="D43" s="17" t="s">
        <v>250</v>
      </c>
      <c r="E43" s="17" t="s">
        <v>251</v>
      </c>
      <c r="F43" s="17" t="s">
        <v>168</v>
      </c>
      <c r="G43" s="18">
        <v>45901</v>
      </c>
      <c r="H43" s="18">
        <v>46264</v>
      </c>
      <c r="I43" s="19" t="s">
        <v>35</v>
      </c>
      <c r="J43" s="19" t="s">
        <v>252</v>
      </c>
      <c r="K43" s="20">
        <v>16500</v>
      </c>
      <c r="L43" s="20">
        <v>16500</v>
      </c>
      <c r="M43" s="20">
        <v>16500</v>
      </c>
      <c r="N43" s="20">
        <v>16500</v>
      </c>
      <c r="O43" s="20">
        <v>16500</v>
      </c>
      <c r="P43" s="20">
        <v>16500</v>
      </c>
      <c r="Q43" s="20">
        <v>16500</v>
      </c>
      <c r="R43" s="20">
        <v>16500</v>
      </c>
      <c r="S43" s="20"/>
      <c r="T43" s="20"/>
      <c r="U43" s="20"/>
      <c r="V43" s="20"/>
      <c r="W43" s="21">
        <f>SUM(K43:V43)</f>
        <v>132000</v>
      </c>
      <c r="X43" s="17" t="s">
        <v>35</v>
      </c>
      <c r="Y43" s="22" t="s">
        <v>253</v>
      </c>
      <c r="Z43" s="22" t="s">
        <v>254</v>
      </c>
      <c r="AA43" s="22" t="s">
        <v>255</v>
      </c>
      <c r="AB43" s="22" t="s">
        <v>174</v>
      </c>
    </row>
    <row r="44" spans="1:28" x14ac:dyDescent="0.25">
      <c r="A44" s="17">
        <v>42</v>
      </c>
      <c r="B44" s="17" t="s">
        <v>165</v>
      </c>
      <c r="C44" s="17" t="s">
        <v>256</v>
      </c>
      <c r="D44" s="17" t="s">
        <v>257</v>
      </c>
      <c r="E44" s="17" t="s">
        <v>258</v>
      </c>
      <c r="F44" s="17" t="s">
        <v>168</v>
      </c>
      <c r="G44" s="18">
        <v>46143</v>
      </c>
      <c r="H44" s="18">
        <v>46507</v>
      </c>
      <c r="I44" s="19" t="s">
        <v>35</v>
      </c>
      <c r="J44" s="19" t="s">
        <v>259</v>
      </c>
      <c r="K44" s="20"/>
      <c r="L44" s="20"/>
      <c r="M44" s="20"/>
      <c r="N44" s="20"/>
      <c r="O44" s="20">
        <v>20000</v>
      </c>
      <c r="P44" s="20">
        <v>20000</v>
      </c>
      <c r="Q44" s="20">
        <v>20000</v>
      </c>
      <c r="R44" s="20">
        <v>20000</v>
      </c>
      <c r="S44" s="20"/>
      <c r="T44" s="20"/>
      <c r="U44" s="20"/>
      <c r="V44" s="20"/>
      <c r="W44" s="21">
        <f>SUM(K44:V44)</f>
        <v>80000</v>
      </c>
      <c r="X44" s="17" t="s">
        <v>35</v>
      </c>
      <c r="Y44" s="22" t="s">
        <v>260</v>
      </c>
      <c r="Z44" s="22" t="s">
        <v>261</v>
      </c>
      <c r="AA44" s="22" t="s">
        <v>262</v>
      </c>
      <c r="AB44" s="22" t="s">
        <v>174</v>
      </c>
    </row>
    <row r="45" spans="1:28" x14ac:dyDescent="0.25">
      <c r="A45" s="17">
        <v>43</v>
      </c>
      <c r="B45" s="17" t="s">
        <v>165</v>
      </c>
      <c r="C45" s="17" t="s">
        <v>263</v>
      </c>
      <c r="D45" s="17" t="s">
        <v>264</v>
      </c>
      <c r="E45" s="17" t="s">
        <v>265</v>
      </c>
      <c r="F45" s="17" t="s">
        <v>168</v>
      </c>
      <c r="G45" s="18">
        <v>45383</v>
      </c>
      <c r="H45" s="18">
        <v>46477</v>
      </c>
      <c r="I45" s="19" t="s">
        <v>266</v>
      </c>
      <c r="J45" s="19" t="s">
        <v>267</v>
      </c>
      <c r="K45" s="20">
        <v>19250</v>
      </c>
      <c r="L45" s="20">
        <v>19250</v>
      </c>
      <c r="M45" s="20">
        <v>19250</v>
      </c>
      <c r="N45" s="20">
        <v>21175</v>
      </c>
      <c r="O45" s="20">
        <v>21175</v>
      </c>
      <c r="P45" s="20">
        <v>21175</v>
      </c>
      <c r="Q45" s="20">
        <v>21175</v>
      </c>
      <c r="R45" s="20">
        <v>21175</v>
      </c>
      <c r="S45" s="20"/>
      <c r="T45" s="20"/>
      <c r="U45" s="20"/>
      <c r="V45" s="20"/>
      <c r="W45" s="21">
        <f>SUM(K45:V45)</f>
        <v>163625</v>
      </c>
      <c r="X45" s="17" t="s">
        <v>35</v>
      </c>
      <c r="Y45" s="22" t="s">
        <v>268</v>
      </c>
      <c r="Z45" s="22" t="s">
        <v>269</v>
      </c>
      <c r="AA45" s="22" t="s">
        <v>270</v>
      </c>
      <c r="AB45" s="22" t="s">
        <v>174</v>
      </c>
    </row>
    <row r="46" spans="1:28" x14ac:dyDescent="0.25">
      <c r="A46" s="17">
        <v>44</v>
      </c>
      <c r="B46" s="17" t="s">
        <v>165</v>
      </c>
      <c r="C46" s="17" t="s">
        <v>271</v>
      </c>
      <c r="D46" s="17" t="s">
        <v>271</v>
      </c>
      <c r="E46" s="17" t="s">
        <v>107</v>
      </c>
      <c r="F46" s="17" t="s">
        <v>168</v>
      </c>
      <c r="G46" s="18">
        <v>45920</v>
      </c>
      <c r="H46" s="18">
        <v>46284</v>
      </c>
      <c r="I46" s="19" t="s">
        <v>35</v>
      </c>
      <c r="J46" s="19" t="s">
        <v>272</v>
      </c>
      <c r="K46" s="20">
        <v>17000</v>
      </c>
      <c r="L46" s="20">
        <v>17000</v>
      </c>
      <c r="M46" s="20">
        <v>17000</v>
      </c>
      <c r="N46" s="20">
        <v>17000</v>
      </c>
      <c r="O46" s="20">
        <v>17000</v>
      </c>
      <c r="P46" s="20"/>
      <c r="Q46" s="20"/>
      <c r="R46" s="20"/>
      <c r="S46" s="20"/>
      <c r="T46" s="20"/>
      <c r="U46" s="20"/>
      <c r="V46" s="20"/>
      <c r="W46" s="21">
        <f>SUM(K46:V46)</f>
        <v>85000</v>
      </c>
      <c r="X46" s="17" t="s">
        <v>35</v>
      </c>
      <c r="Y46" s="22" t="s">
        <v>273</v>
      </c>
      <c r="Z46" s="22" t="s">
        <v>274</v>
      </c>
      <c r="AA46" s="22" t="s">
        <v>275</v>
      </c>
      <c r="AB46" s="22" t="s">
        <v>174</v>
      </c>
    </row>
    <row r="47" spans="1:28" x14ac:dyDescent="0.25">
      <c r="A47" s="17">
        <v>45</v>
      </c>
      <c r="B47" s="17" t="s">
        <v>165</v>
      </c>
      <c r="C47" s="17" t="s">
        <v>276</v>
      </c>
      <c r="D47" s="17" t="s">
        <v>276</v>
      </c>
      <c r="E47" s="17" t="s">
        <v>115</v>
      </c>
      <c r="F47" s="17" t="s">
        <v>168</v>
      </c>
      <c r="G47" s="18">
        <v>45916</v>
      </c>
      <c r="H47" s="18">
        <v>46280</v>
      </c>
      <c r="I47" s="19" t="s">
        <v>277</v>
      </c>
      <c r="J47" s="19" t="s">
        <v>278</v>
      </c>
      <c r="K47" s="20">
        <v>17000</v>
      </c>
      <c r="L47" s="20">
        <v>17000</v>
      </c>
      <c r="M47" s="20">
        <v>17000</v>
      </c>
      <c r="N47" s="20">
        <v>17000</v>
      </c>
      <c r="O47" s="20">
        <v>17000</v>
      </c>
      <c r="P47" s="20">
        <v>17000</v>
      </c>
      <c r="Q47" s="20">
        <v>17000</v>
      </c>
      <c r="R47" s="20">
        <v>17000</v>
      </c>
      <c r="S47" s="20"/>
      <c r="T47" s="20"/>
      <c r="U47" s="20"/>
      <c r="V47" s="20"/>
      <c r="W47" s="21">
        <f>SUM(K47:V47)</f>
        <v>136000</v>
      </c>
      <c r="X47" s="17" t="s">
        <v>35</v>
      </c>
      <c r="Y47" s="22" t="s">
        <v>279</v>
      </c>
      <c r="Z47" s="22" t="s">
        <v>280</v>
      </c>
      <c r="AA47" s="22" t="s">
        <v>281</v>
      </c>
      <c r="AB47" s="22" t="s">
        <v>174</v>
      </c>
    </row>
    <row r="48" spans="1:28" x14ac:dyDescent="0.25">
      <c r="A48" s="17">
        <v>46</v>
      </c>
      <c r="B48" s="17" t="s">
        <v>165</v>
      </c>
      <c r="C48" s="17" t="s">
        <v>180</v>
      </c>
      <c r="D48" s="17" t="s">
        <v>180</v>
      </c>
      <c r="E48" s="17" t="s">
        <v>123</v>
      </c>
      <c r="F48" s="17" t="s">
        <v>168</v>
      </c>
      <c r="G48" s="18">
        <v>46054</v>
      </c>
      <c r="H48" s="18">
        <v>46418</v>
      </c>
      <c r="I48" s="19" t="s">
        <v>35</v>
      </c>
      <c r="J48" s="19" t="s">
        <v>182</v>
      </c>
      <c r="K48" s="20"/>
      <c r="L48" s="20">
        <v>19000</v>
      </c>
      <c r="M48" s="20">
        <v>19000</v>
      </c>
      <c r="N48" s="20">
        <v>19000</v>
      </c>
      <c r="O48" s="20">
        <v>19000</v>
      </c>
      <c r="P48" s="20">
        <v>19000</v>
      </c>
      <c r="Q48" s="20">
        <v>19000</v>
      </c>
      <c r="R48" s="20">
        <v>19000</v>
      </c>
      <c r="S48" s="20"/>
      <c r="T48" s="20"/>
      <c r="U48" s="20"/>
      <c r="V48" s="20"/>
      <c r="W48" s="21">
        <f>SUM(K48:V48)</f>
        <v>133000</v>
      </c>
      <c r="X48" s="17" t="s">
        <v>35</v>
      </c>
      <c r="Y48" s="22" t="s">
        <v>282</v>
      </c>
      <c r="Z48" s="22" t="s">
        <v>283</v>
      </c>
      <c r="AA48" s="22" t="s">
        <v>185</v>
      </c>
      <c r="AB48" s="22" t="s">
        <v>174</v>
      </c>
    </row>
    <row r="49" spans="1:28" x14ac:dyDescent="0.25">
      <c r="A49" s="17">
        <v>47</v>
      </c>
      <c r="B49" s="17" t="s">
        <v>165</v>
      </c>
      <c r="C49" s="17" t="s">
        <v>284</v>
      </c>
      <c r="D49" s="17" t="s">
        <v>284</v>
      </c>
      <c r="E49" s="17" t="s">
        <v>129</v>
      </c>
      <c r="F49" s="17" t="s">
        <v>168</v>
      </c>
      <c r="G49" s="18">
        <v>44968</v>
      </c>
      <c r="H49" s="18">
        <v>46063</v>
      </c>
      <c r="I49" s="19" t="s">
        <v>35</v>
      </c>
      <c r="J49" s="19" t="s">
        <v>285</v>
      </c>
      <c r="K49" s="20">
        <v>7565</v>
      </c>
      <c r="L49" s="20"/>
      <c r="M49" s="20"/>
      <c r="N49" s="20"/>
      <c r="O49" s="20"/>
      <c r="P49" s="20"/>
      <c r="Q49" s="20"/>
      <c r="R49" s="20"/>
      <c r="S49" s="20"/>
      <c r="T49" s="20"/>
      <c r="U49" s="20"/>
      <c r="V49" s="20"/>
      <c r="W49" s="21">
        <f>SUM(K49:V49)</f>
        <v>7565</v>
      </c>
      <c r="X49" s="17" t="s">
        <v>35</v>
      </c>
      <c r="Y49" s="22" t="s">
        <v>286</v>
      </c>
      <c r="Z49" s="22" t="s">
        <v>287</v>
      </c>
      <c r="AA49" s="22" t="s">
        <v>288</v>
      </c>
      <c r="AB49" s="22" t="s">
        <v>174</v>
      </c>
    </row>
    <row r="50" spans="1:28" x14ac:dyDescent="0.25">
      <c r="A50" s="17">
        <v>48</v>
      </c>
      <c r="B50" s="17" t="s">
        <v>165</v>
      </c>
      <c r="C50" s="17" t="s">
        <v>289</v>
      </c>
      <c r="D50" s="17" t="s">
        <v>289</v>
      </c>
      <c r="E50" s="17" t="s">
        <v>129</v>
      </c>
      <c r="F50" s="17" t="s">
        <v>168</v>
      </c>
      <c r="G50" s="18">
        <v>46235</v>
      </c>
      <c r="H50" s="18">
        <v>46599</v>
      </c>
      <c r="I50" s="19" t="s">
        <v>35</v>
      </c>
      <c r="J50" s="19" t="s">
        <v>290</v>
      </c>
      <c r="K50" s="20"/>
      <c r="L50" s="20"/>
      <c r="M50" s="20"/>
      <c r="N50" s="20"/>
      <c r="O50" s="20"/>
      <c r="P50" s="20"/>
      <c r="Q50" s="20"/>
      <c r="R50" s="20">
        <v>14000</v>
      </c>
      <c r="S50" s="20"/>
      <c r="T50" s="20"/>
      <c r="U50" s="20"/>
      <c r="V50" s="20"/>
      <c r="W50" s="21">
        <f>SUM(K50:V50)</f>
        <v>14000</v>
      </c>
      <c r="X50" s="17" t="s">
        <v>35</v>
      </c>
      <c r="Y50" s="22" t="s">
        <v>291</v>
      </c>
      <c r="Z50" s="22" t="s">
        <v>287</v>
      </c>
      <c r="AA50" s="22" t="s">
        <v>292</v>
      </c>
      <c r="AB50" s="22" t="s">
        <v>174</v>
      </c>
    </row>
    <row r="51" spans="1:28" x14ac:dyDescent="0.25">
      <c r="A51" s="17">
        <v>49</v>
      </c>
      <c r="B51" s="17" t="s">
        <v>165</v>
      </c>
      <c r="C51" s="17" t="s">
        <v>293</v>
      </c>
      <c r="D51" s="17" t="s">
        <v>294</v>
      </c>
      <c r="E51" s="17" t="s">
        <v>295</v>
      </c>
      <c r="F51" s="17" t="s">
        <v>168</v>
      </c>
      <c r="G51" s="18">
        <v>46023</v>
      </c>
      <c r="H51" s="18">
        <v>46387</v>
      </c>
      <c r="I51" s="19" t="s">
        <v>296</v>
      </c>
      <c r="J51" s="19" t="s">
        <v>297</v>
      </c>
      <c r="K51" s="20">
        <v>11500</v>
      </c>
      <c r="L51" s="20">
        <v>11500</v>
      </c>
      <c r="M51" s="20">
        <v>11500</v>
      </c>
      <c r="N51" s="20">
        <v>11500</v>
      </c>
      <c r="O51" s="20">
        <v>11500</v>
      </c>
      <c r="P51" s="20">
        <v>11500</v>
      </c>
      <c r="Q51" s="20">
        <v>11500</v>
      </c>
      <c r="R51" s="20">
        <v>11500</v>
      </c>
      <c r="S51" s="20"/>
      <c r="T51" s="20"/>
      <c r="U51" s="20"/>
      <c r="V51" s="20"/>
      <c r="W51" s="21">
        <f>SUM(K51:V51)</f>
        <v>92000</v>
      </c>
      <c r="X51" s="17" t="s">
        <v>35</v>
      </c>
      <c r="Y51" s="22" t="s">
        <v>298</v>
      </c>
      <c r="Z51" s="22" t="s">
        <v>299</v>
      </c>
      <c r="AA51" s="22" t="s">
        <v>300</v>
      </c>
      <c r="AB51" s="22" t="s">
        <v>174</v>
      </c>
    </row>
    <row r="52" spans="1:28" x14ac:dyDescent="0.25">
      <c r="A52" s="17">
        <v>50</v>
      </c>
      <c r="B52" s="17" t="s">
        <v>165</v>
      </c>
      <c r="C52" s="17" t="s">
        <v>301</v>
      </c>
      <c r="D52" s="17" t="s">
        <v>301</v>
      </c>
      <c r="E52" s="17" t="s">
        <v>302</v>
      </c>
      <c r="F52" s="17" t="s">
        <v>168</v>
      </c>
      <c r="G52" s="18">
        <v>45261</v>
      </c>
      <c r="H52" s="18">
        <v>46356</v>
      </c>
      <c r="I52" s="19" t="s">
        <v>35</v>
      </c>
      <c r="J52" s="19" t="s">
        <v>303</v>
      </c>
      <c r="K52" s="20">
        <v>11195</v>
      </c>
      <c r="L52" s="20">
        <v>11195</v>
      </c>
      <c r="M52" s="20">
        <v>11195</v>
      </c>
      <c r="N52" s="20">
        <v>11195</v>
      </c>
      <c r="O52" s="20">
        <v>11195</v>
      </c>
      <c r="P52" s="20">
        <v>11195</v>
      </c>
      <c r="Q52" s="20">
        <v>11195</v>
      </c>
      <c r="R52" s="20">
        <v>11195</v>
      </c>
      <c r="S52" s="20"/>
      <c r="T52" s="20"/>
      <c r="U52" s="20"/>
      <c r="V52" s="20"/>
      <c r="W52" s="21">
        <f>SUM(K52:V52)</f>
        <v>89560</v>
      </c>
      <c r="X52" s="17" t="s">
        <v>35</v>
      </c>
      <c r="Y52" s="22" t="s">
        <v>304</v>
      </c>
      <c r="Z52" s="22" t="s">
        <v>305</v>
      </c>
      <c r="AA52" s="22" t="s">
        <v>306</v>
      </c>
      <c r="AB52" s="22" t="s">
        <v>174</v>
      </c>
    </row>
    <row r="53" spans="1:28" x14ac:dyDescent="0.25">
      <c r="A53" s="17">
        <v>51</v>
      </c>
      <c r="B53" s="17" t="s">
        <v>165</v>
      </c>
      <c r="C53" s="17" t="s">
        <v>307</v>
      </c>
      <c r="D53" s="17" t="s">
        <v>308</v>
      </c>
      <c r="E53" s="17" t="s">
        <v>309</v>
      </c>
      <c r="F53" s="17" t="s">
        <v>168</v>
      </c>
      <c r="G53" s="18">
        <v>45627</v>
      </c>
      <c r="H53" s="18">
        <v>46721</v>
      </c>
      <c r="I53" s="19" t="s">
        <v>35</v>
      </c>
      <c r="J53" s="19" t="s">
        <v>310</v>
      </c>
      <c r="K53" s="20">
        <v>12100</v>
      </c>
      <c r="L53" s="20">
        <v>12100</v>
      </c>
      <c r="M53" s="20">
        <v>12100</v>
      </c>
      <c r="N53" s="20">
        <v>12100</v>
      </c>
      <c r="O53" s="20">
        <v>12100</v>
      </c>
      <c r="P53" s="20">
        <v>12100</v>
      </c>
      <c r="Q53" s="20">
        <v>12100</v>
      </c>
      <c r="R53" s="20">
        <v>12100</v>
      </c>
      <c r="S53" s="20"/>
      <c r="T53" s="20"/>
      <c r="U53" s="20"/>
      <c r="V53" s="20"/>
      <c r="W53" s="21">
        <f>SUM(K53:V53)</f>
        <v>96800</v>
      </c>
      <c r="X53" s="17" t="s">
        <v>35</v>
      </c>
      <c r="Y53" s="22" t="s">
        <v>311</v>
      </c>
      <c r="Z53" s="22" t="s">
        <v>312</v>
      </c>
      <c r="AA53" s="22" t="s">
        <v>313</v>
      </c>
      <c r="AB53" s="22" t="s">
        <v>174</v>
      </c>
    </row>
    <row r="54" spans="1:28" x14ac:dyDescent="0.25">
      <c r="A54" s="17">
        <v>52</v>
      </c>
      <c r="B54" s="17" t="s">
        <v>165</v>
      </c>
      <c r="C54" s="17" t="s">
        <v>314</v>
      </c>
      <c r="D54" s="17" t="s">
        <v>315</v>
      </c>
      <c r="E54" s="17" t="s">
        <v>134</v>
      </c>
      <c r="F54" s="17" t="s">
        <v>168</v>
      </c>
      <c r="G54" s="18">
        <v>45444</v>
      </c>
      <c r="H54" s="18">
        <v>46538</v>
      </c>
      <c r="I54" s="19" t="s">
        <v>316</v>
      </c>
      <c r="J54" s="19" t="s">
        <v>317</v>
      </c>
      <c r="K54" s="20">
        <v>11000</v>
      </c>
      <c r="L54" s="20">
        <v>11000</v>
      </c>
      <c r="M54" s="20">
        <v>11000</v>
      </c>
      <c r="N54" s="20">
        <v>11000</v>
      </c>
      <c r="O54" s="20">
        <v>11000</v>
      </c>
      <c r="P54" s="20">
        <v>12100</v>
      </c>
      <c r="Q54" s="20">
        <v>12100</v>
      </c>
      <c r="R54" s="20">
        <v>12100</v>
      </c>
      <c r="S54" s="20"/>
      <c r="T54" s="20"/>
      <c r="U54" s="20"/>
      <c r="V54" s="20"/>
      <c r="W54" s="21">
        <f>SUM(K54:V54)</f>
        <v>91300</v>
      </c>
      <c r="X54" s="17" t="s">
        <v>35</v>
      </c>
      <c r="Y54" s="22" t="s">
        <v>318</v>
      </c>
      <c r="Z54" s="22" t="s">
        <v>319</v>
      </c>
      <c r="AA54" s="22" t="s">
        <v>320</v>
      </c>
      <c r="AB54" s="22" t="s">
        <v>174</v>
      </c>
    </row>
    <row r="55" spans="1:28" x14ac:dyDescent="0.25">
      <c r="A55" s="17">
        <v>53</v>
      </c>
      <c r="B55" s="17" t="s">
        <v>165</v>
      </c>
      <c r="C55" s="17" t="s">
        <v>321</v>
      </c>
      <c r="D55" s="17" t="s">
        <v>322</v>
      </c>
      <c r="E55" s="17" t="s">
        <v>323</v>
      </c>
      <c r="F55" s="17" t="s">
        <v>168</v>
      </c>
      <c r="G55" s="18">
        <v>45307</v>
      </c>
      <c r="H55" s="18">
        <v>46402</v>
      </c>
      <c r="I55" s="19" t="s">
        <v>35</v>
      </c>
      <c r="J55" s="19" t="s">
        <v>324</v>
      </c>
      <c r="K55" s="20">
        <v>14850</v>
      </c>
      <c r="L55" s="20">
        <v>14850</v>
      </c>
      <c r="M55" s="20">
        <v>16335</v>
      </c>
      <c r="N55" s="20">
        <v>16335</v>
      </c>
      <c r="O55" s="20">
        <v>16335</v>
      </c>
      <c r="P55" s="20">
        <v>16335</v>
      </c>
      <c r="Q55" s="20">
        <v>16335</v>
      </c>
      <c r="R55" s="20">
        <v>16335</v>
      </c>
      <c r="S55" s="20"/>
      <c r="T55" s="20"/>
      <c r="U55" s="20"/>
      <c r="V55" s="20"/>
      <c r="W55" s="21">
        <f>SUM(K55:V55)</f>
        <v>127710</v>
      </c>
      <c r="X55" s="17" t="s">
        <v>35</v>
      </c>
      <c r="Y55" s="22" t="s">
        <v>325</v>
      </c>
      <c r="Z55" s="22" t="s">
        <v>326</v>
      </c>
      <c r="AA55" s="22" t="s">
        <v>327</v>
      </c>
      <c r="AB55" s="22" t="s">
        <v>174</v>
      </c>
    </row>
    <row r="56" spans="1:28" x14ac:dyDescent="0.25">
      <c r="A56" s="17">
        <v>54</v>
      </c>
      <c r="B56" s="17" t="s">
        <v>165</v>
      </c>
      <c r="C56" s="17" t="s">
        <v>328</v>
      </c>
      <c r="D56" s="17" t="s">
        <v>328</v>
      </c>
      <c r="E56" s="17" t="s">
        <v>141</v>
      </c>
      <c r="F56" s="17" t="s">
        <v>168</v>
      </c>
      <c r="G56" s="18">
        <v>46023</v>
      </c>
      <c r="H56" s="18">
        <v>46173</v>
      </c>
      <c r="I56" s="19" t="s">
        <v>35</v>
      </c>
      <c r="J56" s="19" t="s">
        <v>329</v>
      </c>
      <c r="K56" s="20">
        <v>12000</v>
      </c>
      <c r="L56" s="20">
        <v>12000</v>
      </c>
      <c r="M56" s="20">
        <v>12000</v>
      </c>
      <c r="N56" s="20">
        <v>12000</v>
      </c>
      <c r="O56" s="20">
        <v>12000</v>
      </c>
      <c r="P56" s="20"/>
      <c r="Q56" s="20"/>
      <c r="R56" s="20"/>
      <c r="S56" s="20"/>
      <c r="T56" s="20"/>
      <c r="U56" s="20"/>
      <c r="V56" s="20"/>
      <c r="W56" s="21">
        <f>SUM(K56:V56)</f>
        <v>60000</v>
      </c>
      <c r="X56" s="17" t="s">
        <v>109</v>
      </c>
      <c r="Y56" s="22" t="s">
        <v>330</v>
      </c>
      <c r="Z56" s="22" t="s">
        <v>331</v>
      </c>
      <c r="AA56" s="22" t="s">
        <v>332</v>
      </c>
      <c r="AB56" s="22" t="s">
        <v>174</v>
      </c>
    </row>
    <row r="57" spans="1:28" x14ac:dyDescent="0.25">
      <c r="A57" s="17">
        <v>55</v>
      </c>
      <c r="B57" s="17" t="s">
        <v>165</v>
      </c>
      <c r="C57" s="17" t="s">
        <v>328</v>
      </c>
      <c r="D57" s="17" t="s">
        <v>328</v>
      </c>
      <c r="E57" s="17" t="s">
        <v>141</v>
      </c>
      <c r="F57" s="17" t="s">
        <v>168</v>
      </c>
      <c r="G57" s="18">
        <v>46174</v>
      </c>
      <c r="H57" s="18">
        <v>46538</v>
      </c>
      <c r="I57" s="19" t="s">
        <v>35</v>
      </c>
      <c r="J57" s="19" t="s">
        <v>329</v>
      </c>
      <c r="K57" s="20"/>
      <c r="L57" s="20"/>
      <c r="M57" s="20"/>
      <c r="N57" s="20"/>
      <c r="O57" s="20"/>
      <c r="P57" s="20">
        <v>13500</v>
      </c>
      <c r="Q57" s="20">
        <v>13500</v>
      </c>
      <c r="R57" s="20">
        <v>13500</v>
      </c>
      <c r="S57" s="20"/>
      <c r="T57" s="20"/>
      <c r="U57" s="20"/>
      <c r="V57" s="20"/>
      <c r="W57" s="21">
        <f>SUM(K57:V57)</f>
        <v>40500</v>
      </c>
      <c r="X57" s="17" t="s">
        <v>35</v>
      </c>
      <c r="Y57" s="22" t="s">
        <v>333</v>
      </c>
      <c r="Z57" s="22" t="s">
        <v>331</v>
      </c>
      <c r="AA57" s="22" t="s">
        <v>332</v>
      </c>
      <c r="AB57" s="22" t="s">
        <v>174</v>
      </c>
    </row>
    <row r="58" spans="1:28" x14ac:dyDescent="0.25">
      <c r="A58" s="17">
        <v>56</v>
      </c>
      <c r="B58" s="17" t="s">
        <v>165</v>
      </c>
      <c r="C58" s="17" t="s">
        <v>334</v>
      </c>
      <c r="D58" s="17" t="s">
        <v>335</v>
      </c>
      <c r="E58" s="17" t="s">
        <v>336</v>
      </c>
      <c r="F58" s="17" t="s">
        <v>168</v>
      </c>
      <c r="G58" s="18">
        <v>46023</v>
      </c>
      <c r="H58" s="18">
        <v>46081</v>
      </c>
      <c r="I58" s="19" t="s">
        <v>35</v>
      </c>
      <c r="J58" s="19" t="s">
        <v>337</v>
      </c>
      <c r="K58" s="20">
        <v>12000</v>
      </c>
      <c r="L58" s="20">
        <v>12000</v>
      </c>
      <c r="M58" s="20"/>
      <c r="N58" s="20"/>
      <c r="O58" s="20"/>
      <c r="P58" s="20"/>
      <c r="Q58" s="20"/>
      <c r="R58" s="20"/>
      <c r="S58" s="20"/>
      <c r="T58" s="20"/>
      <c r="U58" s="20"/>
      <c r="V58" s="20"/>
      <c r="W58" s="21">
        <f>SUM(K58:V58)</f>
        <v>24000</v>
      </c>
      <c r="X58" s="17" t="s">
        <v>109</v>
      </c>
      <c r="Y58" s="22" t="s">
        <v>338</v>
      </c>
      <c r="Z58" s="22" t="s">
        <v>339</v>
      </c>
      <c r="AA58" s="22" t="s">
        <v>340</v>
      </c>
      <c r="AB58" s="22" t="s">
        <v>174</v>
      </c>
    </row>
    <row r="59" spans="1:28" x14ac:dyDescent="0.25">
      <c r="A59" s="17">
        <v>57</v>
      </c>
      <c r="B59" s="17" t="s">
        <v>165</v>
      </c>
      <c r="C59" s="17" t="s">
        <v>334</v>
      </c>
      <c r="D59" s="17" t="s">
        <v>335</v>
      </c>
      <c r="E59" s="17" t="s">
        <v>336</v>
      </c>
      <c r="F59" s="17" t="s">
        <v>168</v>
      </c>
      <c r="G59" s="18">
        <v>46082</v>
      </c>
      <c r="H59" s="18">
        <v>46446</v>
      </c>
      <c r="I59" s="19" t="s">
        <v>35</v>
      </c>
      <c r="J59" s="19" t="s">
        <v>337</v>
      </c>
      <c r="K59" s="20"/>
      <c r="L59" s="20"/>
      <c r="M59" s="20">
        <v>14000</v>
      </c>
      <c r="N59" s="20">
        <v>14000</v>
      </c>
      <c r="O59" s="20">
        <v>14000</v>
      </c>
      <c r="P59" s="20">
        <v>14000</v>
      </c>
      <c r="Q59" s="20">
        <v>14000</v>
      </c>
      <c r="R59" s="20">
        <v>14000</v>
      </c>
      <c r="S59" s="20"/>
      <c r="T59" s="20"/>
      <c r="U59" s="20"/>
      <c r="V59" s="20"/>
      <c r="W59" s="21">
        <f>SUM(K59:V59)</f>
        <v>84000</v>
      </c>
      <c r="X59" s="17" t="s">
        <v>35</v>
      </c>
      <c r="Y59" s="22" t="s">
        <v>341</v>
      </c>
      <c r="Z59" s="22" t="s">
        <v>339</v>
      </c>
      <c r="AA59" s="22" t="s">
        <v>340</v>
      </c>
      <c r="AB59" s="22" t="s">
        <v>174</v>
      </c>
    </row>
    <row r="60" spans="1:28" x14ac:dyDescent="0.25">
      <c r="A60" s="17">
        <v>58</v>
      </c>
      <c r="B60" s="17" t="s">
        <v>165</v>
      </c>
      <c r="C60" s="17" t="s">
        <v>342</v>
      </c>
      <c r="D60" s="17" t="s">
        <v>343</v>
      </c>
      <c r="E60" s="17" t="s">
        <v>344</v>
      </c>
      <c r="F60" s="17" t="s">
        <v>168</v>
      </c>
      <c r="G60" s="18">
        <v>45302</v>
      </c>
      <c r="H60" s="18">
        <v>46397</v>
      </c>
      <c r="I60" s="19" t="s">
        <v>35</v>
      </c>
      <c r="J60" s="19" t="s">
        <v>345</v>
      </c>
      <c r="K60" s="20">
        <v>14575</v>
      </c>
      <c r="L60" s="20">
        <v>14565</v>
      </c>
      <c r="M60" s="20">
        <v>16035</v>
      </c>
      <c r="N60" s="20">
        <v>16035</v>
      </c>
      <c r="O60" s="20">
        <v>16035</v>
      </c>
      <c r="P60" s="20">
        <v>16035</v>
      </c>
      <c r="Q60" s="20">
        <v>16035</v>
      </c>
      <c r="R60" s="20">
        <v>16035</v>
      </c>
      <c r="S60" s="20"/>
      <c r="T60" s="20"/>
      <c r="U60" s="20"/>
      <c r="V60" s="20"/>
      <c r="W60" s="21">
        <f>SUM(K60:V60)</f>
        <v>125350</v>
      </c>
      <c r="X60" s="17" t="s">
        <v>35</v>
      </c>
      <c r="Y60" s="22" t="s">
        <v>346</v>
      </c>
      <c r="Z60" s="22" t="s">
        <v>347</v>
      </c>
      <c r="AA60" s="22" t="s">
        <v>348</v>
      </c>
      <c r="AB60" s="22" t="s">
        <v>174</v>
      </c>
    </row>
    <row r="61" spans="1:28" x14ac:dyDescent="0.25">
      <c r="A61" s="17">
        <v>59</v>
      </c>
      <c r="B61" s="17" t="s">
        <v>165</v>
      </c>
      <c r="C61" s="17" t="s">
        <v>349</v>
      </c>
      <c r="D61" s="17" t="s">
        <v>284</v>
      </c>
      <c r="E61" s="17" t="s">
        <v>350</v>
      </c>
      <c r="F61" s="17" t="s">
        <v>168</v>
      </c>
      <c r="G61" s="18">
        <v>46023</v>
      </c>
      <c r="H61" s="18">
        <v>46387</v>
      </c>
      <c r="I61" s="19" t="s">
        <v>35</v>
      </c>
      <c r="J61" s="19" t="s">
        <v>351</v>
      </c>
      <c r="K61" s="20">
        <v>16500</v>
      </c>
      <c r="L61" s="20">
        <v>16500</v>
      </c>
      <c r="M61" s="20">
        <v>16500</v>
      </c>
      <c r="N61" s="20">
        <v>16500</v>
      </c>
      <c r="O61" s="20">
        <v>16500</v>
      </c>
      <c r="P61" s="20">
        <v>16500</v>
      </c>
      <c r="Q61" s="20">
        <v>16500</v>
      </c>
      <c r="R61" s="20">
        <v>16500</v>
      </c>
      <c r="S61" s="20"/>
      <c r="T61" s="20"/>
      <c r="U61" s="20"/>
      <c r="V61" s="20"/>
      <c r="W61" s="21">
        <f>SUM(K61:V61)</f>
        <v>132000</v>
      </c>
      <c r="X61" s="17" t="s">
        <v>352</v>
      </c>
      <c r="Y61" s="22" t="s">
        <v>353</v>
      </c>
      <c r="Z61" s="22" t="s">
        <v>354</v>
      </c>
      <c r="AA61" s="22" t="s">
        <v>355</v>
      </c>
      <c r="AB61" s="22" t="s">
        <v>174</v>
      </c>
    </row>
    <row r="62" spans="1:28" x14ac:dyDescent="0.25">
      <c r="A62" s="17">
        <v>60</v>
      </c>
      <c r="B62" s="17" t="s">
        <v>165</v>
      </c>
      <c r="C62" s="17" t="s">
        <v>356</v>
      </c>
      <c r="D62" s="17" t="s">
        <v>356</v>
      </c>
      <c r="E62" s="17" t="s">
        <v>357</v>
      </c>
      <c r="F62" s="17" t="s">
        <v>168</v>
      </c>
      <c r="G62" s="18">
        <v>45931</v>
      </c>
      <c r="H62" s="18">
        <v>46295</v>
      </c>
      <c r="I62" s="19" t="s">
        <v>35</v>
      </c>
      <c r="J62" s="19" t="s">
        <v>358</v>
      </c>
      <c r="K62" s="20">
        <v>18500</v>
      </c>
      <c r="L62" s="20">
        <v>18500</v>
      </c>
      <c r="M62" s="20">
        <v>18500</v>
      </c>
      <c r="N62" s="20">
        <v>18500</v>
      </c>
      <c r="O62" s="20">
        <v>18500</v>
      </c>
      <c r="P62" s="20">
        <v>18500</v>
      </c>
      <c r="Q62" s="20">
        <v>18500</v>
      </c>
      <c r="R62" s="20">
        <v>18500</v>
      </c>
      <c r="S62" s="20"/>
      <c r="T62" s="20"/>
      <c r="U62" s="20"/>
      <c r="V62" s="20"/>
      <c r="W62" s="21">
        <f>SUM(K62:V62)</f>
        <v>148000</v>
      </c>
      <c r="X62" s="17" t="s">
        <v>35</v>
      </c>
      <c r="Y62" s="22" t="s">
        <v>359</v>
      </c>
      <c r="Z62" s="22" t="s">
        <v>360</v>
      </c>
      <c r="AA62" s="22" t="s">
        <v>361</v>
      </c>
      <c r="AB62" s="22" t="s">
        <v>174</v>
      </c>
    </row>
    <row r="63" spans="1:28" x14ac:dyDescent="0.25">
      <c r="A63" s="17">
        <v>61</v>
      </c>
      <c r="B63" s="17" t="s">
        <v>165</v>
      </c>
      <c r="C63" s="17" t="s">
        <v>362</v>
      </c>
      <c r="D63" s="17" t="s">
        <v>363</v>
      </c>
      <c r="E63" s="17" t="s">
        <v>364</v>
      </c>
      <c r="F63" s="17" t="s">
        <v>168</v>
      </c>
      <c r="G63" s="18">
        <v>45870</v>
      </c>
      <c r="H63" s="18">
        <v>46234</v>
      </c>
      <c r="I63" s="19" t="s">
        <v>35</v>
      </c>
      <c r="J63" s="19" t="s">
        <v>365</v>
      </c>
      <c r="K63" s="20">
        <v>15000</v>
      </c>
      <c r="L63" s="20">
        <v>15000</v>
      </c>
      <c r="M63" s="20">
        <v>15000</v>
      </c>
      <c r="N63" s="20">
        <v>15000</v>
      </c>
      <c r="O63" s="20">
        <v>15000</v>
      </c>
      <c r="P63" s="20">
        <v>15000</v>
      </c>
      <c r="Q63" s="20">
        <v>15000</v>
      </c>
      <c r="R63" s="20"/>
      <c r="S63" s="20"/>
      <c r="T63" s="20"/>
      <c r="U63" s="20"/>
      <c r="V63" s="20"/>
      <c r="W63" s="21">
        <f>SUM(K63:V63)</f>
        <v>105000</v>
      </c>
      <c r="X63" s="17" t="s">
        <v>35</v>
      </c>
      <c r="Y63" s="22" t="s">
        <v>366</v>
      </c>
      <c r="Z63" s="22" t="s">
        <v>367</v>
      </c>
      <c r="AA63" s="22" t="s">
        <v>368</v>
      </c>
      <c r="AB63" s="22" t="s">
        <v>174</v>
      </c>
    </row>
    <row r="64" spans="1:28" x14ac:dyDescent="0.25">
      <c r="A64" s="17">
        <v>62</v>
      </c>
      <c r="B64" s="17" t="s">
        <v>165</v>
      </c>
      <c r="C64" s="17" t="s">
        <v>362</v>
      </c>
      <c r="D64" s="17" t="s">
        <v>363</v>
      </c>
      <c r="E64" s="17" t="s">
        <v>147</v>
      </c>
      <c r="F64" s="17" t="s">
        <v>168</v>
      </c>
      <c r="G64" s="18">
        <v>45870</v>
      </c>
      <c r="H64" s="18">
        <v>46234</v>
      </c>
      <c r="I64" s="19" t="s">
        <v>35</v>
      </c>
      <c r="J64" s="19" t="s">
        <v>365</v>
      </c>
      <c r="K64" s="20">
        <v>15000</v>
      </c>
      <c r="L64" s="20">
        <v>15000</v>
      </c>
      <c r="M64" s="20">
        <v>15000</v>
      </c>
      <c r="N64" s="20">
        <v>15000</v>
      </c>
      <c r="O64" s="20">
        <v>15000</v>
      </c>
      <c r="P64" s="20">
        <v>15000</v>
      </c>
      <c r="Q64" s="20">
        <v>15000</v>
      </c>
      <c r="R64" s="20"/>
      <c r="S64" s="20"/>
      <c r="T64" s="20"/>
      <c r="U64" s="20"/>
      <c r="V64" s="20"/>
      <c r="W64" s="21">
        <f>SUM(K64:V64)</f>
        <v>105000</v>
      </c>
      <c r="X64" s="17" t="s">
        <v>35</v>
      </c>
      <c r="Y64" s="22" t="s">
        <v>369</v>
      </c>
      <c r="Z64" s="22" t="s">
        <v>370</v>
      </c>
      <c r="AA64" s="22" t="s">
        <v>368</v>
      </c>
      <c r="AB64" s="22" t="s">
        <v>174</v>
      </c>
    </row>
    <row r="65" spans="1:28" x14ac:dyDescent="0.25">
      <c r="A65" s="17">
        <v>63</v>
      </c>
      <c r="B65" s="17" t="s">
        <v>165</v>
      </c>
      <c r="C65" s="17" t="s">
        <v>371</v>
      </c>
      <c r="D65" s="17" t="s">
        <v>371</v>
      </c>
      <c r="E65" s="17" t="s">
        <v>154</v>
      </c>
      <c r="F65" s="17" t="s">
        <v>168</v>
      </c>
      <c r="G65" s="18">
        <v>45231</v>
      </c>
      <c r="H65" s="18">
        <v>46326</v>
      </c>
      <c r="I65" s="19" t="s">
        <v>35</v>
      </c>
      <c r="J65" s="19" t="s">
        <v>372</v>
      </c>
      <c r="K65" s="20">
        <v>11195</v>
      </c>
      <c r="L65" s="20">
        <v>11195</v>
      </c>
      <c r="M65" s="20">
        <v>11195</v>
      </c>
      <c r="N65" s="20">
        <v>11195</v>
      </c>
      <c r="O65" s="20">
        <v>11195</v>
      </c>
      <c r="P65" s="20">
        <v>11195</v>
      </c>
      <c r="Q65" s="20">
        <v>11135</v>
      </c>
      <c r="R65" s="20"/>
      <c r="S65" s="20"/>
      <c r="T65" s="20"/>
      <c r="U65" s="20"/>
      <c r="V65" s="20"/>
      <c r="W65" s="21">
        <f>SUM(K65:V65)</f>
        <v>78305</v>
      </c>
      <c r="X65" s="17" t="s">
        <v>373</v>
      </c>
      <c r="Y65" s="22" t="s">
        <v>374</v>
      </c>
      <c r="Z65" s="22" t="s">
        <v>375</v>
      </c>
      <c r="AA65" s="22" t="s">
        <v>376</v>
      </c>
      <c r="AB65" s="22" t="s">
        <v>174</v>
      </c>
    </row>
    <row r="66" spans="1:28" x14ac:dyDescent="0.25">
      <c r="A66" s="17">
        <v>64</v>
      </c>
      <c r="B66" s="17" t="s">
        <v>165</v>
      </c>
      <c r="C66" s="17" t="s">
        <v>377</v>
      </c>
      <c r="D66" s="17" t="s">
        <v>378</v>
      </c>
      <c r="E66" s="17" t="s">
        <v>160</v>
      </c>
      <c r="F66" s="17" t="s">
        <v>168</v>
      </c>
      <c r="G66" s="18">
        <v>45901</v>
      </c>
      <c r="H66" s="18">
        <v>46265</v>
      </c>
      <c r="I66" s="19" t="s">
        <v>35</v>
      </c>
      <c r="J66" s="19" t="s">
        <v>379</v>
      </c>
      <c r="K66" s="20">
        <v>10000</v>
      </c>
      <c r="L66" s="20">
        <v>10000</v>
      </c>
      <c r="M66" s="20">
        <v>10000</v>
      </c>
      <c r="N66" s="20">
        <v>10000</v>
      </c>
      <c r="O66" s="20">
        <v>10000</v>
      </c>
      <c r="P66" s="20">
        <v>10000</v>
      </c>
      <c r="Q66" s="20">
        <v>10000</v>
      </c>
      <c r="R66" s="20">
        <v>10000</v>
      </c>
      <c r="S66" s="20"/>
      <c r="T66" s="20"/>
      <c r="U66" s="20"/>
      <c r="V66" s="20"/>
      <c r="W66" s="21">
        <f>SUM(K66:V66)</f>
        <v>80000</v>
      </c>
      <c r="X66" s="17" t="s">
        <v>35</v>
      </c>
      <c r="Y66" s="22" t="s">
        <v>380</v>
      </c>
      <c r="Z66" s="22" t="s">
        <v>381</v>
      </c>
      <c r="AA66" s="22" t="s">
        <v>382</v>
      </c>
      <c r="AB66" s="22" t="s">
        <v>174</v>
      </c>
    </row>
    <row r="67" spans="1:28" x14ac:dyDescent="0.25">
      <c r="A67" s="17">
        <v>65</v>
      </c>
      <c r="B67" s="17" t="s">
        <v>165</v>
      </c>
      <c r="C67" s="17" t="s">
        <v>204</v>
      </c>
      <c r="D67" s="17" t="s">
        <v>204</v>
      </c>
      <c r="E67" s="17" t="s">
        <v>383</v>
      </c>
      <c r="F67" s="17" t="s">
        <v>168</v>
      </c>
      <c r="G67" s="18">
        <v>46023</v>
      </c>
      <c r="H67" s="18">
        <v>46203</v>
      </c>
      <c r="I67" s="19" t="s">
        <v>35</v>
      </c>
      <c r="J67" s="19" t="s">
        <v>206</v>
      </c>
      <c r="K67" s="20">
        <v>11000</v>
      </c>
      <c r="L67" s="20">
        <v>11000</v>
      </c>
      <c r="M67" s="20">
        <v>11000</v>
      </c>
      <c r="N67" s="20">
        <v>11000</v>
      </c>
      <c r="O67" s="20">
        <v>11000</v>
      </c>
      <c r="P67" s="20">
        <v>11000</v>
      </c>
      <c r="Q67" s="20"/>
      <c r="R67" s="20"/>
      <c r="S67" s="20"/>
      <c r="T67" s="20"/>
      <c r="U67" s="20"/>
      <c r="V67" s="20"/>
      <c r="W67" s="21">
        <f>SUM(K67:V67)</f>
        <v>66000</v>
      </c>
      <c r="X67" s="17" t="s">
        <v>109</v>
      </c>
      <c r="Y67" s="22" t="s">
        <v>384</v>
      </c>
      <c r="Z67" s="22" t="s">
        <v>385</v>
      </c>
      <c r="AA67" s="22" t="s">
        <v>209</v>
      </c>
      <c r="AB67" s="22" t="s">
        <v>174</v>
      </c>
    </row>
    <row r="68" spans="1:28" x14ac:dyDescent="0.25">
      <c r="A68" s="17">
        <v>66</v>
      </c>
      <c r="B68" s="17" t="s">
        <v>165</v>
      </c>
      <c r="C68" s="17" t="s">
        <v>204</v>
      </c>
      <c r="D68" s="17" t="s">
        <v>204</v>
      </c>
      <c r="E68" s="17" t="s">
        <v>383</v>
      </c>
      <c r="F68" s="17" t="s">
        <v>168</v>
      </c>
      <c r="G68" s="18">
        <v>46204</v>
      </c>
      <c r="H68" s="18">
        <v>46568</v>
      </c>
      <c r="I68" s="19" t="s">
        <v>35</v>
      </c>
      <c r="J68" s="19" t="s">
        <v>206</v>
      </c>
      <c r="K68" s="20"/>
      <c r="L68" s="20"/>
      <c r="M68" s="20"/>
      <c r="N68" s="20"/>
      <c r="O68" s="20"/>
      <c r="P68" s="20"/>
      <c r="Q68" s="20">
        <v>13000</v>
      </c>
      <c r="R68" s="20">
        <v>13000</v>
      </c>
      <c r="S68" s="20"/>
      <c r="T68" s="20"/>
      <c r="U68" s="20"/>
      <c r="V68" s="20"/>
      <c r="W68" s="21">
        <f>SUM(K68:V68)</f>
        <v>26000</v>
      </c>
      <c r="X68" s="17" t="s">
        <v>35</v>
      </c>
      <c r="Y68" s="22" t="s">
        <v>386</v>
      </c>
      <c r="Z68" s="22" t="s">
        <v>385</v>
      </c>
      <c r="AA68" s="22" t="s">
        <v>209</v>
      </c>
      <c r="AB68" s="22" t="s">
        <v>174</v>
      </c>
    </row>
    <row r="69" spans="1:28" x14ac:dyDescent="0.25">
      <c r="A69" s="17">
        <v>67</v>
      </c>
      <c r="B69" s="17" t="s">
        <v>165</v>
      </c>
      <c r="C69" s="17" t="s">
        <v>387</v>
      </c>
      <c r="D69" s="17" t="s">
        <v>388</v>
      </c>
      <c r="E69" s="17" t="s">
        <v>389</v>
      </c>
      <c r="F69" s="17" t="s">
        <v>168</v>
      </c>
      <c r="G69" s="18">
        <v>46023</v>
      </c>
      <c r="H69" s="18">
        <v>46173</v>
      </c>
      <c r="I69" s="19" t="s">
        <v>35</v>
      </c>
      <c r="J69" s="19" t="s">
        <v>390</v>
      </c>
      <c r="K69" s="20">
        <v>17000</v>
      </c>
      <c r="L69" s="20">
        <v>17000</v>
      </c>
      <c r="M69" s="20">
        <v>17000</v>
      </c>
      <c r="N69" s="20">
        <v>17000</v>
      </c>
      <c r="O69" s="20">
        <v>17000</v>
      </c>
      <c r="P69" s="20"/>
      <c r="Q69" s="20"/>
      <c r="R69" s="20"/>
      <c r="S69" s="20"/>
      <c r="T69" s="20"/>
      <c r="U69" s="20"/>
      <c r="V69" s="20"/>
      <c r="W69" s="21">
        <f>SUM(K69:V69)</f>
        <v>85000</v>
      </c>
      <c r="X69" s="17" t="s">
        <v>109</v>
      </c>
      <c r="Y69" s="22" t="s">
        <v>391</v>
      </c>
      <c r="Z69" s="22" t="s">
        <v>392</v>
      </c>
      <c r="AA69" s="22" t="s">
        <v>393</v>
      </c>
      <c r="AB69" s="22" t="s">
        <v>174</v>
      </c>
    </row>
    <row r="70" spans="1:28" x14ac:dyDescent="0.25">
      <c r="A70" s="17">
        <v>68</v>
      </c>
      <c r="B70" s="17" t="s">
        <v>165</v>
      </c>
      <c r="C70" s="17" t="s">
        <v>387</v>
      </c>
      <c r="D70" s="17" t="s">
        <v>388</v>
      </c>
      <c r="E70" s="17" t="s">
        <v>389</v>
      </c>
      <c r="F70" s="17" t="s">
        <v>168</v>
      </c>
      <c r="G70" s="18">
        <v>46174</v>
      </c>
      <c r="H70" s="18">
        <v>46538</v>
      </c>
      <c r="I70" s="19" t="s">
        <v>35</v>
      </c>
      <c r="J70" s="19" t="s">
        <v>390</v>
      </c>
      <c r="K70" s="20"/>
      <c r="L70" s="20"/>
      <c r="M70" s="20"/>
      <c r="N70" s="20"/>
      <c r="O70" s="20"/>
      <c r="P70" s="20">
        <v>19000</v>
      </c>
      <c r="Q70" s="20">
        <v>19000</v>
      </c>
      <c r="R70" s="20">
        <v>19000</v>
      </c>
      <c r="S70" s="20"/>
      <c r="T70" s="20"/>
      <c r="U70" s="20"/>
      <c r="V70" s="20"/>
      <c r="W70" s="21">
        <f>SUM(K70:V70)</f>
        <v>57000</v>
      </c>
      <c r="X70" s="17" t="s">
        <v>35</v>
      </c>
      <c r="Y70" s="22" t="s">
        <v>394</v>
      </c>
      <c r="Z70" s="22" t="s">
        <v>392</v>
      </c>
      <c r="AA70" s="22" t="s">
        <v>393</v>
      </c>
      <c r="AB70" s="22" t="s">
        <v>174</v>
      </c>
    </row>
    <row r="71" spans="1:28" x14ac:dyDescent="0.25">
      <c r="A71" s="17">
        <v>69</v>
      </c>
      <c r="B71" s="17" t="s">
        <v>165</v>
      </c>
      <c r="C71" s="17" t="s">
        <v>395</v>
      </c>
      <c r="D71" s="17" t="s">
        <v>396</v>
      </c>
      <c r="E71" s="17" t="s">
        <v>397</v>
      </c>
      <c r="F71" s="17" t="s">
        <v>168</v>
      </c>
      <c r="G71" s="18">
        <v>46180</v>
      </c>
      <c r="H71" s="18">
        <v>46544</v>
      </c>
      <c r="I71" s="19" t="s">
        <v>398</v>
      </c>
      <c r="J71" s="19" t="s">
        <v>399</v>
      </c>
      <c r="K71" s="20"/>
      <c r="L71" s="20"/>
      <c r="M71" s="20"/>
      <c r="N71" s="20"/>
      <c r="O71" s="20"/>
      <c r="P71" s="20">
        <v>13500</v>
      </c>
      <c r="Q71" s="20">
        <v>18000</v>
      </c>
      <c r="R71" s="20">
        <v>18000</v>
      </c>
      <c r="S71" s="20"/>
      <c r="T71" s="20"/>
      <c r="U71" s="20"/>
      <c r="V71" s="20"/>
      <c r="W71" s="21">
        <f>SUM(K71:V71)</f>
        <v>49500</v>
      </c>
      <c r="X71" s="17" t="s">
        <v>35</v>
      </c>
      <c r="Y71" s="22" t="s">
        <v>400</v>
      </c>
      <c r="Z71" s="22" t="s">
        <v>401</v>
      </c>
      <c r="AA71" s="22" t="s">
        <v>402</v>
      </c>
      <c r="AB71" s="22" t="s">
        <v>174</v>
      </c>
    </row>
    <row r="72" spans="1:28" x14ac:dyDescent="0.25">
      <c r="A72" s="17">
        <v>70</v>
      </c>
      <c r="B72" s="17" t="s">
        <v>165</v>
      </c>
      <c r="C72" s="17" t="s">
        <v>403</v>
      </c>
      <c r="D72" s="17" t="s">
        <v>404</v>
      </c>
      <c r="E72" s="17" t="s">
        <v>405</v>
      </c>
      <c r="F72" s="17" t="s">
        <v>168</v>
      </c>
      <c r="G72" s="18">
        <v>45170</v>
      </c>
      <c r="H72" s="18">
        <v>46265</v>
      </c>
      <c r="I72" s="19" t="s">
        <v>35</v>
      </c>
      <c r="J72" s="19" t="s">
        <v>406</v>
      </c>
      <c r="K72" s="20">
        <v>9680</v>
      </c>
      <c r="L72" s="20">
        <v>9680</v>
      </c>
      <c r="M72" s="20">
        <v>9680</v>
      </c>
      <c r="N72" s="20">
        <v>9680</v>
      </c>
      <c r="O72" s="20">
        <v>9680</v>
      </c>
      <c r="P72" s="20">
        <v>9680</v>
      </c>
      <c r="Q72" s="20">
        <v>9680</v>
      </c>
      <c r="R72" s="20">
        <v>9680</v>
      </c>
      <c r="S72" s="20"/>
      <c r="T72" s="20"/>
      <c r="U72" s="20"/>
      <c r="V72" s="20"/>
      <c r="W72" s="21">
        <f>SUM(K72:V72)</f>
        <v>77440</v>
      </c>
      <c r="X72" s="17" t="s">
        <v>35</v>
      </c>
      <c r="Y72" s="22" t="s">
        <v>407</v>
      </c>
      <c r="Z72" s="22" t="s">
        <v>408</v>
      </c>
      <c r="AA72" s="22" t="s">
        <v>409</v>
      </c>
      <c r="AB72" s="22" t="s">
        <v>174</v>
      </c>
    </row>
    <row r="73" spans="1:28" x14ac:dyDescent="0.25">
      <c r="A73" s="17">
        <v>71</v>
      </c>
      <c r="B73" s="17" t="s">
        <v>165</v>
      </c>
      <c r="C73" s="17" t="s">
        <v>410</v>
      </c>
      <c r="D73" s="17" t="s">
        <v>411</v>
      </c>
      <c r="E73" s="17" t="s">
        <v>412</v>
      </c>
      <c r="F73" s="17" t="s">
        <v>168</v>
      </c>
      <c r="G73" s="18">
        <v>45931</v>
      </c>
      <c r="H73" s="18">
        <v>46295</v>
      </c>
      <c r="I73" s="19" t="s">
        <v>413</v>
      </c>
      <c r="J73" s="19" t="s">
        <v>414</v>
      </c>
      <c r="K73" s="20">
        <v>19000</v>
      </c>
      <c r="L73" s="20">
        <v>19000</v>
      </c>
      <c r="M73" s="20">
        <v>19000</v>
      </c>
      <c r="N73" s="20">
        <v>19000</v>
      </c>
      <c r="O73" s="20">
        <v>19000</v>
      </c>
      <c r="P73" s="20">
        <v>19000</v>
      </c>
      <c r="Q73" s="20">
        <v>19000</v>
      </c>
      <c r="R73" s="20">
        <v>19000</v>
      </c>
      <c r="S73" s="20"/>
      <c r="T73" s="20"/>
      <c r="U73" s="20"/>
      <c r="V73" s="20"/>
      <c r="W73" s="21">
        <f>SUM(K73:V73)</f>
        <v>152000</v>
      </c>
      <c r="X73" s="17" t="s">
        <v>35</v>
      </c>
      <c r="Y73" s="22" t="s">
        <v>415</v>
      </c>
      <c r="Z73" s="22" t="s">
        <v>416</v>
      </c>
      <c r="AA73" s="22" t="s">
        <v>417</v>
      </c>
      <c r="AB73" s="22" t="s">
        <v>174</v>
      </c>
    </row>
    <row r="74" spans="1:28" x14ac:dyDescent="0.25">
      <c r="A74" s="17">
        <v>72</v>
      </c>
      <c r="B74" s="17" t="s">
        <v>165</v>
      </c>
      <c r="C74" s="17" t="s">
        <v>418</v>
      </c>
      <c r="D74" s="17" t="s">
        <v>418</v>
      </c>
      <c r="E74" s="17" t="s">
        <v>419</v>
      </c>
      <c r="F74" s="17" t="s">
        <v>168</v>
      </c>
      <c r="G74" s="18">
        <v>45231</v>
      </c>
      <c r="H74" s="18">
        <v>46326</v>
      </c>
      <c r="I74" s="19" t="s">
        <v>35</v>
      </c>
      <c r="J74" s="19" t="s">
        <v>420</v>
      </c>
      <c r="K74" s="20">
        <v>11495</v>
      </c>
      <c r="L74" s="20">
        <v>11495</v>
      </c>
      <c r="M74" s="20">
        <v>11495</v>
      </c>
      <c r="N74" s="20">
        <v>11495</v>
      </c>
      <c r="O74" s="20">
        <v>11495</v>
      </c>
      <c r="P74" s="20">
        <v>11495</v>
      </c>
      <c r="Q74" s="20">
        <v>11495</v>
      </c>
      <c r="R74" s="20">
        <v>11495</v>
      </c>
      <c r="S74" s="20"/>
      <c r="T74" s="20"/>
      <c r="U74" s="20"/>
      <c r="V74" s="20"/>
      <c r="W74" s="21">
        <f>SUM(K74:V74)</f>
        <v>91960</v>
      </c>
      <c r="X74" s="17" t="s">
        <v>35</v>
      </c>
      <c r="Y74" s="22" t="s">
        <v>421</v>
      </c>
      <c r="Z74" s="22" t="s">
        <v>422</v>
      </c>
      <c r="AA74" s="22" t="s">
        <v>423</v>
      </c>
      <c r="AB74" s="22" t="s">
        <v>174</v>
      </c>
    </row>
    <row r="75" spans="1:28" x14ac:dyDescent="0.25">
      <c r="A75" s="17">
        <v>73</v>
      </c>
      <c r="B75" s="17" t="s">
        <v>165</v>
      </c>
      <c r="C75" s="17" t="s">
        <v>424</v>
      </c>
      <c r="D75" s="17" t="s">
        <v>424</v>
      </c>
      <c r="E75" s="17" t="s">
        <v>425</v>
      </c>
      <c r="F75" s="17" t="s">
        <v>168</v>
      </c>
      <c r="G75" s="18">
        <v>45962</v>
      </c>
      <c r="H75" s="18">
        <v>46326</v>
      </c>
      <c r="I75" s="19" t="s">
        <v>35</v>
      </c>
      <c r="J75" s="19" t="s">
        <v>426</v>
      </c>
      <c r="K75" s="20">
        <v>11000</v>
      </c>
      <c r="L75" s="20">
        <v>11000</v>
      </c>
      <c r="M75" s="20">
        <v>11000</v>
      </c>
      <c r="N75" s="20">
        <v>11000</v>
      </c>
      <c r="O75" s="20">
        <v>11000</v>
      </c>
      <c r="P75" s="20">
        <v>11000</v>
      </c>
      <c r="Q75" s="20">
        <v>11000</v>
      </c>
      <c r="R75" s="20">
        <v>11000</v>
      </c>
      <c r="S75" s="20"/>
      <c r="T75" s="20"/>
      <c r="U75" s="20"/>
      <c r="V75" s="20"/>
      <c r="W75" s="21">
        <f>SUM(K75:V75)</f>
        <v>88000</v>
      </c>
      <c r="X75" s="17" t="s">
        <v>35</v>
      </c>
      <c r="Y75" s="22" t="s">
        <v>427</v>
      </c>
      <c r="Z75" s="22" t="s">
        <v>428</v>
      </c>
      <c r="AA75" s="22" t="s">
        <v>429</v>
      </c>
      <c r="AB75" s="22" t="s">
        <v>174</v>
      </c>
    </row>
    <row r="76" spans="1:28" x14ac:dyDescent="0.25">
      <c r="A76" s="17">
        <v>74</v>
      </c>
      <c r="B76" s="17" t="s">
        <v>165</v>
      </c>
      <c r="C76" s="17" t="s">
        <v>430</v>
      </c>
      <c r="D76" s="17" t="s">
        <v>430</v>
      </c>
      <c r="E76" s="17" t="s">
        <v>431</v>
      </c>
      <c r="F76" s="17" t="s">
        <v>168</v>
      </c>
      <c r="G76" s="18">
        <v>46023</v>
      </c>
      <c r="H76" s="18">
        <v>46218</v>
      </c>
      <c r="I76" s="19" t="s">
        <v>35</v>
      </c>
      <c r="J76" s="19" t="s">
        <v>432</v>
      </c>
      <c r="K76" s="20">
        <v>8775</v>
      </c>
      <c r="L76" s="20">
        <v>8775</v>
      </c>
      <c r="M76" s="20">
        <v>8775</v>
      </c>
      <c r="N76" s="20">
        <v>8775</v>
      </c>
      <c r="O76" s="20">
        <v>8775</v>
      </c>
      <c r="P76" s="20">
        <v>8775</v>
      </c>
      <c r="Q76" s="20"/>
      <c r="R76" s="20"/>
      <c r="S76" s="20"/>
      <c r="T76" s="20"/>
      <c r="U76" s="20"/>
      <c r="V76" s="20"/>
      <c r="W76" s="21">
        <f>SUM(K76:V76)</f>
        <v>52650</v>
      </c>
      <c r="X76" s="17" t="s">
        <v>109</v>
      </c>
      <c r="Y76" s="22" t="s">
        <v>433</v>
      </c>
      <c r="Z76" s="22" t="s">
        <v>434</v>
      </c>
      <c r="AA76" s="22" t="s">
        <v>435</v>
      </c>
      <c r="AB76" s="22" t="s">
        <v>174</v>
      </c>
    </row>
    <row r="77" spans="1:28" x14ac:dyDescent="0.25">
      <c r="A77" s="17">
        <v>75</v>
      </c>
      <c r="B77" s="17" t="s">
        <v>165</v>
      </c>
      <c r="C77" s="17" t="s">
        <v>430</v>
      </c>
      <c r="D77" s="17" t="s">
        <v>430</v>
      </c>
      <c r="E77" s="17" t="s">
        <v>431</v>
      </c>
      <c r="F77" s="17" t="s">
        <v>168</v>
      </c>
      <c r="G77" s="18">
        <v>46219</v>
      </c>
      <c r="H77" s="18">
        <v>46583</v>
      </c>
      <c r="I77" s="19" t="s">
        <v>35</v>
      </c>
      <c r="J77" s="19" t="s">
        <v>432</v>
      </c>
      <c r="K77" s="20"/>
      <c r="L77" s="20"/>
      <c r="M77" s="20"/>
      <c r="N77" s="20"/>
      <c r="O77" s="20"/>
      <c r="P77" s="20"/>
      <c r="Q77" s="20">
        <v>11390</v>
      </c>
      <c r="R77" s="20" t="s">
        <v>436</v>
      </c>
      <c r="S77" s="20"/>
      <c r="T77" s="20"/>
      <c r="U77" s="20"/>
      <c r="V77" s="20"/>
      <c r="W77" s="21">
        <f>SUM(K77:V77)</f>
        <v>11390</v>
      </c>
      <c r="X77" s="17" t="s">
        <v>437</v>
      </c>
      <c r="Y77" s="22" t="s">
        <v>438</v>
      </c>
      <c r="Z77" s="22" t="s">
        <v>434</v>
      </c>
      <c r="AA77" s="22" t="s">
        <v>435</v>
      </c>
      <c r="AB77" s="22" t="s">
        <v>174</v>
      </c>
    </row>
    <row r="78" spans="1:28" x14ac:dyDescent="0.25">
      <c r="A78" s="17">
        <v>76</v>
      </c>
      <c r="B78" s="17" t="s">
        <v>165</v>
      </c>
      <c r="C78" s="17" t="s">
        <v>439</v>
      </c>
      <c r="D78" s="17" t="s">
        <v>440</v>
      </c>
      <c r="E78" s="17" t="s">
        <v>441</v>
      </c>
      <c r="F78" s="17" t="s">
        <v>168</v>
      </c>
      <c r="G78" s="18">
        <v>46023</v>
      </c>
      <c r="H78" s="18">
        <v>46218</v>
      </c>
      <c r="I78" s="19" t="s">
        <v>35</v>
      </c>
      <c r="J78" s="19" t="s">
        <v>442</v>
      </c>
      <c r="K78" s="20">
        <v>15000</v>
      </c>
      <c r="L78" s="20">
        <v>15000</v>
      </c>
      <c r="M78" s="20">
        <v>15000</v>
      </c>
      <c r="N78" s="20">
        <v>15000</v>
      </c>
      <c r="O78" s="20">
        <v>15000</v>
      </c>
      <c r="P78" s="20">
        <v>15000</v>
      </c>
      <c r="Q78" s="20"/>
      <c r="R78" s="20"/>
      <c r="S78" s="20"/>
      <c r="T78" s="20"/>
      <c r="U78" s="20"/>
      <c r="V78" s="20"/>
      <c r="W78" s="21">
        <f>SUM(K78:V78)</f>
        <v>90000</v>
      </c>
      <c r="X78" s="17" t="s">
        <v>109</v>
      </c>
      <c r="Y78" s="22" t="s">
        <v>443</v>
      </c>
      <c r="Z78" s="22" t="s">
        <v>444</v>
      </c>
      <c r="AA78" s="22" t="s">
        <v>445</v>
      </c>
      <c r="AB78" s="22" t="s">
        <v>174</v>
      </c>
    </row>
    <row r="79" spans="1:28" x14ac:dyDescent="0.25">
      <c r="A79" s="17">
        <v>77</v>
      </c>
      <c r="B79" s="17" t="s">
        <v>165</v>
      </c>
      <c r="C79" s="17" t="s">
        <v>439</v>
      </c>
      <c r="D79" s="17" t="s">
        <v>440</v>
      </c>
      <c r="E79" s="17" t="s">
        <v>441</v>
      </c>
      <c r="F79" s="17" t="s">
        <v>168</v>
      </c>
      <c r="G79" s="18">
        <v>46219</v>
      </c>
      <c r="H79" s="18">
        <v>46583</v>
      </c>
      <c r="I79" s="19" t="s">
        <v>35</v>
      </c>
      <c r="J79" s="19" t="s">
        <v>442</v>
      </c>
      <c r="K79" s="20"/>
      <c r="L79" s="20"/>
      <c r="M79" s="20"/>
      <c r="N79" s="20"/>
      <c r="O79" s="20"/>
      <c r="P79" s="20"/>
      <c r="Q79" s="20">
        <v>17000</v>
      </c>
      <c r="R79" s="20">
        <v>19000</v>
      </c>
      <c r="S79" s="20"/>
      <c r="T79" s="20"/>
      <c r="U79" s="20"/>
      <c r="V79" s="20"/>
      <c r="W79" s="21">
        <f>SUM(K79:V79)</f>
        <v>36000</v>
      </c>
      <c r="X79" s="17" t="s">
        <v>35</v>
      </c>
      <c r="Y79" s="22" t="s">
        <v>446</v>
      </c>
      <c r="Z79" s="22" t="s">
        <v>444</v>
      </c>
      <c r="AA79" s="22" t="s">
        <v>445</v>
      </c>
      <c r="AB79" s="22" t="s">
        <v>174</v>
      </c>
    </row>
    <row r="80" spans="1:28" x14ac:dyDescent="0.25">
      <c r="A80" s="17">
        <v>78</v>
      </c>
      <c r="B80" s="17" t="s">
        <v>165</v>
      </c>
      <c r="C80" s="17" t="s">
        <v>447</v>
      </c>
      <c r="D80" s="17" t="s">
        <v>448</v>
      </c>
      <c r="E80" s="17" t="s">
        <v>449</v>
      </c>
      <c r="F80" s="17" t="s">
        <v>168</v>
      </c>
      <c r="G80" s="18">
        <v>45778</v>
      </c>
      <c r="H80" s="18">
        <v>46142</v>
      </c>
      <c r="I80" s="19" t="s">
        <v>35</v>
      </c>
      <c r="J80" s="19" t="s">
        <v>450</v>
      </c>
      <c r="K80" s="20">
        <v>10500</v>
      </c>
      <c r="L80" s="20">
        <v>10500</v>
      </c>
      <c r="M80" s="20">
        <v>10500</v>
      </c>
      <c r="N80" s="20">
        <v>10500</v>
      </c>
      <c r="O80" s="20"/>
      <c r="P80" s="20"/>
      <c r="Q80" s="20"/>
      <c r="R80" s="20"/>
      <c r="S80" s="20"/>
      <c r="T80" s="20"/>
      <c r="U80" s="20"/>
      <c r="V80" s="20"/>
      <c r="W80" s="21">
        <f>SUM(K80:V80)</f>
        <v>42000</v>
      </c>
      <c r="X80" s="17" t="s">
        <v>451</v>
      </c>
      <c r="Y80" s="22" t="s">
        <v>452</v>
      </c>
      <c r="Z80" s="22" t="s">
        <v>453</v>
      </c>
      <c r="AA80" s="22" t="s">
        <v>454</v>
      </c>
      <c r="AB80" s="22" t="s">
        <v>174</v>
      </c>
    </row>
    <row r="81" spans="1:28" x14ac:dyDescent="0.25">
      <c r="A81" s="17">
        <v>79</v>
      </c>
      <c r="B81" s="17" t="s">
        <v>165</v>
      </c>
      <c r="C81" s="17" t="s">
        <v>455</v>
      </c>
      <c r="D81" s="17" t="s">
        <v>456</v>
      </c>
      <c r="E81" s="17" t="s">
        <v>457</v>
      </c>
      <c r="F81" s="17" t="s">
        <v>168</v>
      </c>
      <c r="G81" s="18">
        <v>45839</v>
      </c>
      <c r="H81" s="18">
        <v>46203</v>
      </c>
      <c r="I81" s="19" t="s">
        <v>35</v>
      </c>
      <c r="J81" s="19" t="s">
        <v>458</v>
      </c>
      <c r="K81" s="20">
        <v>13000</v>
      </c>
      <c r="L81" s="20">
        <v>13000</v>
      </c>
      <c r="M81" s="20">
        <v>13000</v>
      </c>
      <c r="N81" s="20">
        <v>13000</v>
      </c>
      <c r="O81" s="20">
        <v>13000</v>
      </c>
      <c r="P81" s="20">
        <v>13000</v>
      </c>
      <c r="Q81" s="20"/>
      <c r="R81" s="20"/>
      <c r="S81" s="20"/>
      <c r="T81" s="20"/>
      <c r="U81" s="20"/>
      <c r="V81" s="20"/>
      <c r="W81" s="21">
        <f>SUM(K81:V81)</f>
        <v>78000</v>
      </c>
      <c r="X81" s="17" t="s">
        <v>35</v>
      </c>
      <c r="Y81" s="22" t="s">
        <v>459</v>
      </c>
      <c r="Z81" s="22" t="s">
        <v>460</v>
      </c>
      <c r="AA81" s="22" t="s">
        <v>461</v>
      </c>
      <c r="AB81" s="22" t="s">
        <v>174</v>
      </c>
    </row>
    <row r="82" spans="1:28" x14ac:dyDescent="0.25">
      <c r="A82" s="17">
        <v>80</v>
      </c>
      <c r="B82" s="17" t="s">
        <v>165</v>
      </c>
      <c r="C82" s="17" t="s">
        <v>462</v>
      </c>
      <c r="D82" s="17" t="s">
        <v>463</v>
      </c>
      <c r="E82" s="17" t="s">
        <v>464</v>
      </c>
      <c r="F82" s="17" t="s">
        <v>168</v>
      </c>
      <c r="G82" s="18">
        <v>45916</v>
      </c>
      <c r="H82" s="18">
        <v>46280</v>
      </c>
      <c r="I82" s="19" t="s">
        <v>465</v>
      </c>
      <c r="J82" s="19" t="s">
        <v>466</v>
      </c>
      <c r="K82" s="20">
        <v>17000</v>
      </c>
      <c r="L82" s="20">
        <v>17000</v>
      </c>
      <c r="M82" s="20">
        <v>17000</v>
      </c>
      <c r="N82" s="20">
        <v>17000</v>
      </c>
      <c r="O82" s="20">
        <v>17000</v>
      </c>
      <c r="P82" s="20">
        <v>17000</v>
      </c>
      <c r="Q82" s="20">
        <v>17000</v>
      </c>
      <c r="R82" s="20">
        <v>17000</v>
      </c>
      <c r="S82" s="20"/>
      <c r="T82" s="20"/>
      <c r="U82" s="20"/>
      <c r="V82" s="20"/>
      <c r="W82" s="21">
        <f>SUM(K82:V82)</f>
        <v>136000</v>
      </c>
      <c r="X82" s="17" t="s">
        <v>35</v>
      </c>
      <c r="Y82" s="22" t="s">
        <v>467</v>
      </c>
      <c r="Z82" s="22" t="s">
        <v>468</v>
      </c>
      <c r="AA82" s="22" t="s">
        <v>469</v>
      </c>
      <c r="AB82" s="22" t="s">
        <v>174</v>
      </c>
    </row>
    <row r="83" spans="1:28" x14ac:dyDescent="0.25">
      <c r="A83" s="17">
        <v>81</v>
      </c>
      <c r="B83" s="17" t="s">
        <v>165</v>
      </c>
      <c r="C83" s="17" t="s">
        <v>470</v>
      </c>
      <c r="D83" s="17" t="s">
        <v>471</v>
      </c>
      <c r="E83" s="17" t="s">
        <v>472</v>
      </c>
      <c r="F83" s="17" t="s">
        <v>168</v>
      </c>
      <c r="G83" s="18">
        <v>46204</v>
      </c>
      <c r="H83" s="18">
        <v>46568</v>
      </c>
      <c r="I83" s="19" t="s">
        <v>35</v>
      </c>
      <c r="J83" s="19" t="s">
        <v>473</v>
      </c>
      <c r="K83" s="20"/>
      <c r="L83" s="20"/>
      <c r="M83" s="20"/>
      <c r="N83" s="20"/>
      <c r="O83" s="20"/>
      <c r="P83" s="20"/>
      <c r="Q83" s="20">
        <v>20000</v>
      </c>
      <c r="R83" s="20">
        <v>20000</v>
      </c>
      <c r="S83" s="20"/>
      <c r="T83" s="20"/>
      <c r="U83" s="20"/>
      <c r="V83" s="20"/>
      <c r="W83" s="21">
        <f>SUM(K83:V83)</f>
        <v>40000</v>
      </c>
      <c r="X83" s="17" t="s">
        <v>35</v>
      </c>
      <c r="Y83" s="22" t="s">
        <v>474</v>
      </c>
      <c r="Z83" s="22" t="s">
        <v>475</v>
      </c>
      <c r="AA83" s="22" t="s">
        <v>476</v>
      </c>
      <c r="AB83" s="22" t="s">
        <v>174</v>
      </c>
    </row>
    <row r="84" spans="1:28" x14ac:dyDescent="0.25">
      <c r="A84" s="17">
        <v>82</v>
      </c>
      <c r="B84" s="17" t="s">
        <v>165</v>
      </c>
      <c r="C84" s="17" t="s">
        <v>477</v>
      </c>
      <c r="D84" s="17" t="s">
        <v>478</v>
      </c>
      <c r="E84" s="17" t="s">
        <v>479</v>
      </c>
      <c r="F84" s="17" t="s">
        <v>168</v>
      </c>
      <c r="G84" s="18">
        <v>45946</v>
      </c>
      <c r="H84" s="18">
        <v>46310</v>
      </c>
      <c r="I84" s="19" t="s">
        <v>35</v>
      </c>
      <c r="J84" s="19" t="s">
        <v>480</v>
      </c>
      <c r="K84" s="20">
        <v>11000</v>
      </c>
      <c r="L84" s="20">
        <v>11000</v>
      </c>
      <c r="M84" s="20">
        <v>11000</v>
      </c>
      <c r="N84" s="20">
        <v>11000</v>
      </c>
      <c r="O84" s="20">
        <v>11000</v>
      </c>
      <c r="P84" s="20">
        <v>11000</v>
      </c>
      <c r="Q84" s="20">
        <v>11000</v>
      </c>
      <c r="R84" s="20"/>
      <c r="S84" s="20"/>
      <c r="T84" s="20"/>
      <c r="U84" s="20"/>
      <c r="V84" s="20"/>
      <c r="W84" s="21">
        <f>SUM(K84:V84)</f>
        <v>77000</v>
      </c>
      <c r="X84" s="17" t="s">
        <v>35</v>
      </c>
      <c r="Y84" s="22" t="s">
        <v>481</v>
      </c>
      <c r="Z84" s="22" t="s">
        <v>482</v>
      </c>
      <c r="AA84" s="22" t="s">
        <v>483</v>
      </c>
      <c r="AB84" s="22" t="s">
        <v>174</v>
      </c>
    </row>
    <row r="85" spans="1:28" x14ac:dyDescent="0.25">
      <c r="A85" s="17">
        <v>83</v>
      </c>
      <c r="B85" s="17" t="s">
        <v>165</v>
      </c>
      <c r="C85" s="17" t="s">
        <v>484</v>
      </c>
      <c r="D85" s="17" t="s">
        <v>484</v>
      </c>
      <c r="E85" s="17" t="s">
        <v>485</v>
      </c>
      <c r="F85" s="17" t="s">
        <v>168</v>
      </c>
      <c r="G85" s="18">
        <v>45938</v>
      </c>
      <c r="H85" s="18">
        <v>46302</v>
      </c>
      <c r="I85" s="19" t="s">
        <v>35</v>
      </c>
      <c r="J85" s="19" t="s">
        <v>486</v>
      </c>
      <c r="K85" s="20">
        <v>11000</v>
      </c>
      <c r="L85" s="20">
        <v>11000</v>
      </c>
      <c r="M85" s="20">
        <v>11000</v>
      </c>
      <c r="N85" s="20">
        <v>11000</v>
      </c>
      <c r="O85" s="20">
        <v>11000</v>
      </c>
      <c r="P85" s="20"/>
      <c r="Q85" s="20"/>
      <c r="R85" s="20"/>
      <c r="S85" s="20"/>
      <c r="T85" s="20"/>
      <c r="U85" s="20"/>
      <c r="V85" s="20"/>
      <c r="W85" s="21">
        <f>SUM(K85:V85)</f>
        <v>55000</v>
      </c>
      <c r="X85" s="17" t="s">
        <v>35</v>
      </c>
      <c r="Y85" s="22" t="s">
        <v>487</v>
      </c>
      <c r="Z85" s="22" t="s">
        <v>488</v>
      </c>
      <c r="AA85" s="22" t="s">
        <v>489</v>
      </c>
      <c r="AB85" s="22" t="s">
        <v>174</v>
      </c>
    </row>
    <row r="86" spans="1:28" x14ac:dyDescent="0.25">
      <c r="A86" s="17">
        <v>84</v>
      </c>
      <c r="B86" s="17" t="s">
        <v>165</v>
      </c>
      <c r="C86" s="17" t="s">
        <v>490</v>
      </c>
      <c r="D86" s="17" t="s">
        <v>491</v>
      </c>
      <c r="E86" s="17" t="s">
        <v>492</v>
      </c>
      <c r="F86" s="17" t="s">
        <v>168</v>
      </c>
      <c r="G86" s="18">
        <v>45139</v>
      </c>
      <c r="H86" s="18">
        <v>46234</v>
      </c>
      <c r="I86" s="19" t="s">
        <v>493</v>
      </c>
      <c r="J86" s="19" t="s">
        <v>494</v>
      </c>
      <c r="K86" s="20">
        <v>10890</v>
      </c>
      <c r="L86" s="20">
        <v>10890</v>
      </c>
      <c r="M86" s="20">
        <v>10890</v>
      </c>
      <c r="N86" s="20">
        <v>10890</v>
      </c>
      <c r="O86" s="20">
        <v>10890</v>
      </c>
      <c r="P86" s="20">
        <v>10890</v>
      </c>
      <c r="Q86" s="20"/>
      <c r="R86" s="20"/>
      <c r="S86" s="20"/>
      <c r="T86" s="20"/>
      <c r="U86" s="20"/>
      <c r="V86" s="20"/>
      <c r="W86" s="21">
        <f>SUM(K86:V86)</f>
        <v>65340</v>
      </c>
      <c r="X86" s="17" t="s">
        <v>35</v>
      </c>
      <c r="Y86" s="22" t="s">
        <v>495</v>
      </c>
      <c r="Z86" s="22" t="s">
        <v>496</v>
      </c>
      <c r="AA86" s="22" t="s">
        <v>497</v>
      </c>
      <c r="AB86" s="22" t="s">
        <v>174</v>
      </c>
    </row>
    <row r="87" spans="1:28" x14ac:dyDescent="0.25">
      <c r="A87" s="17">
        <v>85</v>
      </c>
      <c r="B87" s="17" t="s">
        <v>165</v>
      </c>
      <c r="C87" s="17" t="s">
        <v>498</v>
      </c>
      <c r="D87" s="17" t="s">
        <v>499</v>
      </c>
      <c r="E87" s="17" t="s">
        <v>500</v>
      </c>
      <c r="F87" s="17" t="s">
        <v>168</v>
      </c>
      <c r="G87" s="18">
        <v>45901</v>
      </c>
      <c r="H87" s="18">
        <v>46265</v>
      </c>
      <c r="I87" s="19" t="s">
        <v>35</v>
      </c>
      <c r="J87" s="19" t="s">
        <v>501</v>
      </c>
      <c r="K87" s="20">
        <v>13000</v>
      </c>
      <c r="L87" s="20">
        <v>13000</v>
      </c>
      <c r="M87" s="20">
        <v>13000</v>
      </c>
      <c r="N87" s="20">
        <v>13000</v>
      </c>
      <c r="O87" s="20">
        <v>13000</v>
      </c>
      <c r="P87" s="20">
        <v>13000</v>
      </c>
      <c r="Q87" s="20">
        <v>13000</v>
      </c>
      <c r="R87" s="20">
        <v>13000</v>
      </c>
      <c r="S87" s="20"/>
      <c r="T87" s="20"/>
      <c r="U87" s="20"/>
      <c r="V87" s="20"/>
      <c r="W87" s="21">
        <f>SUM(K87:V87)</f>
        <v>104000</v>
      </c>
      <c r="X87" s="17" t="s">
        <v>35</v>
      </c>
      <c r="Y87" s="22" t="s">
        <v>502</v>
      </c>
      <c r="Z87" s="22" t="s">
        <v>503</v>
      </c>
      <c r="AA87" s="22" t="s">
        <v>504</v>
      </c>
      <c r="AB87" s="22" t="s">
        <v>174</v>
      </c>
    </row>
    <row r="88" spans="1:28" x14ac:dyDescent="0.25">
      <c r="A88" s="17">
        <v>86</v>
      </c>
      <c r="B88" s="17" t="s">
        <v>165</v>
      </c>
      <c r="C88" s="17" t="s">
        <v>498</v>
      </c>
      <c r="D88" s="17" t="s">
        <v>499</v>
      </c>
      <c r="E88" s="17" t="s">
        <v>505</v>
      </c>
      <c r="F88" s="17" t="s">
        <v>168</v>
      </c>
      <c r="G88" s="18">
        <v>45931</v>
      </c>
      <c r="H88" s="18">
        <v>46295</v>
      </c>
      <c r="I88" s="19" t="s">
        <v>35</v>
      </c>
      <c r="J88" s="19" t="s">
        <v>501</v>
      </c>
      <c r="K88" s="20">
        <v>13000</v>
      </c>
      <c r="L88" s="20">
        <v>13000</v>
      </c>
      <c r="M88" s="20">
        <v>13000</v>
      </c>
      <c r="N88" s="20">
        <v>13000</v>
      </c>
      <c r="O88" s="20">
        <v>13000</v>
      </c>
      <c r="P88" s="20">
        <v>13000</v>
      </c>
      <c r="Q88" s="20">
        <v>13000</v>
      </c>
      <c r="R88" s="20">
        <v>13000</v>
      </c>
      <c r="S88" s="20"/>
      <c r="T88" s="20"/>
      <c r="U88" s="20"/>
      <c r="V88" s="20"/>
      <c r="W88" s="21">
        <f>SUM(K88:V88)</f>
        <v>104000</v>
      </c>
      <c r="X88" s="17" t="s">
        <v>35</v>
      </c>
      <c r="Y88" s="22" t="s">
        <v>506</v>
      </c>
      <c r="Z88" s="22" t="s">
        <v>507</v>
      </c>
      <c r="AA88" s="22" t="s">
        <v>504</v>
      </c>
      <c r="AB88" s="22" t="s">
        <v>174</v>
      </c>
    </row>
    <row r="89" spans="1:23" x14ac:dyDescent="0.25">
      <c r="A89" s="23"/>
      <c r="B89" s="23"/>
      <c r="C89" s="24" t="s">
        <v>508</v>
      </c>
      <c r="D89" s="23"/>
      <c r="E89" s="23"/>
      <c r="F89" s="23"/>
      <c r="G89" s="23"/>
      <c r="H89" s="23"/>
      <c r="I89" s="23"/>
      <c r="J89" s="23"/>
      <c r="K89" s="25">
        <f>SUM(K3:K88)</f>
        <v>1311200</v>
      </c>
      <c r="L89" s="25">
        <f>SUM(L3:L88)</f>
        <v>1324265</v>
      </c>
      <c r="M89" s="25">
        <f>SUM(M3:M88)</f>
        <v>1337580</v>
      </c>
      <c r="N89" s="25">
        <f>SUM(N3:N88)</f>
        <v>1315175</v>
      </c>
      <c r="O89" s="25">
        <f>SUM(O3:O88)</f>
        <v>1313188</v>
      </c>
      <c r="P89" s="25">
        <f>SUM(P3:P88)</f>
        <v>1244295</v>
      </c>
      <c r="Q89" s="25">
        <f>SUM(Q3:Q88)</f>
        <v>1261990</v>
      </c>
      <c r="R89" s="25">
        <f>SUM(R3:R88)</f>
        <v>1232130</v>
      </c>
      <c r="S89" s="25">
        <f>SUM(S3:S88)</f>
        <v>0</v>
      </c>
      <c r="T89" s="25">
        <f>SUM(T3:T88)</f>
        <v>0</v>
      </c>
      <c r="U89" s="25">
        <f>SUM(U3:U88)</f>
        <v>0</v>
      </c>
      <c r="V89" s="25">
        <f>SUM(V3:V88)</f>
        <v>0</v>
      </c>
      <c r="W89" s="25">
        <f>SUM(W3:W88)</f>
        <v>10339823</v>
      </c>
    </row>
  </sheetData>
  <autoFilter ref="A2:AB88"/>
  <mergeCells count="1">
    <mergeCell ref="K1:V1"/>
  </mergeCells>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
  <sheetViews>
    <sheetView workbookViewId="0" rightToLeft="1">
      <pane ySplit="1" topLeftCell="A2" activePane="bottomLeft" state="frozen"/>
      <selection pane="bottomLeft"/>
    </sheetView>
  </sheetViews>
  <sheetFormatPr defaultRowHeight="15" outlineLevelRow="0" outlineLevelCol="0" x14ac:dyDescent="55"/>
  <cols>
    <col min="1" max="3" width="18" customWidth="1"/>
    <col min="4" max="7" width="12" customWidth="1"/>
    <col min="8" max="8" width="16" customWidth="1"/>
    <col min="9" max="9" width="12" customWidth="1"/>
  </cols>
  <sheetData>
    <row r="1" ht="28" customHeight="1" spans="1:9" x14ac:dyDescent="0.25">
      <c r="A1" s="3" t="s">
        <v>3</v>
      </c>
      <c r="B1" s="4" t="s">
        <v>509</v>
      </c>
      <c r="C1" s="4" t="s">
        <v>510</v>
      </c>
      <c r="D1" s="4" t="s">
        <v>511</v>
      </c>
      <c r="E1" s="4" t="s">
        <v>512</v>
      </c>
      <c r="F1" s="4" t="s">
        <v>513</v>
      </c>
      <c r="G1" s="4" t="s">
        <v>514</v>
      </c>
      <c r="H1" s="26" t="s">
        <v>515</v>
      </c>
      <c r="I1" s="3" t="s">
        <v>29</v>
      </c>
    </row>
    <row r="2" spans="1:9" x14ac:dyDescent="0.25">
      <c r="A2" t="s">
        <v>30</v>
      </c>
      <c r="B2" s="27">
        <f>COUNTIF('2026'!$AB:$AB,$I2)</f>
        <v>7</v>
      </c>
      <c r="C2" s="28">
        <f>SUMIF('2026'!$AB:$AB,$I2,'2026'!$W:$W)</f>
        <v>1818148</v>
      </c>
      <c r="D2" s="27">
        <f>IF($I2="","",COUNTIF('الوحدات'!$B:$B,$I2))</f>
        <v>7</v>
      </c>
      <c r="E2" s="27">
        <f>IF($I2="","",COUNTIFS('الوحدات'!$B:$B,$I2,'الوحدات'!$K:$K,"مؤجَّرة")+COUNTIFS('الوحدات'!$B:$B,$I2,'الوحدات'!$K:$K,"تنتهي خلال 90 يومًا"))</f>
        <v>2</v>
      </c>
      <c r="F2" s="27">
        <f>IF($I2="","",COUNTIFS('الوحدات'!$B:$B,$I2,'الوحدات'!$K:$K,"شاغرة"))</f>
        <v>5</v>
      </c>
      <c r="G2" s="29">
        <f>IF(OR($D2="",$D2=0),"",$E2/$D2)</f>
        <v>0.2857142857142857</v>
      </c>
      <c r="H2" s="30">
        <f>IF($I2="","",SUMIFS('العقود'!$W:$W,'العقود'!$Y:$Y,$I2))</f>
        <v>0</v>
      </c>
      <c r="I2" t="s">
        <v>40</v>
      </c>
    </row>
    <row r="3" spans="1:9" x14ac:dyDescent="0.25">
      <c r="A3" t="s">
        <v>79</v>
      </c>
      <c r="B3" s="27">
        <f>COUNTIF('2026'!$AB:$AB,$I3)</f>
        <v>14</v>
      </c>
      <c r="C3" s="28">
        <f>SUMIF('2026'!$AB:$AB,$I3,'2026'!$W:$W)</f>
        <v>3071865</v>
      </c>
      <c r="D3" s="27">
        <f>IF($I3="","",COUNTIF('الوحدات'!$B:$B,$I3))</f>
        <v>12</v>
      </c>
      <c r="E3" s="27">
        <f>IF($I3="","",COUNTIFS('الوحدات'!$B:$B,$I3,'الوحدات'!$K:$K,"مؤجَّرة")+COUNTIFS('الوحدات'!$B:$B,$I3,'الوحدات'!$K:$K,"تنتهي خلال 90 يومًا"))</f>
        <v>10</v>
      </c>
      <c r="F3" s="27">
        <f>IF($I3="","",COUNTIFS('الوحدات'!$B:$B,$I3,'الوحدات'!$K:$K,"شاغرة"))</f>
        <v>2</v>
      </c>
      <c r="G3" s="29">
        <f>IF(OR($D3="",$D3=0),"",$E3/$D3)</f>
        <v>0.8333333333333334</v>
      </c>
      <c r="H3" s="30">
        <f>IF($I3="","",SUMIFS('العقود'!$W:$W,'العقود'!$Y:$Y,$I3))</f>
        <v>2640</v>
      </c>
      <c r="I3" t="s">
        <v>89</v>
      </c>
    </row>
    <row r="4" spans="1:9" x14ac:dyDescent="0.25">
      <c r="A4" t="s">
        <v>165</v>
      </c>
      <c r="B4" s="27">
        <f>COUNTIF('2026'!$AB:$AB,$I4)</f>
        <v>65</v>
      </c>
      <c r="C4" s="28">
        <f>SUMIF('2026'!$AB:$AB,$I4,'2026'!$W:$W)</f>
        <v>5449810</v>
      </c>
      <c r="D4" s="27">
        <f>IF($I4="","",COUNTIF('الوحدات'!$B:$B,$I4))</f>
        <v>52</v>
      </c>
      <c r="E4" s="27">
        <f>IF($I4="","",COUNTIFS('الوحدات'!$B:$B,$I4,'الوحدات'!$K:$K,"مؤجَّرة")+COUNTIFS('الوحدات'!$B:$B,$I4,'الوحدات'!$K:$K,"تنتهي خلال 90 يومًا"))</f>
        <v>34</v>
      </c>
      <c r="F4" s="27">
        <f>IF($I4="","",COUNTIFS('الوحدات'!$B:$B,$I4,'الوحدات'!$K:$K,"شاغرة"))</f>
        <v>18</v>
      </c>
      <c r="G4" s="29">
        <f>IF(OR($D4="",$D4=0),"",$E4/$D4)</f>
        <v>0.6538461538461539</v>
      </c>
      <c r="H4" s="30">
        <f>IF($I4="","",SUMIFS('العقود'!$W:$W,'العقود'!$Y:$Y,$I4))</f>
        <v>157845</v>
      </c>
      <c r="I4" t="s">
        <v>174</v>
      </c>
    </row>
    <row r="5" spans="1:8" x14ac:dyDescent="0.25">
      <c r="A5" s="24" t="s">
        <v>24</v>
      </c>
      <c r="B5" s="31">
        <f>SUM(B2:B4)</f>
        <v>86</v>
      </c>
      <c r="C5" s="25">
        <f>SUM(C2:C4)</f>
        <v>10339823</v>
      </c>
      <c r="D5" s="31">
        <f>SUM(D2:D4)</f>
        <v>71</v>
      </c>
      <c r="E5" s="31">
        <f>SUM(E2:E4)</f>
        <v>46</v>
      </c>
      <c r="F5" s="31">
        <f>SUM(F2:F4)</f>
        <v>25</v>
      </c>
      <c r="G5" s="32">
        <f>IF(OR(D5="",D5=0),"",E5/D5)</f>
        <v>0.647887323943662</v>
      </c>
      <c r="H5" s="31">
        <f>SUM(H2:H4)</f>
        <v>160485</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
  <sheetViews>
    <sheetView workbookViewId="0" rightToLeft="1">
      <pane xSplit="1" ySplit="1" topLeftCell="B2" activePane="bottomRight" state="frozen"/>
      <selection pane="bottomRight"/>
    </sheetView>
  </sheetViews>
  <sheetFormatPr defaultRowHeight="15" outlineLevelRow="0" outlineLevelCol="0" x14ac:dyDescent="55"/>
  <cols>
    <col min="1" max="1" width="12" customWidth="1"/>
    <col min="2" max="2" width="22" customWidth="1"/>
    <col min="3" max="3" width="30" customWidth="1"/>
    <col min="4" max="4" width="14" customWidth="1"/>
    <col min="5" max="5" width="30" customWidth="1"/>
    <col min="6" max="6" width="14" customWidth="1"/>
    <col min="7" max="9" width="12" customWidth="1"/>
    <col min="10" max="11" width="16" customWidth="1"/>
    <col min="12" max="12" width="12" customWidth="1"/>
  </cols>
  <sheetData>
    <row r="1" ht="28" customHeight="1" spans="1:12" x14ac:dyDescent="0.25">
      <c r="A1" s="3" t="s">
        <v>29</v>
      </c>
      <c r="B1" s="3" t="s">
        <v>516</v>
      </c>
      <c r="C1" s="3" t="s">
        <v>7</v>
      </c>
      <c r="D1" s="3" t="s">
        <v>517</v>
      </c>
      <c r="E1" s="3" t="s">
        <v>25</v>
      </c>
      <c r="F1" s="3" t="s">
        <v>518</v>
      </c>
      <c r="G1" s="4" t="s">
        <v>511</v>
      </c>
      <c r="H1" s="4" t="s">
        <v>512</v>
      </c>
      <c r="I1" s="4" t="s">
        <v>513</v>
      </c>
      <c r="J1" s="26" t="s">
        <v>515</v>
      </c>
      <c r="K1" s="4" t="s">
        <v>510</v>
      </c>
      <c r="L1" s="4" t="s">
        <v>514</v>
      </c>
    </row>
    <row r="2" spans="1:12" x14ac:dyDescent="0.25">
      <c r="A2" t="s">
        <v>40</v>
      </c>
      <c r="B2" t="s">
        <v>30</v>
      </c>
      <c r="C2" t="s">
        <v>34</v>
      </c>
      <c r="E2" t="s">
        <v>35</v>
      </c>
      <c r="F2" s="33"/>
      <c r="G2" s="34">
        <f>IF($A2="","",COUNTIF('الوحدات'!$B:$B,$A2))</f>
        <v>7</v>
      </c>
      <c r="H2" s="34">
        <f>IF($A2="","",COUNTIFS('الوحدات'!$B:$B,$A2,'الوحدات'!$K:$K,"مؤجَّرة")+COUNTIFS('الوحدات'!$B:$B,$A2,'الوحدات'!$K:$K,"تنتهي خلال 90 يومًا"))</f>
        <v>2</v>
      </c>
      <c r="I2" s="34">
        <f>IF($A2="","",COUNTIFS('الوحدات'!$B:$B,$A2,'الوحدات'!$K:$K,"شاغرة"))</f>
        <v>5</v>
      </c>
      <c r="J2" s="35">
        <f>IF($A2="","",SUMIFS('العقود'!$W:$W,'العقود'!$Y:$Y,$A2))</f>
        <v>0</v>
      </c>
      <c r="K2" s="28">
        <f>IF($A2="","",SUMIF('2026'!$AB:$AB,$A2,'2026'!$W:$W))</f>
        <v>1818148</v>
      </c>
      <c r="L2" s="29">
        <f>IF(OR($G2="",$G2=0),"",$H2/$G2)</f>
        <v>0.2857142857142857</v>
      </c>
    </row>
    <row r="3" spans="1:12" x14ac:dyDescent="0.25">
      <c r="A3" t="s">
        <v>89</v>
      </c>
      <c r="B3" t="s">
        <v>79</v>
      </c>
      <c r="C3" t="s">
        <v>83</v>
      </c>
      <c r="E3" t="s">
        <v>35</v>
      </c>
      <c r="F3" s="33"/>
      <c r="G3" s="34">
        <f>IF($A3="","",COUNTIF('الوحدات'!$B:$B,$A3))</f>
        <v>12</v>
      </c>
      <c r="H3" s="34">
        <f>IF($A3="","",COUNTIFS('الوحدات'!$B:$B,$A3,'الوحدات'!$K:$K,"مؤجَّرة")+COUNTIFS('الوحدات'!$B:$B,$A3,'الوحدات'!$K:$K,"تنتهي خلال 90 يومًا"))</f>
        <v>10</v>
      </c>
      <c r="I3" s="34">
        <f>IF($A3="","",COUNTIFS('الوحدات'!$B:$B,$A3,'الوحدات'!$K:$K,"شاغرة"))</f>
        <v>2</v>
      </c>
      <c r="J3" s="35">
        <f>IF($A3="","",SUMIFS('العقود'!$W:$W,'العقود'!$Y:$Y,$A3))</f>
        <v>2640</v>
      </c>
      <c r="K3" s="28">
        <f>IF($A3="","",SUMIF('2026'!$AB:$AB,$A3,'2026'!$W:$W))</f>
        <v>3071865</v>
      </c>
      <c r="L3" s="29">
        <f>IF(OR($G3="",$G3=0),"",$H3/$G3)</f>
        <v>0.8333333333333334</v>
      </c>
    </row>
    <row r="4" spans="1:12" x14ac:dyDescent="0.25">
      <c r="A4" t="s">
        <v>174</v>
      </c>
      <c r="B4" t="s">
        <v>165</v>
      </c>
      <c r="C4" t="s">
        <v>168</v>
      </c>
      <c r="E4" t="s">
        <v>35</v>
      </c>
      <c r="F4" s="33"/>
      <c r="G4" s="34">
        <f>IF($A4="","",COUNTIF('الوحدات'!$B:$B,$A4))</f>
        <v>52</v>
      </c>
      <c r="H4" s="34">
        <f>IF($A4="","",COUNTIFS('الوحدات'!$B:$B,$A4,'الوحدات'!$K:$K,"مؤجَّرة")+COUNTIFS('الوحدات'!$B:$B,$A4,'الوحدات'!$K:$K,"تنتهي خلال 90 يومًا"))</f>
        <v>34</v>
      </c>
      <c r="I4" s="34">
        <f>IF($A4="","",COUNTIFS('الوحدات'!$B:$B,$A4,'الوحدات'!$K:$K,"شاغرة"))</f>
        <v>18</v>
      </c>
      <c r="J4" s="35">
        <f>IF($A4="","",SUMIFS('العقود'!$W:$W,'العقود'!$Y:$Y,$A4))</f>
        <v>157845</v>
      </c>
      <c r="K4" s="28">
        <f>IF($A4="","",SUMIF('2026'!$AB:$AB,$A4,'2026'!$W:$W))</f>
        <v>5449810</v>
      </c>
      <c r="L4" s="29">
        <f>IF(OR($G4="",$G4=0),"",$H4/$G4)</f>
        <v>0.6538461538461539</v>
      </c>
    </row>
  </sheetData>
  <autoFilter ref="A1:L4"/>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00"/>
  <sheetViews>
    <sheetView workbookViewId="0" rightToLeft="1">
      <pane xSplit="1" ySplit="1" topLeftCell="B2" activePane="bottomRight" state="frozen"/>
      <selection pane="bottomRight"/>
    </sheetView>
  </sheetViews>
  <sheetFormatPr defaultRowHeight="15" outlineLevelRow="0" outlineLevelCol="0" x14ac:dyDescent="55"/>
  <cols>
    <col min="1" max="2" width="12" customWidth="1"/>
    <col min="3" max="4" width="16" customWidth="1"/>
    <col min="5" max="5" width="10" customWidth="1"/>
    <col min="6" max="6" width="8" customWidth="1"/>
    <col min="7" max="7" width="10" customWidth="1"/>
    <col min="8" max="8" width="30" customWidth="1"/>
    <col min="9" max="9" width="14" customWidth="1"/>
    <col min="10" max="10" width="36" customWidth="1"/>
    <col min="11" max="11" width="18" customWidth="1"/>
    <col min="12" max="12" width="26" customWidth="1"/>
    <col min="13" max="13" width="12" customWidth="1"/>
    <col min="14" max="15" width="14" customWidth="1"/>
    <col min="16" max="16" width="12" customWidth="1"/>
    <col min="17" max="18" width="14" customWidth="1"/>
  </cols>
  <sheetData>
    <row r="1" ht="28" customHeight="1" spans="1:18" x14ac:dyDescent="0.25">
      <c r="A1" s="3" t="s">
        <v>27</v>
      </c>
      <c r="B1" s="3" t="s">
        <v>29</v>
      </c>
      <c r="C1" s="4" t="s">
        <v>3</v>
      </c>
      <c r="D1" s="3" t="s">
        <v>519</v>
      </c>
      <c r="E1" s="3" t="s">
        <v>520</v>
      </c>
      <c r="F1" s="3" t="s">
        <v>521</v>
      </c>
      <c r="G1" s="3" t="s">
        <v>522</v>
      </c>
      <c r="H1" s="3" t="s">
        <v>25</v>
      </c>
      <c r="I1" s="3" t="s">
        <v>518</v>
      </c>
      <c r="J1" s="26" t="s">
        <v>523</v>
      </c>
      <c r="K1" s="4" t="s">
        <v>524</v>
      </c>
      <c r="L1" s="4" t="s">
        <v>525</v>
      </c>
      <c r="M1" s="4" t="s">
        <v>526</v>
      </c>
      <c r="N1" s="4" t="s">
        <v>527</v>
      </c>
      <c r="O1" s="4" t="s">
        <v>528</v>
      </c>
      <c r="P1" s="4" t="s">
        <v>529</v>
      </c>
      <c r="Q1" s="4" t="s">
        <v>530</v>
      </c>
      <c r="R1" s="4" t="s">
        <v>531</v>
      </c>
    </row>
    <row r="2" spans="1:18" x14ac:dyDescent="0.25">
      <c r="A2" t="s">
        <v>38</v>
      </c>
      <c r="B2" t="s">
        <v>40</v>
      </c>
      <c r="C2" s="27" t="str">
        <f>IF($B2="","",IFERROR(INDEX('المشاريع'!$B:$B,MATCH($B2,'المشاريع'!$A:$A,0)),""))</f>
        <v>بابل</v>
      </c>
      <c r="D2" t="s">
        <v>33</v>
      </c>
      <c r="E2" t="s">
        <v>532</v>
      </c>
      <c r="F2" t="s">
        <v>533</v>
      </c>
      <c r="H2" t="s">
        <v>35</v>
      </c>
      <c r="I2" s="33"/>
      <c r="J2" s="36" t="s">
        <v>35</v>
      </c>
      <c r="K2" s="27" t="str">
        <f>IF($M2="","شاغرة",IF(AND($R2&lt;=90,COUNTIFS('العقود'!$B:$B,$A2,'العقود'!$G:$G,"&gt;"&amp;$Q2)=0),"تنتهي خلال 90 يومًا","مؤجَّرة"))</f>
        <v>شاغرة</v>
      </c>
      <c r="L2" s="27" t="str">
        <f>IF($M2="","",IFERROR(INDEX('العقود'!$F:$F,MATCH($M2,'العقود'!$A:$A,0)),""))</f>
        <v/>
      </c>
      <c r="M2" s="27" t="str">
        <f>IF($A2="","",IFERROR(INDEX('العقود'!$A:$A,MATCH($A2,'العقود'!$AO:$AO,0)),""))</f>
        <v/>
      </c>
      <c r="N2" s="28" t="str">
        <f>IF($M2="","",IFERROR(INDEX('العقود'!$U:$U,MATCH($M2,'العقود'!$A:$A,0)),""))</f>
        <v/>
      </c>
      <c r="O2" s="37">
        <f>IF(OR($A2="",$M2&lt;&gt;""),"",IF(COUNTIFS('العقود'!$B:$B,$A2,'العقود'!$H:$H,"&lt;"&amp;TODAY())=0,IF(ISNUMBER($I2),$I2,""),IFERROR(SUMPRODUCT(MAX(('العقود'!$B$2:$B$287=$A2)*('العقود'!$H$2:$H$287&lt;TODAY())*'العقود'!$H$2:$H$287))+1,"")))</f>
        <v>46174</v>
      </c>
      <c r="P2" s="34">
        <f>IF($O2="","",MAX(0,TODAY()-$O2))</f>
        <v>131</v>
      </c>
      <c r="Q2" s="37" t="str">
        <f>IF($M2="","",IFERROR(INDEX('العقود'!$H:$H,MATCH($M2,'العقود'!$A:$A,0)),""))</f>
        <v/>
      </c>
      <c r="R2" s="34" t="str">
        <f>IF($Q2="","",$Q2-TODAY())</f>
        <v/>
      </c>
    </row>
    <row r="3" spans="1:18" x14ac:dyDescent="0.25">
      <c r="A3" t="s">
        <v>45</v>
      </c>
      <c r="B3" t="s">
        <v>40</v>
      </c>
      <c r="C3" s="27" t="str">
        <f>IF($B3="","",IFERROR(INDEX('المشاريع'!$B:$B,MATCH($B3,'المشاريع'!$A:$A,0)),""))</f>
        <v>بابل</v>
      </c>
      <c r="D3" t="s">
        <v>33</v>
      </c>
      <c r="E3" t="s">
        <v>532</v>
      </c>
      <c r="F3" t="s">
        <v>533</v>
      </c>
      <c r="H3" t="s">
        <v>35</v>
      </c>
      <c r="I3" s="33"/>
      <c r="J3" s="36" t="s">
        <v>35</v>
      </c>
      <c r="K3" s="27" t="str">
        <f>IF($M3="","شاغرة",IF(AND($R3&lt;=90,COUNTIFS('العقود'!$B:$B,$A3,'العقود'!$G:$G,"&gt;"&amp;$Q3)=0),"تنتهي خلال 90 يومًا","مؤجَّرة"))</f>
        <v>شاغرة</v>
      </c>
      <c r="L3" s="27" t="str">
        <f>IF($M3="","",IFERROR(INDEX('العقود'!$F:$F,MATCH($M3,'العقود'!$A:$A,0)),""))</f>
        <v/>
      </c>
      <c r="M3" s="27" t="str">
        <f>IF($A3="","",IFERROR(INDEX('العقود'!$A:$A,MATCH($A3,'العقود'!$AO:$AO,0)),""))</f>
        <v/>
      </c>
      <c r="N3" s="28" t="str">
        <f>IF($M3="","",IFERROR(INDEX('العقود'!$U:$U,MATCH($M3,'العقود'!$A:$A,0)),""))</f>
        <v/>
      </c>
      <c r="O3" s="37">
        <f>IF(OR($A3="",$M3&lt;&gt;""),"",IF(COUNTIFS('العقود'!$B:$B,$A3,'العقود'!$H:$H,"&lt;"&amp;TODAY())=0,IF(ISNUMBER($I3),$I3,""),IFERROR(SUMPRODUCT(MAX(('العقود'!$B$2:$B$287=$A3)*('العقود'!$H$2:$H$287&lt;TODAY())*'العقود'!$H$2:$H$287))+1,"")))</f>
        <v>46143</v>
      </c>
      <c r="P3" s="34">
        <f>IF($O3="","",MAX(0,TODAY()-$O3))</f>
        <v>162</v>
      </c>
      <c r="Q3" s="37" t="str">
        <f>IF($M3="","",IFERROR(INDEX('العقود'!$H:$H,MATCH($M3,'العقود'!$A:$A,0)),""))</f>
        <v/>
      </c>
      <c r="R3" s="34" t="str">
        <f>IF($Q3="","",$Q3-TODAY())</f>
        <v/>
      </c>
    </row>
    <row r="4" spans="1:18" x14ac:dyDescent="0.25">
      <c r="A4" t="s">
        <v>53</v>
      </c>
      <c r="B4" t="s">
        <v>40</v>
      </c>
      <c r="C4" s="27" t="str">
        <f>IF($B4="","",IFERROR(INDEX('المشاريع'!$B:$B,MATCH($B4,'المشاريع'!$A:$A,0)),""))</f>
        <v>بابل</v>
      </c>
      <c r="D4" t="s">
        <v>49</v>
      </c>
      <c r="E4" t="s">
        <v>534</v>
      </c>
      <c r="F4" t="s">
        <v>535</v>
      </c>
      <c r="H4" t="s">
        <v>35</v>
      </c>
      <c r="I4" s="33"/>
      <c r="J4" s="36" t="s">
        <v>35</v>
      </c>
      <c r="K4" s="27" t="str">
        <f>IF($M4="","شاغرة",IF(AND($R4&lt;=90,COUNTIFS('العقود'!$B:$B,$A4,'العقود'!$G:$G,"&gt;"&amp;$Q4)=0),"تنتهي خلال 90 يومًا","مؤجَّرة"))</f>
        <v>مؤجَّرة</v>
      </c>
      <c r="L4" s="27" t="str">
        <f>IF($M4="","",IFERROR(INDEX('العقود'!$F:$F,MATCH($M4,'العقود'!$A:$A,0)),""))</f>
        <v>شركة الأفق لتكنولوجيا المعلومات</v>
      </c>
      <c r="M4" s="27" t="str">
        <f>IF($A4="","",IFERROR(INDEX('العقود'!$A:$A,MATCH($A4,'العقود'!$AO:$AO,0)),""))</f>
        <v>T0003</v>
      </c>
      <c r="N4" s="28">
        <f>IF($M4="","",IFERROR(INDEX('العقود'!$U:$U,MATCH($M4,'العقود'!$A:$A,0)),""))</f>
        <v>49610</v>
      </c>
      <c r="O4" s="37" t="str">
        <f>IF(OR($A4="",$M4&lt;&gt;""),"",IF(COUNTIFS('العقود'!$B:$B,$A4,'العقود'!$H:$H,"&lt;"&amp;TODAY())=0,IF(ISNUMBER($I4),$I4,""),IFERROR(SUMPRODUCT(MAX(('العقود'!$B$2:$B$287=$A4)*('العقود'!$H$2:$H$287&lt;TODAY())*'العقود'!$H$2:$H$287))+1,"")))</f>
        <v/>
      </c>
      <c r="P4" s="34" t="str">
        <f>IF($O4="","",MAX(0,TODAY()-$O4))</f>
        <v/>
      </c>
      <c r="Q4" s="37">
        <f>IF($M4="","",IFERROR(INDEX('العقود'!$H:$H,MATCH($M4,'العقود'!$A:$A,0)),""))</f>
        <v>46526</v>
      </c>
      <c r="R4" s="34">
        <f>IF($Q4="","",$Q4-TODAY())</f>
        <v>221</v>
      </c>
    </row>
    <row r="5" spans="1:18" x14ac:dyDescent="0.25">
      <c r="A5" t="s">
        <v>60</v>
      </c>
      <c r="B5" t="s">
        <v>40</v>
      </c>
      <c r="C5" s="27" t="str">
        <f>IF($B5="","",IFERROR(INDEX('المشاريع'!$B:$B,MATCH($B5,'المشاريع'!$A:$A,0)),""))</f>
        <v>بابل</v>
      </c>
      <c r="D5" t="s">
        <v>57</v>
      </c>
      <c r="E5" t="s">
        <v>534</v>
      </c>
      <c r="F5" t="s">
        <v>535</v>
      </c>
      <c r="H5" t="s">
        <v>35</v>
      </c>
      <c r="I5" s="33"/>
      <c r="J5" s="36" t="s">
        <v>35</v>
      </c>
      <c r="K5" s="27" t="str">
        <f>IF($M5="","شاغرة",IF(AND($R5&lt;=90,COUNTIFS('العقود'!$B:$B,$A5,'العقود'!$G:$G,"&gt;"&amp;$Q5)=0),"تنتهي خلال 90 يومًا","مؤجَّرة"))</f>
        <v>شاغرة</v>
      </c>
      <c r="L5" s="27" t="str">
        <f>IF($M5="","",IFERROR(INDEX('العقود'!$F:$F,MATCH($M5,'العقود'!$A:$A,0)),""))</f>
        <v/>
      </c>
      <c r="M5" s="27" t="str">
        <f>IF($A5="","",IFERROR(INDEX('العقود'!$A:$A,MATCH($A5,'العقود'!$AO:$AO,0)),""))</f>
        <v/>
      </c>
      <c r="N5" s="28" t="str">
        <f>IF($M5="","",IFERROR(INDEX('العقود'!$U:$U,MATCH($M5,'العقود'!$A:$A,0)),""))</f>
        <v/>
      </c>
      <c r="O5" s="37">
        <f>IF(OR($A5="",$M5&lt;&gt;""),"",IF(COUNTIFS('العقود'!$B:$B,$A5,'العقود'!$H:$H,"&lt;"&amp;TODAY())=0,IF(ISNUMBER($I5),$I5,""),IFERROR(SUMPRODUCT(MAX(('العقود'!$B$2:$B$287=$A5)*('العقود'!$H$2:$H$287&lt;TODAY())*'العقود'!$H$2:$H$287))+1,"")))</f>
        <v>46174</v>
      </c>
      <c r="P5" s="34">
        <f>IF($O5="","",MAX(0,TODAY()-$O5))</f>
        <v>131</v>
      </c>
      <c r="Q5" s="37" t="str">
        <f>IF($M5="","",IFERROR(INDEX('العقود'!$H:$H,MATCH($M5,'العقود'!$A:$A,0)),""))</f>
        <v/>
      </c>
      <c r="R5" s="34" t="str">
        <f>IF($Q5="","",$Q5-TODAY())</f>
        <v/>
      </c>
    </row>
    <row r="6" spans="1:18" x14ac:dyDescent="0.25">
      <c r="A6" t="s">
        <v>64</v>
      </c>
      <c r="B6" t="s">
        <v>40</v>
      </c>
      <c r="C6" s="27" t="str">
        <f>IF($B6="","",IFERROR(INDEX('المشاريع'!$B:$B,MATCH($B6,'المشاريع'!$A:$A,0)),""))</f>
        <v>بابل</v>
      </c>
      <c r="D6" t="s">
        <v>62</v>
      </c>
      <c r="E6" t="s">
        <v>534</v>
      </c>
      <c r="F6" t="s">
        <v>536</v>
      </c>
      <c r="H6" t="s">
        <v>35</v>
      </c>
      <c r="I6" s="33"/>
      <c r="J6" s="36" t="s">
        <v>35</v>
      </c>
      <c r="K6" s="27" t="str">
        <f>IF($M6="","شاغرة",IF(AND($R6&lt;=90,COUNTIFS('العقود'!$B:$B,$A6,'العقود'!$G:$G,"&gt;"&amp;$Q6)=0),"تنتهي خلال 90 يومًا","مؤجَّرة"))</f>
        <v>مؤجَّرة</v>
      </c>
      <c r="L6" s="27" t="str">
        <f>IF($M6="","",IFERROR(INDEX('العقود'!$F:$F,MATCH($M6,'العقود'!$A:$A,0)),""))</f>
        <v>شركة الأفق لتكنولوجيا المعلومات</v>
      </c>
      <c r="M6" s="27" t="str">
        <f>IF($A6="","",IFERROR(INDEX('العقود'!$A:$A,MATCH($A6,'العقود'!$AO:$AO,0)),""))</f>
        <v>T0005</v>
      </c>
      <c r="N6" s="28">
        <f>IF($M6="","",IFERROR(INDEX('العقود'!$U:$U,MATCH($M6,'العقود'!$A:$A,0)),""))</f>
        <v>91960</v>
      </c>
      <c r="O6" s="37" t="str">
        <f>IF(OR($A6="",$M6&lt;&gt;""),"",IF(COUNTIFS('العقود'!$B:$B,$A6,'العقود'!$H:$H,"&lt;"&amp;TODAY())=0,IF(ISNUMBER($I6),$I6,""),IFERROR(SUMPRODUCT(MAX(('العقود'!$B$2:$B$287=$A6)*('العقود'!$H$2:$H$287&lt;TODAY())*'العقود'!$H$2:$H$287))+1,"")))</f>
        <v/>
      </c>
      <c r="P6" s="34" t="str">
        <f>IF($O6="","",MAX(0,TODAY()-$O6))</f>
        <v/>
      </c>
      <c r="Q6" s="37">
        <f>IF($M6="","",IFERROR(INDEX('العقود'!$H:$H,MATCH($M6,'العقود'!$A:$A,0)),""))</f>
        <v>46446</v>
      </c>
      <c r="R6" s="34">
        <f>IF($Q6="","",$Q6-TODAY())</f>
        <v>141</v>
      </c>
    </row>
    <row r="7" spans="1:18" x14ac:dyDescent="0.25">
      <c r="A7" t="s">
        <v>71</v>
      </c>
      <c r="B7" t="s">
        <v>40</v>
      </c>
      <c r="C7" s="27" t="str">
        <f>IF($B7="","",IFERROR(INDEX('المشاريع'!$B:$B,MATCH($B7,'المشاريع'!$A:$A,0)),""))</f>
        <v>بابل</v>
      </c>
      <c r="D7" t="s">
        <v>67</v>
      </c>
      <c r="E7" t="s">
        <v>534</v>
      </c>
      <c r="F7" t="s">
        <v>537</v>
      </c>
      <c r="H7" t="s">
        <v>35</v>
      </c>
      <c r="I7" s="33"/>
      <c r="J7" s="36" t="s">
        <v>35</v>
      </c>
      <c r="K7" s="27" t="str">
        <f>IF($M7="","شاغرة",IF(AND($R7&lt;=90,COUNTIFS('العقود'!$B:$B,$A7,'العقود'!$G:$G,"&gt;"&amp;$Q7)=0),"تنتهي خلال 90 يومًا","مؤجَّرة"))</f>
        <v>شاغرة</v>
      </c>
      <c r="L7" s="27" t="str">
        <f>IF($M7="","",IFERROR(INDEX('العقود'!$F:$F,MATCH($M7,'العقود'!$A:$A,0)),""))</f>
        <v/>
      </c>
      <c r="M7" s="27" t="str">
        <f>IF($A7="","",IFERROR(INDEX('العقود'!$A:$A,MATCH($A7,'العقود'!$AO:$AO,0)),""))</f>
        <v/>
      </c>
      <c r="N7" s="28" t="str">
        <f>IF($M7="","",IFERROR(INDEX('العقود'!$U:$U,MATCH($M7,'العقود'!$A:$A,0)),""))</f>
        <v/>
      </c>
      <c r="O7" s="37">
        <f>IF(OR($A7="",$M7&lt;&gt;""),"",IF(COUNTIFS('العقود'!$B:$B,$A7,'العقود'!$H:$H,"&lt;"&amp;TODAY())=0,IF(ISNUMBER($I7),$I7,""),IFERROR(SUMPRODUCT(MAX(('العقود'!$B$2:$B$287=$A7)*('العقود'!$H$2:$H$287&lt;TODAY())*'العقود'!$H$2:$H$287))+1,"")))</f>
        <v>46254</v>
      </c>
      <c r="P7" s="34">
        <f>IF($O7="","",MAX(0,TODAY()-$O7))</f>
        <v>51</v>
      </c>
      <c r="Q7" s="37" t="str">
        <f>IF($M7="","",IFERROR(INDEX('العقود'!$H:$H,MATCH($M7,'العقود'!$A:$A,0)),""))</f>
        <v/>
      </c>
      <c r="R7" s="34" t="str">
        <f>IF($Q7="","",$Q7-TODAY())</f>
        <v/>
      </c>
    </row>
    <row r="8" spans="1:18" x14ac:dyDescent="0.25">
      <c r="A8" t="s">
        <v>77</v>
      </c>
      <c r="B8" t="s">
        <v>40</v>
      </c>
      <c r="C8" s="27" t="str">
        <f>IF($B8="","",IFERROR(INDEX('المشاريع'!$B:$B,MATCH($B8,'المشاريع'!$A:$A,0)),""))</f>
        <v>بابل</v>
      </c>
      <c r="D8" t="s">
        <v>74</v>
      </c>
      <c r="E8" t="s">
        <v>534</v>
      </c>
      <c r="F8" t="s">
        <v>538</v>
      </c>
      <c r="H8" t="s">
        <v>35</v>
      </c>
      <c r="I8" s="33"/>
      <c r="J8" s="36" t="s">
        <v>35</v>
      </c>
      <c r="K8" s="27" t="str">
        <f>IF($M8="","شاغرة",IF(AND($R8&lt;=90,COUNTIFS('العقود'!$B:$B,$A8,'العقود'!$G:$G,"&gt;"&amp;$Q8)=0),"تنتهي خلال 90 يومًا","مؤجَّرة"))</f>
        <v>شاغرة</v>
      </c>
      <c r="L8" s="27" t="str">
        <f>IF($M8="","",IFERROR(INDEX('العقود'!$F:$F,MATCH($M8,'العقود'!$A:$A,0)),""))</f>
        <v/>
      </c>
      <c r="M8" s="27" t="str">
        <f>IF($A8="","",IFERROR(INDEX('العقود'!$A:$A,MATCH($A8,'العقود'!$AO:$AO,0)),""))</f>
        <v/>
      </c>
      <c r="N8" s="28" t="str">
        <f>IF($M8="","",IFERROR(INDEX('العقود'!$U:$U,MATCH($M8,'العقود'!$A:$A,0)),""))</f>
        <v/>
      </c>
      <c r="O8" s="37">
        <f>IF(OR($A8="",$M8&lt;&gt;""),"",IF(COUNTIFS('العقود'!$B:$B,$A8,'العقود'!$H:$H,"&lt;"&amp;TODAY())=0,IF(ISNUMBER($I8),$I8,""),IFERROR(SUMPRODUCT(MAX(('العقود'!$B$2:$B$287=$A8)*('العقود'!$H$2:$H$287&lt;TODAY())*'العقود'!$H$2:$H$287))+1,"")))</f>
        <v>46113</v>
      </c>
      <c r="P8" s="34">
        <f>IF($O8="","",MAX(0,TODAY()-$O8))</f>
        <v>192</v>
      </c>
      <c r="Q8" s="37" t="str">
        <f>IF($M8="","",IFERROR(INDEX('العقود'!$H:$H,MATCH($M8,'العقود'!$A:$A,0)),""))</f>
        <v/>
      </c>
      <c r="R8" s="34" t="str">
        <f>IF($Q8="","",$Q8-TODAY())</f>
        <v/>
      </c>
    </row>
    <row r="9" spans="1:18" x14ac:dyDescent="0.25">
      <c r="A9" t="s">
        <v>87</v>
      </c>
      <c r="B9" t="s">
        <v>89</v>
      </c>
      <c r="C9" s="27" t="str">
        <f>IF($B9="","",IFERROR(INDEX('المشاريع'!$B:$B,MATCH($B9,'المشاريع'!$A:$A,0)),""))</f>
        <v>محيي الدين</v>
      </c>
      <c r="D9" t="s">
        <v>82</v>
      </c>
      <c r="E9" t="s">
        <v>534</v>
      </c>
      <c r="F9" t="s">
        <v>535</v>
      </c>
      <c r="H9" t="s">
        <v>35</v>
      </c>
      <c r="I9" s="33"/>
      <c r="J9" s="36" t="s">
        <v>35</v>
      </c>
      <c r="K9" s="27" t="str">
        <f>IF($M9="","شاغرة",IF(AND($R9&lt;=90,COUNTIFS('العقود'!$B:$B,$A9,'العقود'!$G:$G,"&gt;"&amp;$Q9)=0),"تنتهي خلال 90 يومًا","مؤجَّرة"))</f>
        <v>مؤجَّرة</v>
      </c>
      <c r="L9" s="27" t="str">
        <f>IF($M9="","",IFERROR(INDEX('العقود'!$F:$F,MATCH($M9,'العقود'!$A:$A,0)),""))</f>
        <v>شركة المستقبل للتدريب</v>
      </c>
      <c r="M9" s="27" t="str">
        <f>IF($A9="","",IFERROR(INDEX('العقود'!$A:$A,MATCH($A9,'العقود'!$AO:$AO,0)),""))</f>
        <v>T0008</v>
      </c>
      <c r="N9" s="28">
        <f>IF($M9="","",IFERROR(INDEX('العقود'!$U:$U,MATCH($M9,'العقود'!$A:$A,0)),""))</f>
        <v>46585</v>
      </c>
      <c r="O9" s="37" t="str">
        <f>IF(OR($A9="",$M9&lt;&gt;""),"",IF(COUNTIFS('العقود'!$B:$B,$A9,'العقود'!$H:$H,"&lt;"&amp;TODAY())=0,IF(ISNUMBER($I9),$I9,""),IFERROR(SUMPRODUCT(MAX(('العقود'!$B$2:$B$287=$A9)*('العقود'!$H$2:$H$287&lt;TODAY())*'العقود'!$H$2:$H$287))+1,"")))</f>
        <v/>
      </c>
      <c r="P9" s="34" t="str">
        <f>IF($O9="","",MAX(0,TODAY()-$O9))</f>
        <v/>
      </c>
      <c r="Q9" s="37">
        <f>IF($M9="","",IFERROR(INDEX('العقود'!$H:$H,MATCH($M9,'العقود'!$A:$A,0)),""))</f>
        <v>46965</v>
      </c>
      <c r="R9" s="34">
        <f>IF($Q9="","",$Q9-TODAY())</f>
        <v>660</v>
      </c>
    </row>
    <row r="10" spans="1:18" x14ac:dyDescent="0.25">
      <c r="A10" t="s">
        <v>96</v>
      </c>
      <c r="B10" t="s">
        <v>89</v>
      </c>
      <c r="C10" s="27" t="str">
        <f>IF($B10="","",IFERROR(INDEX('المشاريع'!$B:$B,MATCH($B10,'المشاريع'!$A:$A,0)),""))</f>
        <v>محيي الدين</v>
      </c>
      <c r="D10" t="s">
        <v>92</v>
      </c>
      <c r="E10" t="s">
        <v>534</v>
      </c>
      <c r="F10" t="s">
        <v>535</v>
      </c>
      <c r="H10" t="s">
        <v>35</v>
      </c>
      <c r="I10" s="33"/>
      <c r="J10" s="36" t="s">
        <v>35</v>
      </c>
      <c r="K10" s="27" t="str">
        <f>IF($M10="","شاغرة",IF(AND($R10&lt;=90,COUNTIFS('العقود'!$B:$B,$A10,'العقود'!$G:$G,"&gt;"&amp;$Q10)=0),"تنتهي خلال 90 يومًا","مؤجَّرة"))</f>
        <v>تنتهي خلال 90 يومًا</v>
      </c>
      <c r="L10" s="27" t="str">
        <f>IF($M10="","",IFERROR(INDEX('العقود'!$F:$F,MATCH($M10,'العقود'!$A:$A,0)),""))</f>
        <v>شركة الياسمين للتجارة</v>
      </c>
      <c r="M10" s="27" t="str">
        <f>IF($A10="","",IFERROR(INDEX('العقود'!$A:$A,MATCH($A10,'العقود'!$AO:$AO,0)),""))</f>
        <v>T0009</v>
      </c>
      <c r="N10" s="28">
        <f>IF($M10="","",IFERROR(INDEX('العقود'!$U:$U,MATCH($M10,'العقود'!$A:$A,0)),""))</f>
        <v>25410</v>
      </c>
      <c r="O10" s="37" t="str">
        <f>IF(OR($A10="",$M10&lt;&gt;""),"",IF(COUNTIFS('العقود'!$B:$B,$A10,'العقود'!$H:$H,"&lt;"&amp;TODAY())=0,IF(ISNUMBER($I10),$I10,""),IFERROR(SUMPRODUCT(MAX(('العقود'!$B$2:$B$287=$A10)*('العقود'!$H$2:$H$287&lt;TODAY())*'العقود'!$H$2:$H$287))+1,"")))</f>
        <v/>
      </c>
      <c r="P10" s="34" t="str">
        <f>IF($O10="","",MAX(0,TODAY()-$O10))</f>
        <v/>
      </c>
      <c r="Q10" s="37">
        <f>IF($M10="","",IFERROR(INDEX('العقود'!$H:$H,MATCH($M10,'العقود'!$A:$A,0)),""))</f>
        <v>46337</v>
      </c>
      <c r="R10" s="34">
        <f>IF($Q10="","",$Q10-TODAY())</f>
        <v>32</v>
      </c>
    </row>
    <row r="11" spans="1:18" x14ac:dyDescent="0.25">
      <c r="A11" t="s">
        <v>104</v>
      </c>
      <c r="B11" t="s">
        <v>89</v>
      </c>
      <c r="C11" s="27" t="str">
        <f>IF($B11="","",IFERROR(INDEX('المشاريع'!$B:$B,MATCH($B11,'المشاريع'!$A:$A,0)),""))</f>
        <v>محيي الدين</v>
      </c>
      <c r="D11" t="s">
        <v>100</v>
      </c>
      <c r="E11" t="s">
        <v>534</v>
      </c>
      <c r="F11" t="s">
        <v>536</v>
      </c>
      <c r="H11" t="s">
        <v>35</v>
      </c>
      <c r="I11" s="33"/>
      <c r="J11" s="36" t="s">
        <v>35</v>
      </c>
      <c r="K11" s="27" t="str">
        <f>IF($M11="","شاغرة",IF(AND($R11&lt;=90,COUNTIFS('العقود'!$B:$B,$A11,'العقود'!$G:$G,"&gt;"&amp;$Q11)=0),"تنتهي خلال 90 يومًا","مؤجَّرة"))</f>
        <v>تنتهي خلال 90 يومًا</v>
      </c>
      <c r="L11" s="27" t="str">
        <f>IF($M11="","",IFERROR(INDEX('العقود'!$F:$F,MATCH($M11,'العقود'!$A:$A,0)),""))</f>
        <v>شركة الأفق للاستيراد والتصدير</v>
      </c>
      <c r="M11" s="27" t="str">
        <f>IF($A11="","",IFERROR(INDEX('العقود'!$A:$A,MATCH($A11,'العقود'!$AO:$AO,0)),""))</f>
        <v>T0010</v>
      </c>
      <c r="N11" s="28">
        <f>IF($M11="","",IFERROR(INDEX('العقود'!$U:$U,MATCH($M11,'العقود'!$A:$A,0)),""))</f>
        <v>46585</v>
      </c>
      <c r="O11" s="37" t="str">
        <f>IF(OR($A11="",$M11&lt;&gt;""),"",IF(COUNTIFS('العقود'!$B:$B,$A11,'العقود'!$H:$H,"&lt;"&amp;TODAY())=0,IF(ISNUMBER($I11),$I11,""),IFERROR(SUMPRODUCT(MAX(('العقود'!$B$2:$B$287=$A11)*('العقود'!$H$2:$H$287&lt;TODAY())*'العقود'!$H$2:$H$287))+1,"")))</f>
        <v/>
      </c>
      <c r="P11" s="34" t="str">
        <f>IF($O11="","",MAX(0,TODAY()-$O11))</f>
        <v/>
      </c>
      <c r="Q11" s="37">
        <f>IF($M11="","",IFERROR(INDEX('العقود'!$H:$H,MATCH($M11,'العقود'!$A:$A,0)),""))</f>
        <v>46326</v>
      </c>
      <c r="R11" s="34">
        <f>IF($Q11="","",$Q11-TODAY())</f>
        <v>21</v>
      </c>
    </row>
    <row r="12" spans="1:18" x14ac:dyDescent="0.25">
      <c r="A12" t="s">
        <v>111</v>
      </c>
      <c r="B12" t="s">
        <v>89</v>
      </c>
      <c r="C12" s="27" t="str">
        <f>IF($B12="","",IFERROR(INDEX('المشاريع'!$B:$B,MATCH($B12,'المشاريع'!$A:$A,0)),""))</f>
        <v>محيي الدين</v>
      </c>
      <c r="D12" t="s">
        <v>107</v>
      </c>
      <c r="E12" t="s">
        <v>534</v>
      </c>
      <c r="F12" t="s">
        <v>539</v>
      </c>
      <c r="H12" t="s">
        <v>35</v>
      </c>
      <c r="I12" s="33"/>
      <c r="J12" s="36" t="s">
        <v>35</v>
      </c>
      <c r="K12" s="27" t="str">
        <f>IF($M12="","شاغرة",IF(AND($R12&lt;=90,COUNTIFS('العقود'!$B:$B,$A12,'العقود'!$G:$G,"&gt;"&amp;$Q12)=0),"تنتهي خلال 90 يومًا","مؤجَّرة"))</f>
        <v>مؤجَّرة</v>
      </c>
      <c r="L12" s="27" t="str">
        <f>IF($M12="","",IFERROR(INDEX('العقود'!$F:$F,MATCH($M12,'العقود'!$A:$A,0)),""))</f>
        <v>شريف هشام فوزي</v>
      </c>
      <c r="M12" s="27" t="str">
        <f>IF($A12="","",IFERROR(INDEX('العقود'!$A:$A,MATCH($A12,'العقود'!$AO:$AO,0)),""))</f>
        <v>T0011</v>
      </c>
      <c r="N12" s="28">
        <f>IF($M12="","",IFERROR(INDEX('العقود'!$U:$U,MATCH($M12,'العقود'!$A:$A,0)),""))</f>
        <v>37000</v>
      </c>
      <c r="O12" s="37" t="str">
        <f>IF(OR($A12="",$M12&lt;&gt;""),"",IF(COUNTIFS('العقود'!$B:$B,$A12,'العقود'!$H:$H,"&lt;"&amp;TODAY())=0,IF(ISNUMBER($I12),$I12,""),IFERROR(SUMPRODUCT(MAX(('العقود'!$B$2:$B$287=$A12)*('العقود'!$H$2:$H$287&lt;TODAY())*'العقود'!$H$2:$H$287))+1,"")))</f>
        <v/>
      </c>
      <c r="P12" s="34" t="str">
        <f>IF($O12="","",MAX(0,TODAY()-$O12))</f>
        <v/>
      </c>
      <c r="Q12" s="37">
        <f>IF($M12="","",IFERROR(INDEX('العقود'!$H:$H,MATCH($M12,'العقود'!$A:$A,0)),""))</f>
        <v>46507</v>
      </c>
      <c r="R12" s="34">
        <f>IF($Q12="","",$Q12-TODAY())</f>
        <v>202</v>
      </c>
    </row>
    <row r="13" spans="1:18" x14ac:dyDescent="0.25">
      <c r="A13" t="s">
        <v>118</v>
      </c>
      <c r="B13" t="s">
        <v>89</v>
      </c>
      <c r="C13" s="27" t="str">
        <f>IF($B13="","",IFERROR(INDEX('المشاريع'!$B:$B,MATCH($B13,'المشاريع'!$A:$A,0)),""))</f>
        <v>محيي الدين</v>
      </c>
      <c r="D13" t="s">
        <v>115</v>
      </c>
      <c r="E13" t="s">
        <v>534</v>
      </c>
      <c r="F13" t="s">
        <v>539</v>
      </c>
      <c r="H13" t="s">
        <v>35</v>
      </c>
      <c r="I13" s="33"/>
      <c r="J13" s="36" t="s">
        <v>35</v>
      </c>
      <c r="K13" s="27" t="str">
        <f>IF($M13="","شاغرة",IF(AND($R13&lt;=90,COUNTIFS('العقود'!$B:$B,$A13,'العقود'!$G:$G,"&gt;"&amp;$Q13)=0),"تنتهي خلال 90 يومًا","مؤجَّرة"))</f>
        <v>مؤجَّرة</v>
      </c>
      <c r="L13" s="27" t="str">
        <f>IF($M13="","",IFERROR(INDEX('العقود'!$F:$F,MATCH($M13,'العقود'!$A:$A,0)),""))</f>
        <v>د/ باسم أمير سليم</v>
      </c>
      <c r="M13" s="27" t="str">
        <f>IF($A13="","",IFERROR(INDEX('العقود'!$A:$A,MATCH($A13,'العقود'!$AO:$AO,0)),""))</f>
        <v>T0012</v>
      </c>
      <c r="N13" s="28">
        <f>IF($M13="","",IFERROR(INDEX('العقود'!$U:$U,MATCH($M13,'العقود'!$A:$A,0)),""))</f>
        <v>38500</v>
      </c>
      <c r="O13" s="37" t="str">
        <f>IF(OR($A13="",$M13&lt;&gt;""),"",IF(COUNTIFS('العقود'!$B:$B,$A13,'العقود'!$H:$H,"&lt;"&amp;TODAY())=0,IF(ISNUMBER($I13),$I13,""),IFERROR(SUMPRODUCT(MAX(('العقود'!$B$2:$B$287=$A13)*('العقود'!$H$2:$H$287&lt;TODAY())*'العقود'!$H$2:$H$287))+1,"")))</f>
        <v/>
      </c>
      <c r="P13" s="34" t="str">
        <f>IF($O13="","",MAX(0,TODAY()-$O13))</f>
        <v/>
      </c>
      <c r="Q13" s="37">
        <f>IF($M13="","",IFERROR(INDEX('العقود'!$H:$H,MATCH($M13,'العقود'!$A:$A,0)),""))</f>
        <v>46507</v>
      </c>
      <c r="R13" s="34">
        <f>IF($Q13="","",$Q13-TODAY())</f>
        <v>202</v>
      </c>
    </row>
    <row r="14" spans="1:18" x14ac:dyDescent="0.25">
      <c r="A14" t="s">
        <v>127</v>
      </c>
      <c r="B14" t="s">
        <v>89</v>
      </c>
      <c r="C14" s="27" t="str">
        <f>IF($B14="","",IFERROR(INDEX('المشاريع'!$B:$B,MATCH($B14,'المشاريع'!$A:$A,0)),""))</f>
        <v>محيي الدين</v>
      </c>
      <c r="D14" t="s">
        <v>123</v>
      </c>
      <c r="E14" t="s">
        <v>534</v>
      </c>
      <c r="F14" t="s">
        <v>539</v>
      </c>
      <c r="H14" t="s">
        <v>35</v>
      </c>
      <c r="I14" s="33"/>
      <c r="J14" s="36" t="s">
        <v>35</v>
      </c>
      <c r="K14" s="27" t="str">
        <f>IF($M14="","شاغرة",IF(AND($R14&lt;=90,COUNTIFS('العقود'!$B:$B,$A14,'العقود'!$G:$G,"&gt;"&amp;$Q14)=0),"تنتهي خلال 90 يومًا","مؤجَّرة"))</f>
        <v>مؤجَّرة</v>
      </c>
      <c r="L14" s="27" t="str">
        <f>IF($M14="","",IFERROR(INDEX('العقود'!$F:$F,MATCH($M14,'العقود'!$A:$A,0)),""))</f>
        <v>شركة الصفوة للإنتاج الفني</v>
      </c>
      <c r="M14" s="27" t="str">
        <f>IF($A14="","",IFERROR(INDEX('العقود'!$A:$A,MATCH($A14,'العقود'!$AO:$AO,0)),""))</f>
        <v>T0013</v>
      </c>
      <c r="N14" s="28">
        <f>IF($M14="","",IFERROR(INDEX('العقود'!$U:$U,MATCH($M14,'العقود'!$A:$A,0)),""))</f>
        <v>49450</v>
      </c>
      <c r="O14" s="37" t="str">
        <f>IF(OR($A14="",$M14&lt;&gt;""),"",IF(COUNTIFS('العقود'!$B:$B,$A14,'العقود'!$H:$H,"&lt;"&amp;TODAY())=0,IF(ISNUMBER($I14),$I14,""),IFERROR(SUMPRODUCT(MAX(('العقود'!$B$2:$B$287=$A14)*('العقود'!$H$2:$H$287&lt;TODAY())*'العقود'!$H$2:$H$287))+1,"")))</f>
        <v/>
      </c>
      <c r="P14" s="34" t="str">
        <f>IF($O14="","",MAX(0,TODAY()-$O14))</f>
        <v/>
      </c>
      <c r="Q14" s="37">
        <f>IF($M14="","",IFERROR(INDEX('العقود'!$H:$H,MATCH($M14,'العقود'!$A:$A,0)),""))</f>
        <v>46965</v>
      </c>
      <c r="R14" s="34">
        <f>IF($Q14="","",$Q14-TODAY())</f>
        <v>660</v>
      </c>
    </row>
    <row r="15" spans="1:18" x14ac:dyDescent="0.25">
      <c r="A15" t="s">
        <v>131</v>
      </c>
      <c r="B15" t="s">
        <v>89</v>
      </c>
      <c r="C15" s="27" t="str">
        <f>IF($B15="","",IFERROR(INDEX('المشاريع'!$B:$B,MATCH($B15,'المشاريع'!$A:$A,0)),""))</f>
        <v>محيي الدين</v>
      </c>
      <c r="D15" t="s">
        <v>129</v>
      </c>
      <c r="E15" t="s">
        <v>534</v>
      </c>
      <c r="F15" t="s">
        <v>539</v>
      </c>
      <c r="H15" t="s">
        <v>35</v>
      </c>
      <c r="I15" s="33"/>
      <c r="J15" s="36" t="s">
        <v>35</v>
      </c>
      <c r="K15" s="27" t="str">
        <f>IF($M15="","شاغرة",IF(AND($R15&lt;=90,COUNTIFS('العقود'!$B:$B,$A15,'العقود'!$G:$G,"&gt;"&amp;$Q15)=0),"تنتهي خلال 90 يومًا","مؤجَّرة"))</f>
        <v>مؤجَّرة</v>
      </c>
      <c r="L15" s="27" t="str">
        <f>IF($M15="","",IFERROR(INDEX('العقود'!$F:$F,MATCH($M15,'العقود'!$A:$A,0)),""))</f>
        <v>شركة الصفوة للإنتاج الفني</v>
      </c>
      <c r="M15" s="27" t="str">
        <f>IF($A15="","",IFERROR(INDEX('العقود'!$A:$A,MATCH($A15,'العقود'!$AO:$AO,0)),""))</f>
        <v>T0014</v>
      </c>
      <c r="N15" s="28">
        <f>IF($M15="","",IFERROR(INDEX('العقود'!$U:$U,MATCH($M15,'العقود'!$A:$A,0)),""))</f>
        <v>27830</v>
      </c>
      <c r="O15" s="37" t="str">
        <f>IF(OR($A15="",$M15&lt;&gt;""),"",IF(COUNTIFS('العقود'!$B:$B,$A15,'العقود'!$H:$H,"&lt;"&amp;TODAY())=0,IF(ISNUMBER($I15),$I15,""),IFERROR(SUMPRODUCT(MAX(('العقود'!$B$2:$B$287=$A15)*('العقود'!$H$2:$H$287&lt;TODAY())*'العقود'!$H$2:$H$287))+1,"")))</f>
        <v/>
      </c>
      <c r="P15" s="34" t="str">
        <f>IF($O15="","",MAX(0,TODAY()-$O15))</f>
        <v/>
      </c>
      <c r="Q15" s="37">
        <f>IF($M15="","",IFERROR(INDEX('العقود'!$H:$H,MATCH($M15,'العقود'!$A:$A,0)),""))</f>
        <v>46568</v>
      </c>
      <c r="R15" s="34">
        <f>IF($Q15="","",$Q15-TODAY())</f>
        <v>263</v>
      </c>
    </row>
    <row r="16" spans="1:18" x14ac:dyDescent="0.25">
      <c r="A16" t="s">
        <v>137</v>
      </c>
      <c r="B16" t="s">
        <v>89</v>
      </c>
      <c r="C16" s="27" t="str">
        <f>IF($B16="","",IFERROR(INDEX('المشاريع'!$B:$B,MATCH($B16,'المشاريع'!$A:$A,0)),""))</f>
        <v>محيي الدين</v>
      </c>
      <c r="D16" t="s">
        <v>134</v>
      </c>
      <c r="E16" t="s">
        <v>534</v>
      </c>
      <c r="F16" t="s">
        <v>537</v>
      </c>
      <c r="H16" t="s">
        <v>35</v>
      </c>
      <c r="I16" s="33"/>
      <c r="J16" s="36" t="s">
        <v>35</v>
      </c>
      <c r="K16" s="27" t="str">
        <f>IF($M16="","شاغرة",IF(AND($R16&lt;=90,COUNTIFS('العقود'!$B:$B,$A16,'العقود'!$G:$G,"&gt;"&amp;$Q16)=0),"تنتهي خلال 90 يومًا","مؤجَّرة"))</f>
        <v>مؤجَّرة</v>
      </c>
      <c r="L16" s="27" t="str">
        <f>IF($M16="","",IFERROR(INDEX('العقود'!$F:$F,MATCH($M16,'العقود'!$A:$A,0)),""))</f>
        <v>د/ يوسف حسن مكرم</v>
      </c>
      <c r="M16" s="27" t="str">
        <f>IF($A16="","",IFERROR(INDEX('العقود'!$A:$A,MATCH($A16,'العقود'!$AO:$AO,0)),""))</f>
        <v>T0015</v>
      </c>
      <c r="N16" s="28">
        <f>IF($M16="","",IFERROR(INDEX('العقود'!$U:$U,MATCH($M16,'العقود'!$A:$A,0)),""))</f>
        <v>37665</v>
      </c>
      <c r="O16" s="37" t="str">
        <f>IF(OR($A16="",$M16&lt;&gt;""),"",IF(COUNTIFS('العقود'!$B:$B,$A16,'العقود'!$H:$H,"&lt;"&amp;TODAY())=0,IF(ISNUMBER($I16),$I16,""),IFERROR(SUMPRODUCT(MAX(('العقود'!$B$2:$B$287=$A16)*('العقود'!$H$2:$H$287&lt;TODAY())*'العقود'!$H$2:$H$287))+1,"")))</f>
        <v/>
      </c>
      <c r="P16" s="34" t="str">
        <f>IF($O16="","",MAX(0,TODAY()-$O16))</f>
        <v/>
      </c>
      <c r="Q16" s="37">
        <f>IF($M16="","",IFERROR(INDEX('العقود'!$H:$H,MATCH($M16,'العقود'!$A:$A,0)),""))</f>
        <v>46397</v>
      </c>
      <c r="R16" s="34">
        <f>IF($Q16="","",$Q16-TODAY())</f>
        <v>92</v>
      </c>
    </row>
    <row r="17" spans="1:18" x14ac:dyDescent="0.25">
      <c r="A17" t="s">
        <v>144</v>
      </c>
      <c r="B17" t="s">
        <v>89</v>
      </c>
      <c r="C17" s="27" t="str">
        <f>IF($B17="","",IFERROR(INDEX('المشاريع'!$B:$B,MATCH($B17,'المشاريع'!$A:$A,0)),""))</f>
        <v>محيي الدين</v>
      </c>
      <c r="D17" t="s">
        <v>141</v>
      </c>
      <c r="E17" t="s">
        <v>534</v>
      </c>
      <c r="F17" t="s">
        <v>537</v>
      </c>
      <c r="H17" t="s">
        <v>35</v>
      </c>
      <c r="I17" s="33"/>
      <c r="J17" s="36" t="s">
        <v>35</v>
      </c>
      <c r="K17" s="27" t="str">
        <f>IF($M17="","شاغرة",IF(AND($R17&lt;=90,COUNTIFS('العقود'!$B:$B,$A17,'العقود'!$G:$G,"&gt;"&amp;$Q17)=0),"تنتهي خلال 90 يومًا","مؤجَّرة"))</f>
        <v>تنتهي خلال 90 يومًا</v>
      </c>
      <c r="L17" s="27" t="str">
        <f>IF($M17="","",IFERROR(INDEX('العقود'!$F:$F,MATCH($M17,'العقود'!$A:$A,0)),""))</f>
        <v>د/ فادي سعيد منصور</v>
      </c>
      <c r="M17" s="27" t="str">
        <f>IF($A17="","",IFERROR(INDEX('العقود'!$A:$A,MATCH($A17,'العقود'!$AO:$AO,0)),""))</f>
        <v>T0016</v>
      </c>
      <c r="N17" s="28">
        <f>IF($M17="","",IFERROR(INDEX('العقود'!$U:$U,MATCH($M17,'العقود'!$A:$A,0)),""))</f>
        <v>30250</v>
      </c>
      <c r="O17" s="37" t="str">
        <f>IF(OR($A17="",$M17&lt;&gt;""),"",IF(COUNTIFS('العقود'!$B:$B,$A17,'العقود'!$H:$H,"&lt;"&amp;TODAY())=0,IF(ISNUMBER($I17),$I17,""),IFERROR(SUMPRODUCT(MAX(('العقود'!$B$2:$B$287=$A17)*('العقود'!$H$2:$H$287&lt;TODAY())*'العقود'!$H$2:$H$287))+1,"")))</f>
        <v/>
      </c>
      <c r="P17" s="34" t="str">
        <f>IF($O17="","",MAX(0,TODAY()-$O17))</f>
        <v/>
      </c>
      <c r="Q17" s="37">
        <f>IF($M17="","",IFERROR(INDEX('العقود'!$H:$H,MATCH($M17,'العقود'!$A:$A,0)),""))</f>
        <v>46387</v>
      </c>
      <c r="R17" s="34">
        <f>IF($Q17="","",$Q17-TODAY())</f>
        <v>82</v>
      </c>
    </row>
    <row r="18" spans="1:18" x14ac:dyDescent="0.25">
      <c r="A18" t="s">
        <v>150</v>
      </c>
      <c r="B18" t="s">
        <v>89</v>
      </c>
      <c r="C18" s="27" t="str">
        <f>IF($B18="","",IFERROR(INDEX('المشاريع'!$B:$B,MATCH($B18,'المشاريع'!$A:$A,0)),""))</f>
        <v>محيي الدين</v>
      </c>
      <c r="D18" t="s">
        <v>147</v>
      </c>
      <c r="E18" t="s">
        <v>534</v>
      </c>
      <c r="F18" t="s">
        <v>540</v>
      </c>
      <c r="H18" t="s">
        <v>35</v>
      </c>
      <c r="I18" s="33"/>
      <c r="J18" s="36" t="s">
        <v>35</v>
      </c>
      <c r="K18" s="27" t="str">
        <f>IF($M18="","شاغرة",IF(AND($R18&lt;=90,COUNTIFS('العقود'!$B:$B,$A18,'العقود'!$G:$G,"&gt;"&amp;$Q18)=0),"تنتهي خلال 90 يومًا","مؤجَّرة"))</f>
        <v>شاغرة</v>
      </c>
      <c r="L18" s="27" t="str">
        <f>IF($M18="","",IFERROR(INDEX('العقود'!$F:$F,MATCH($M18,'العقود'!$A:$A,0)),""))</f>
        <v/>
      </c>
      <c r="M18" s="27" t="str">
        <f>IF($A18="","",IFERROR(INDEX('العقود'!$A:$A,MATCH($A18,'العقود'!$AO:$AO,0)),""))</f>
        <v/>
      </c>
      <c r="N18" s="28" t="str">
        <f>IF($M18="","",IFERROR(INDEX('العقود'!$U:$U,MATCH($M18,'العقود'!$A:$A,0)),""))</f>
        <v/>
      </c>
      <c r="O18" s="37">
        <f>IF(OR($A18="",$M18&lt;&gt;""),"",IF(COUNTIFS('العقود'!$B:$B,$A18,'العقود'!$H:$H,"&lt;"&amp;TODAY())=0,IF(ISNUMBER($I18),$I18,""),IFERROR(SUMPRODUCT(MAX(('العقود'!$B$2:$B$287=$A18)*('العقود'!$H$2:$H$287&lt;TODAY())*'العقود'!$H$2:$H$287))+1,"")))</f>
        <v>46266</v>
      </c>
      <c r="P18" s="34">
        <f>IF($O18="","",MAX(0,TODAY()-$O18))</f>
        <v>39</v>
      </c>
      <c r="Q18" s="37" t="str">
        <f>IF($M18="","",IFERROR(INDEX('العقود'!$H:$H,MATCH($M18,'العقود'!$A:$A,0)),""))</f>
        <v/>
      </c>
      <c r="R18" s="34" t="str">
        <f>IF($Q18="","",$Q18-TODAY())</f>
        <v/>
      </c>
    </row>
    <row r="19" spans="1:18" x14ac:dyDescent="0.25">
      <c r="A19" t="s">
        <v>157</v>
      </c>
      <c r="B19" t="s">
        <v>89</v>
      </c>
      <c r="C19" s="27" t="str">
        <f>IF($B19="","",IFERROR(INDEX('المشاريع'!$B:$B,MATCH($B19,'المشاريع'!$A:$A,0)),""))</f>
        <v>محيي الدين</v>
      </c>
      <c r="D19" t="s">
        <v>154</v>
      </c>
      <c r="E19" t="s">
        <v>534</v>
      </c>
      <c r="F19" t="s">
        <v>540</v>
      </c>
      <c r="H19" t="s">
        <v>35</v>
      </c>
      <c r="I19" s="33"/>
      <c r="J19" s="36" t="s">
        <v>35</v>
      </c>
      <c r="K19" s="27" t="str">
        <f>IF($M19="","شاغرة",IF(AND($R19&lt;=90,COUNTIFS('العقود'!$B:$B,$A19,'العقود'!$G:$G,"&gt;"&amp;$Q19)=0),"تنتهي خلال 90 يومًا","مؤجَّرة"))</f>
        <v>شاغرة</v>
      </c>
      <c r="L19" s="27" t="str">
        <f>IF($M19="","",IFERROR(INDEX('العقود'!$F:$F,MATCH($M19,'العقود'!$A:$A,0)),""))</f>
        <v/>
      </c>
      <c r="M19" s="27" t="str">
        <f>IF($A19="","",IFERROR(INDEX('العقود'!$A:$A,MATCH($A19,'العقود'!$AO:$AO,0)),""))</f>
        <v/>
      </c>
      <c r="N19" s="28" t="str">
        <f>IF($M19="","",IFERROR(INDEX('العقود'!$U:$U,MATCH($M19,'العقود'!$A:$A,0)),""))</f>
        <v/>
      </c>
      <c r="O19" s="37">
        <f>IF(OR($A19="",$M19&lt;&gt;""),"",IF(COUNTIFS('العقود'!$B:$B,$A19,'العقود'!$H:$H,"&lt;"&amp;TODAY())=0,IF(ISNUMBER($I19),$I19,""),IFERROR(SUMPRODUCT(MAX(('العقود'!$B$2:$B$287=$A19)*('العقود'!$H$2:$H$287&lt;TODAY())*'العقود'!$H$2:$H$287))+1,"")))</f>
        <v>46296</v>
      </c>
      <c r="P19" s="34">
        <f>IF($O19="","",MAX(0,TODAY()-$O19))</f>
        <v>9</v>
      </c>
      <c r="Q19" s="37" t="str">
        <f>IF($M19="","",IFERROR(INDEX('العقود'!$H:$H,MATCH($M19,'العقود'!$A:$A,0)),""))</f>
        <v/>
      </c>
      <c r="R19" s="34" t="str">
        <f>IF($Q19="","",$Q19-TODAY())</f>
        <v/>
      </c>
    </row>
    <row r="20" spans="1:18" x14ac:dyDescent="0.25">
      <c r="A20" t="s">
        <v>163</v>
      </c>
      <c r="B20" t="s">
        <v>89</v>
      </c>
      <c r="C20" s="27" t="str">
        <f>IF($B20="","",IFERROR(INDEX('المشاريع'!$B:$B,MATCH($B20,'المشاريع'!$A:$A,0)),""))</f>
        <v>محيي الدين</v>
      </c>
      <c r="D20" t="s">
        <v>160</v>
      </c>
      <c r="E20" t="s">
        <v>534</v>
      </c>
      <c r="F20" t="s">
        <v>540</v>
      </c>
      <c r="H20" t="s">
        <v>35</v>
      </c>
      <c r="I20" s="33"/>
      <c r="J20" s="36" t="s">
        <v>35</v>
      </c>
      <c r="K20" s="27" t="str">
        <f>IF($M20="","شاغرة",IF(AND($R20&lt;=90,COUNTIFS('العقود'!$B:$B,$A20,'العقود'!$G:$G,"&gt;"&amp;$Q20)=0),"تنتهي خلال 90 يومًا","مؤجَّرة"))</f>
        <v>تنتهي خلال 90 يومًا</v>
      </c>
      <c r="L20" s="27" t="str">
        <f>IF($M20="","",IFERROR(INDEX('العقود'!$F:$F,MATCH($M20,'العقود'!$A:$A,0)),""))</f>
        <v>محمد سعيد عبد الرحمن</v>
      </c>
      <c r="M20" s="27" t="str">
        <f>IF($A20="","",IFERROR(INDEX('العقود'!$A:$A,MATCH($A20,'العقود'!$AO:$AO,0)),""))</f>
        <v>T0019</v>
      </c>
      <c r="N20" s="28">
        <f>IF($M20="","",IFERROR(INDEX('العقود'!$U:$U,MATCH($M20,'العقود'!$A:$A,0)),""))</f>
        <v>25410</v>
      </c>
      <c r="O20" s="37" t="str">
        <f>IF(OR($A20="",$M20&lt;&gt;""),"",IF(COUNTIFS('العقود'!$B:$B,$A20,'العقود'!$H:$H,"&lt;"&amp;TODAY())=0,IF(ISNUMBER($I20),$I20,""),IFERROR(SUMPRODUCT(MAX(('العقود'!$B$2:$B$287=$A20)*('العقود'!$H$2:$H$287&lt;TODAY())*'العقود'!$H$2:$H$287))+1,"")))</f>
        <v/>
      </c>
      <c r="P20" s="34" t="str">
        <f>IF($O20="","",MAX(0,TODAY()-$O20))</f>
        <v/>
      </c>
      <c r="Q20" s="37">
        <f>IF($M20="","",IFERROR(INDEX('العقود'!$H:$H,MATCH($M20,'العقود'!$A:$A,0)),""))</f>
        <v>46326</v>
      </c>
      <c r="R20" s="34">
        <f>IF($Q20="","",$Q20-TODAY())</f>
        <v>21</v>
      </c>
    </row>
    <row r="21" spans="1:18" x14ac:dyDescent="0.25">
      <c r="A21" t="s">
        <v>172</v>
      </c>
      <c r="B21" t="s">
        <v>174</v>
      </c>
      <c r="C21" s="27" t="str">
        <f>IF($B21="","",IFERROR(INDEX('المشاريع'!$B:$B,MATCH($B21,'المشاريع'!$A:$A,0)),""))</f>
        <v>ابو بكر</v>
      </c>
      <c r="D21" t="s">
        <v>82</v>
      </c>
      <c r="E21" t="s">
        <v>534</v>
      </c>
      <c r="F21" t="s">
        <v>535</v>
      </c>
      <c r="H21" t="s">
        <v>35</v>
      </c>
      <c r="I21" s="33"/>
      <c r="J21" s="36" t="s">
        <v>35</v>
      </c>
      <c r="K21" s="27" t="str">
        <f>IF($M21="","شاغرة",IF(AND($R21&lt;=90,COUNTIFS('العقود'!$B:$B,$A21,'العقود'!$G:$G,"&gt;"&amp;$Q21)=0),"تنتهي خلال 90 يومًا","مؤجَّرة"))</f>
        <v>مؤجَّرة</v>
      </c>
      <c r="L21" s="27" t="str">
        <f>IF($M21="","",IFERROR(INDEX('العقود'!$F:$F,MATCH($M21,'العقود'!$A:$A,0)),""))</f>
        <v>شركة الأمل للإنتاج الفني</v>
      </c>
      <c r="M21" s="27" t="str">
        <f>IF($A21="","",IFERROR(INDEX('العقود'!$A:$A,MATCH($A21,'العقود'!$AO:$AO,0)),""))</f>
        <v>T0020</v>
      </c>
      <c r="N21" s="28">
        <f>IF($M21="","",IFERROR(INDEX('العقود'!$U:$U,MATCH($M21,'العقود'!$A:$A,0)),""))</f>
        <v>44770</v>
      </c>
      <c r="O21" s="37" t="str">
        <f>IF(OR($A21="",$M21&lt;&gt;""),"",IF(COUNTIFS('العقود'!$B:$B,$A21,'العقود'!$H:$H,"&lt;"&amp;TODAY())=0,IF(ISNUMBER($I21),$I21,""),IFERROR(SUMPRODUCT(MAX(('العقود'!$B$2:$B$287=$A21)*('العقود'!$H$2:$H$287&lt;TODAY())*'العقود'!$H$2:$H$287))+1,"")))</f>
        <v/>
      </c>
      <c r="P21" s="34" t="str">
        <f>IF($O21="","",MAX(0,TODAY()-$O21))</f>
        <v/>
      </c>
      <c r="Q21" s="37">
        <f>IF($M21="","",IFERROR(INDEX('العقود'!$H:$H,MATCH($M21,'العقود'!$A:$A,0)),""))</f>
        <v>46599</v>
      </c>
      <c r="R21" s="34">
        <f>IF($Q21="","",$Q21-TODAY())</f>
        <v>294</v>
      </c>
    </row>
    <row r="22" spans="1:18" x14ac:dyDescent="0.25">
      <c r="A22" t="s">
        <v>178</v>
      </c>
      <c r="B22" t="s">
        <v>174</v>
      </c>
      <c r="C22" s="27" t="str">
        <f>IF($B22="","",IFERROR(INDEX('المشاريع'!$B:$B,MATCH($B22,'المشاريع'!$A:$A,0)),""))</f>
        <v>ابو بكر</v>
      </c>
      <c r="D22" t="s">
        <v>92</v>
      </c>
      <c r="E22" t="s">
        <v>534</v>
      </c>
      <c r="F22" t="s">
        <v>535</v>
      </c>
      <c r="H22" t="s">
        <v>35</v>
      </c>
      <c r="I22" s="33"/>
      <c r="J22" s="36" t="s">
        <v>35</v>
      </c>
      <c r="K22" s="27" t="str">
        <f>IF($M22="","شاغرة",IF(AND($R22&lt;=90,COUNTIFS('العقود'!$B:$B,$A22,'العقود'!$G:$G,"&gt;"&amp;$Q22)=0),"تنتهي خلال 90 يومًا","مؤجَّرة"))</f>
        <v>مؤجَّرة</v>
      </c>
      <c r="L22" s="27" t="str">
        <f>IF($M22="","",IFERROR(INDEX('العقود'!$F:$F,MATCH($M22,'العقود'!$A:$A,0)),""))</f>
        <v>شركة النور للاستشارات الهندسية</v>
      </c>
      <c r="M22" s="27" t="str">
        <f>IF($A22="","",IFERROR(INDEX('العقود'!$A:$A,MATCH($A22,'العقود'!$AO:$AO,0)),""))</f>
        <v>T0021</v>
      </c>
      <c r="N22" s="28">
        <f>IF($M22="","",IFERROR(INDEX('العقود'!$U:$U,MATCH($M22,'العقود'!$A:$A,0)),""))</f>
        <v>44770</v>
      </c>
      <c r="O22" s="37" t="str">
        <f>IF(OR($A22="",$M22&lt;&gt;""),"",IF(COUNTIFS('العقود'!$B:$B,$A22,'العقود'!$H:$H,"&lt;"&amp;TODAY())=0,IF(ISNUMBER($I22),$I22,""),IFERROR(SUMPRODUCT(MAX(('العقود'!$B$2:$B$287=$A22)*('العقود'!$H$2:$H$287&lt;TODAY())*'العقود'!$H$2:$H$287))+1,"")))</f>
        <v/>
      </c>
      <c r="P22" s="34" t="str">
        <f>IF($O22="","",MAX(0,TODAY()-$O22))</f>
        <v/>
      </c>
      <c r="Q22" s="37">
        <f>IF($M22="","",IFERROR(INDEX('العقود'!$H:$H,MATCH($M22,'العقود'!$A:$A,0)),""))</f>
        <v>46599</v>
      </c>
      <c r="R22" s="34">
        <f>IF($Q22="","",$Q22-TODAY())</f>
        <v>294</v>
      </c>
    </row>
    <row r="23" spans="1:18" x14ac:dyDescent="0.25">
      <c r="A23" t="s">
        <v>184</v>
      </c>
      <c r="B23" t="s">
        <v>174</v>
      </c>
      <c r="C23" s="27" t="str">
        <f>IF($B23="","",IFERROR(INDEX('المشاريع'!$B:$B,MATCH($B23,'المشاريع'!$A:$A,0)),""))</f>
        <v>ابو بكر</v>
      </c>
      <c r="D23" t="s">
        <v>181</v>
      </c>
      <c r="E23" t="s">
        <v>534</v>
      </c>
      <c r="F23" t="s">
        <v>541</v>
      </c>
      <c r="H23" t="s">
        <v>35</v>
      </c>
      <c r="I23" s="33"/>
      <c r="J23" s="36" t="s">
        <v>35</v>
      </c>
      <c r="K23" s="27" t="str">
        <f>IF($M23="","شاغرة",IF(AND($R23&lt;=90,COUNTIFS('العقود'!$B:$B,$A23,'العقود'!$G:$G,"&gt;"&amp;$Q23)=0),"تنتهي خلال 90 يومًا","مؤجَّرة"))</f>
        <v>مؤجَّرة</v>
      </c>
      <c r="L23" s="27" t="str">
        <f>IF($M23="","",IFERROR(INDEX('العقود'!$F:$F,MATCH($M23,'العقود'!$A:$A,0)),""))</f>
        <v>عادل عمر مكرم</v>
      </c>
      <c r="M23" s="27" t="str">
        <f>IF($A23="","",IFERROR(INDEX('العقود'!$A:$A,MATCH($A23,'العقود'!$AO:$AO,0)),""))</f>
        <v>T0022</v>
      </c>
      <c r="N23" s="28">
        <f>IF($M23="","",IFERROR(INDEX('العقود'!$U:$U,MATCH($M23,'العقود'!$A:$A,0)),""))</f>
        <v>20000</v>
      </c>
      <c r="O23" s="37" t="str">
        <f>IF(OR($A23="",$M23&lt;&gt;""),"",IF(COUNTIFS('العقود'!$B:$B,$A23,'العقود'!$H:$H,"&lt;"&amp;TODAY())=0,IF(ISNUMBER($I23),$I23,""),IFERROR(SUMPRODUCT(MAX(('العقود'!$B$2:$B$287=$A23)*('العقود'!$H$2:$H$287&lt;TODAY())*'العقود'!$H$2:$H$287))+1,"")))</f>
        <v/>
      </c>
      <c r="P23" s="34" t="str">
        <f>IF($O23="","",MAX(0,TODAY()-$O23))</f>
        <v/>
      </c>
      <c r="Q23" s="37">
        <f>IF($M23="","",IFERROR(INDEX('العقود'!$H:$H,MATCH($M23,'العقود'!$A:$A,0)),""))</f>
        <v>46568</v>
      </c>
      <c r="R23" s="34">
        <f>IF($Q23="","",$Q23-TODAY())</f>
        <v>263</v>
      </c>
    </row>
    <row r="24" spans="1:18" x14ac:dyDescent="0.25">
      <c r="A24" t="s">
        <v>191</v>
      </c>
      <c r="B24" t="s">
        <v>174</v>
      </c>
      <c r="C24" s="27" t="str">
        <f>IF($B24="","",IFERROR(INDEX('المشاريع'!$B:$B,MATCH($B24,'المشاريع'!$A:$A,0)),""))</f>
        <v>ابو بكر</v>
      </c>
      <c r="D24" t="s">
        <v>188</v>
      </c>
      <c r="E24" t="s">
        <v>534</v>
      </c>
      <c r="F24" t="s">
        <v>541</v>
      </c>
      <c r="H24" t="s">
        <v>35</v>
      </c>
      <c r="I24" s="33"/>
      <c r="J24" s="36" t="s">
        <v>35</v>
      </c>
      <c r="K24" s="27" t="str">
        <f>IF($M24="","شاغرة",IF(AND($R24&lt;=90,COUNTIFS('العقود'!$B:$B,$A24,'العقود'!$G:$G,"&gt;"&amp;$Q24)=0),"تنتهي خلال 90 يومًا","مؤجَّرة"))</f>
        <v>تنتهي خلال 90 يومًا</v>
      </c>
      <c r="L24" s="27" t="str">
        <f>IF($M24="","",IFERROR(INDEX('العقود'!$F:$F,MATCH($M24,'العقود'!$A:$A,0)),""))</f>
        <v>تامر علي بدوي</v>
      </c>
      <c r="M24" s="27" t="str">
        <f>IF($A24="","",IFERROR(INDEX('العقود'!$A:$A,MATCH($A24,'العقود'!$AO:$AO,0)),""))</f>
        <v>T0023</v>
      </c>
      <c r="N24" s="28">
        <f>IF($M24="","",IFERROR(INDEX('العقود'!$U:$U,MATCH($M24,'العقود'!$A:$A,0)),""))</f>
        <v>7000</v>
      </c>
      <c r="O24" s="37" t="str">
        <f>IF(OR($A24="",$M24&lt;&gt;""),"",IF(COUNTIFS('العقود'!$B:$B,$A24,'العقود'!$H:$H,"&lt;"&amp;TODAY())=0,IF(ISNUMBER($I24),$I24,""),IFERROR(SUMPRODUCT(MAX(('العقود'!$B$2:$B$287=$A24)*('العقود'!$H$2:$H$287&lt;TODAY())*'العقود'!$H$2:$H$287))+1,"")))</f>
        <v/>
      </c>
      <c r="P24" s="34" t="str">
        <f>IF($O24="","",MAX(0,TODAY()-$O24))</f>
        <v/>
      </c>
      <c r="Q24" s="37">
        <f>IF($M24="","",IFERROR(INDEX('العقود'!$H:$H,MATCH($M24,'العقود'!$A:$A,0)),""))</f>
        <v>46356</v>
      </c>
      <c r="R24" s="34">
        <f>IF($Q24="","",$Q24-TODAY())</f>
        <v>51</v>
      </c>
    </row>
    <row r="25" spans="1:18" x14ac:dyDescent="0.25">
      <c r="A25" t="s">
        <v>197</v>
      </c>
      <c r="B25" t="s">
        <v>174</v>
      </c>
      <c r="C25" s="27" t="str">
        <f>IF($B25="","",IFERROR(INDEX('المشاريع'!$B:$B,MATCH($B25,'المشاريع'!$A:$A,0)),""))</f>
        <v>ابو بكر</v>
      </c>
      <c r="D25" t="s">
        <v>194</v>
      </c>
      <c r="E25" t="s">
        <v>534</v>
      </c>
      <c r="F25" t="s">
        <v>541</v>
      </c>
      <c r="H25" t="s">
        <v>35</v>
      </c>
      <c r="I25" s="33"/>
      <c r="J25" s="36" t="s">
        <v>35</v>
      </c>
      <c r="K25" s="27" t="str">
        <f>IF($M25="","شاغرة",IF(AND($R25&lt;=90,COUNTIFS('العقود'!$B:$B,$A25,'العقود'!$G:$G,"&gt;"&amp;$Q25)=0),"تنتهي خلال 90 يومًا","مؤجَّرة"))</f>
        <v>مؤجَّرة</v>
      </c>
      <c r="L25" s="27" t="str">
        <f>IF($M25="","",IFERROR(INDEX('العقود'!$F:$F,MATCH($M25,'العقود'!$A:$A,0)),""))</f>
        <v>مروان محمود حسنين</v>
      </c>
      <c r="M25" s="27" t="str">
        <f>IF($A25="","",IFERROR(INDEX('العقود'!$A:$A,MATCH($A25,'العقود'!$AO:$AO,0)),""))</f>
        <v>T0024</v>
      </c>
      <c r="N25" s="28">
        <f>IF($M25="","",IFERROR(INDEX('العقود'!$U:$U,MATCH($M25,'العقود'!$A:$A,0)),""))</f>
        <v>15000</v>
      </c>
      <c r="O25" s="37" t="str">
        <f>IF(OR($A25="",$M25&lt;&gt;""),"",IF(COUNTIFS('العقود'!$B:$B,$A25,'العقود'!$H:$H,"&lt;"&amp;TODAY())=0,IF(ISNUMBER($I25),$I25,""),IFERROR(SUMPRODUCT(MAX(('العقود'!$B$2:$B$287=$A25)*('العقود'!$H$2:$H$287&lt;TODAY())*'العقود'!$H$2:$H$287))+1,"")))</f>
        <v/>
      </c>
      <c r="P25" s="34" t="str">
        <f>IF($O25="","",MAX(0,TODAY()-$O25))</f>
        <v/>
      </c>
      <c r="Q25" s="37">
        <f>IF($M25="","",IFERROR(INDEX('العقود'!$H:$H,MATCH($M25,'العقود'!$A:$A,0)),""))</f>
        <v>46568</v>
      </c>
      <c r="R25" s="34">
        <f>IF($Q25="","",$Q25-TODAY())</f>
        <v>263</v>
      </c>
    </row>
    <row r="26" spans="1:18" x14ac:dyDescent="0.25">
      <c r="A26" t="s">
        <v>202</v>
      </c>
      <c r="B26" t="s">
        <v>174</v>
      </c>
      <c r="C26" s="27" t="str">
        <f>IF($B26="","",IFERROR(INDEX('المشاريع'!$B:$B,MATCH($B26,'المشاريع'!$A:$A,0)),""))</f>
        <v>ابو بكر</v>
      </c>
      <c r="D26" t="s">
        <v>200</v>
      </c>
      <c r="E26" t="s">
        <v>534</v>
      </c>
      <c r="F26" t="s">
        <v>541</v>
      </c>
      <c r="H26" t="s">
        <v>35</v>
      </c>
      <c r="I26" s="33"/>
      <c r="J26" s="36" t="s">
        <v>35</v>
      </c>
      <c r="K26" s="27" t="str">
        <f>IF($M26="","شاغرة",IF(AND($R26&lt;=90,COUNTIFS('العقود'!$B:$B,$A26,'العقود'!$G:$G,"&gt;"&amp;$Q26)=0),"تنتهي خلال 90 يومًا","مؤجَّرة"))</f>
        <v>مؤجَّرة</v>
      </c>
      <c r="L26" s="27" t="str">
        <f>IF($M26="","",IFERROR(INDEX('العقود'!$F:$F,MATCH($M26,'العقود'!$A:$A,0)),""))</f>
        <v>عادل عمر مكرم</v>
      </c>
      <c r="M26" s="27" t="str">
        <f>IF($A26="","",IFERROR(INDEX('العقود'!$A:$A,MATCH($A26,'العقود'!$AO:$AO,0)),""))</f>
        <v>T0025</v>
      </c>
      <c r="N26" s="28">
        <f>IF($M26="","",IFERROR(INDEX('العقود'!$U:$U,MATCH($M26,'العقود'!$A:$A,0)),""))</f>
        <v>15000</v>
      </c>
      <c r="O26" s="37" t="str">
        <f>IF(OR($A26="",$M26&lt;&gt;""),"",IF(COUNTIFS('العقود'!$B:$B,$A26,'العقود'!$H:$H,"&lt;"&amp;TODAY())=0,IF(ISNUMBER($I26),$I26,""),IFERROR(SUMPRODUCT(MAX(('العقود'!$B$2:$B$287=$A26)*('العقود'!$H$2:$H$287&lt;TODAY())*'العقود'!$H$2:$H$287))+1,"")))</f>
        <v/>
      </c>
      <c r="P26" s="34" t="str">
        <f>IF($O26="","",MAX(0,TODAY()-$O26))</f>
        <v/>
      </c>
      <c r="Q26" s="37">
        <f>IF($M26="","",IFERROR(INDEX('العقود'!$H:$H,MATCH($M26,'العقود'!$A:$A,0)),""))</f>
        <v>46568</v>
      </c>
      <c r="R26" s="34">
        <f>IF($Q26="","",$Q26-TODAY())</f>
        <v>263</v>
      </c>
    </row>
    <row r="27" spans="1:18" x14ac:dyDescent="0.25">
      <c r="A27" t="s">
        <v>208</v>
      </c>
      <c r="B27" t="s">
        <v>174</v>
      </c>
      <c r="C27" s="27" t="str">
        <f>IF($B27="","",IFERROR(INDEX('المشاريع'!$B:$B,MATCH($B27,'المشاريع'!$A:$A,0)),""))</f>
        <v>ابو بكر</v>
      </c>
      <c r="D27" t="s">
        <v>205</v>
      </c>
      <c r="E27" t="s">
        <v>534</v>
      </c>
      <c r="F27" t="s">
        <v>541</v>
      </c>
      <c r="H27" t="s">
        <v>35</v>
      </c>
      <c r="I27" s="33"/>
      <c r="J27" s="36" t="s">
        <v>35</v>
      </c>
      <c r="K27" s="27" t="str">
        <f>IF($M27="","شاغرة",IF(AND($R27&lt;=90,COUNTIFS('العقود'!$B:$B,$A27,'العقود'!$G:$G,"&gt;"&amp;$Q27)=0),"تنتهي خلال 90 يومًا","مؤجَّرة"))</f>
        <v>تنتهي خلال 90 يومًا</v>
      </c>
      <c r="L27" s="27" t="str">
        <f>IF($M27="","",IFERROR(INDEX('العقود'!$F:$F,MATCH($M27,'العقود'!$A:$A,0)),""))</f>
        <v>حسين أمير بدوي</v>
      </c>
      <c r="M27" s="27" t="str">
        <f>IF($A27="","",IFERROR(INDEX('العقود'!$A:$A,MATCH($A27,'العقود'!$AO:$AO,0)),""))</f>
        <v>T0026</v>
      </c>
      <c r="N27" s="28">
        <f>IF($M27="","",IFERROR(INDEX('العقود'!$U:$U,MATCH($M27,'العقود'!$A:$A,0)),""))</f>
        <v>7000</v>
      </c>
      <c r="O27" s="37" t="str">
        <f>IF(OR($A27="",$M27&lt;&gt;""),"",IF(COUNTIFS('العقود'!$B:$B,$A27,'العقود'!$H:$H,"&lt;"&amp;TODAY())=0,IF(ISNUMBER($I27),$I27,""),IFERROR(SUMPRODUCT(MAX(('العقود'!$B$2:$B$287=$A27)*('العقود'!$H$2:$H$287&lt;TODAY())*'العقود'!$H$2:$H$287))+1,"")))</f>
        <v/>
      </c>
      <c r="P27" s="34" t="str">
        <f>IF($O27="","",MAX(0,TODAY()-$O27))</f>
        <v/>
      </c>
      <c r="Q27" s="37">
        <f>IF($M27="","",IFERROR(INDEX('العقود'!$H:$H,MATCH($M27,'العقود'!$A:$A,0)),""))</f>
        <v>46356</v>
      </c>
      <c r="R27" s="34">
        <f>IF($Q27="","",$Q27-TODAY())</f>
        <v>51</v>
      </c>
    </row>
    <row r="28" spans="1:18" x14ac:dyDescent="0.25">
      <c r="A28" t="s">
        <v>212</v>
      </c>
      <c r="B28" t="s">
        <v>174</v>
      </c>
      <c r="C28" s="27" t="str">
        <f>IF($B28="","",IFERROR(INDEX('المشاريع'!$B:$B,MATCH($B28,'المشاريع'!$A:$A,0)),""))</f>
        <v>ابو بكر</v>
      </c>
      <c r="D28" t="s">
        <v>210</v>
      </c>
      <c r="E28" t="s">
        <v>534</v>
      </c>
      <c r="F28" t="s">
        <v>541</v>
      </c>
      <c r="H28" t="s">
        <v>35</v>
      </c>
      <c r="I28" s="33"/>
      <c r="J28" s="36" t="s">
        <v>35</v>
      </c>
      <c r="K28" s="27" t="str">
        <f>IF($M28="","شاغرة",IF(AND($R28&lt;=90,COUNTIFS('العقود'!$B:$B,$A28,'العقود'!$G:$G,"&gt;"&amp;$Q28)=0),"تنتهي خلال 90 يومًا","مؤجَّرة"))</f>
        <v>مؤجَّرة</v>
      </c>
      <c r="L28" s="27" t="str">
        <f>IF($M28="","",IFERROR(INDEX('العقود'!$F:$F,MATCH($M28,'العقود'!$A:$A,0)),""))</f>
        <v>حسين أمير بدوي</v>
      </c>
      <c r="M28" s="27" t="str">
        <f>IF($A28="","",IFERROR(INDEX('العقود'!$A:$A,MATCH($A28,'العقود'!$AO:$AO,0)),""))</f>
        <v>T0027</v>
      </c>
      <c r="N28" s="28">
        <f>IF($M28="","",IFERROR(INDEX('العقود'!$U:$U,MATCH($M28,'العقود'!$A:$A,0)),""))</f>
        <v>8000</v>
      </c>
      <c r="O28" s="37" t="str">
        <f>IF(OR($A28="",$M28&lt;&gt;""),"",IF(COUNTIFS('العقود'!$B:$B,$A28,'العقود'!$H:$H,"&lt;"&amp;TODAY())=0,IF(ISNUMBER($I28),$I28,""),IFERROR(SUMPRODUCT(MAX(('العقود'!$B$2:$B$287=$A28)*('العقود'!$H$2:$H$287&lt;TODAY())*'العقود'!$H$2:$H$287))+1,"")))</f>
        <v/>
      </c>
      <c r="P28" s="34" t="str">
        <f>IF($O28="","",MAX(0,TODAY()-$O28))</f>
        <v/>
      </c>
      <c r="Q28" s="37">
        <f>IF($M28="","",IFERROR(INDEX('العقود'!$H:$H,MATCH($M28,'العقود'!$A:$A,0)),""))</f>
        <v>46568</v>
      </c>
      <c r="R28" s="34">
        <f>IF($Q28="","",$Q28-TODAY())</f>
        <v>263</v>
      </c>
    </row>
    <row r="29" spans="1:18" x14ac:dyDescent="0.25">
      <c r="A29" t="s">
        <v>216</v>
      </c>
      <c r="B29" t="s">
        <v>174</v>
      </c>
      <c r="C29" s="27" t="str">
        <f>IF($B29="","",IFERROR(INDEX('المشاريع'!$B:$B,MATCH($B29,'المشاريع'!$A:$A,0)),""))</f>
        <v>ابو بكر</v>
      </c>
      <c r="D29" t="s">
        <v>214</v>
      </c>
      <c r="E29" t="s">
        <v>534</v>
      </c>
      <c r="F29" t="s">
        <v>541</v>
      </c>
      <c r="H29" t="s">
        <v>35</v>
      </c>
      <c r="I29" s="33"/>
      <c r="J29" s="36" t="s">
        <v>35</v>
      </c>
      <c r="K29" s="27" t="str">
        <f>IF($M29="","شاغرة",IF(AND($R29&lt;=90,COUNTIFS('العقود'!$B:$B,$A29,'العقود'!$G:$G,"&gt;"&amp;$Q29)=0),"تنتهي خلال 90 يومًا","مؤجَّرة"))</f>
        <v>مؤجَّرة</v>
      </c>
      <c r="L29" s="27" t="str">
        <f>IF($M29="","",IFERROR(INDEX('العقود'!$F:$F,MATCH($M29,'العقود'!$A:$A,0)),""))</f>
        <v>حسين أمير بدوي</v>
      </c>
      <c r="M29" s="27" t="str">
        <f>IF($A29="","",IFERROR(INDEX('العقود'!$A:$A,MATCH($A29,'العقود'!$AO:$AO,0)),""))</f>
        <v>T0028</v>
      </c>
      <c r="N29" s="28">
        <f>IF($M29="","",IFERROR(INDEX('العقود'!$U:$U,MATCH($M29,'العقود'!$A:$A,0)),""))</f>
        <v>8000</v>
      </c>
      <c r="O29" s="37" t="str">
        <f>IF(OR($A29="",$M29&lt;&gt;""),"",IF(COUNTIFS('العقود'!$B:$B,$A29,'العقود'!$H:$H,"&lt;"&amp;TODAY())=0,IF(ISNUMBER($I29),$I29,""),IFERROR(SUMPRODUCT(MAX(('العقود'!$B$2:$B$287=$A29)*('العقود'!$H$2:$H$287&lt;TODAY())*'العقود'!$H$2:$H$287))+1,"")))</f>
        <v/>
      </c>
      <c r="P29" s="34" t="str">
        <f>IF($O29="","",MAX(0,TODAY()-$O29))</f>
        <v/>
      </c>
      <c r="Q29" s="37">
        <f>IF($M29="","",IFERROR(INDEX('العقود'!$H:$H,MATCH($M29,'العقود'!$A:$A,0)),""))</f>
        <v>46568</v>
      </c>
      <c r="R29" s="34">
        <f>IF($Q29="","",$Q29-TODAY())</f>
        <v>263</v>
      </c>
    </row>
    <row r="30" spans="1:18" x14ac:dyDescent="0.25">
      <c r="A30" t="s">
        <v>223</v>
      </c>
      <c r="B30" t="s">
        <v>174</v>
      </c>
      <c r="C30" s="27" t="str">
        <f>IF($B30="","",IFERROR(INDEX('المشاريع'!$B:$B,MATCH($B30,'المشاريع'!$A:$A,0)),""))</f>
        <v>ابو بكر</v>
      </c>
      <c r="D30" t="s">
        <v>220</v>
      </c>
      <c r="E30" t="s">
        <v>534</v>
      </c>
      <c r="F30" t="s">
        <v>536</v>
      </c>
      <c r="H30" t="s">
        <v>35</v>
      </c>
      <c r="I30" s="33"/>
      <c r="J30" s="36" t="s">
        <v>35</v>
      </c>
      <c r="K30" s="27" t="str">
        <f>IF($M30="","شاغرة",IF(AND($R30&lt;=90,COUNTIFS('العقود'!$B:$B,$A30,'العقود'!$G:$G,"&gt;"&amp;$Q30)=0),"تنتهي خلال 90 يومًا","مؤجَّرة"))</f>
        <v>شاغرة</v>
      </c>
      <c r="L30" s="27" t="str">
        <f>IF($M30="","",IFERROR(INDEX('العقود'!$F:$F,MATCH($M30,'العقود'!$A:$A,0)),""))</f>
        <v/>
      </c>
      <c r="M30" s="27" t="str">
        <f>IF($A30="","",IFERROR(INDEX('العقود'!$A:$A,MATCH($A30,'العقود'!$AO:$AO,0)),""))</f>
        <v/>
      </c>
      <c r="N30" s="28" t="str">
        <f>IF($M30="","",IFERROR(INDEX('العقود'!$U:$U,MATCH($M30,'العقود'!$A:$A,0)),""))</f>
        <v/>
      </c>
      <c r="O30" s="37">
        <f>IF(OR($A30="",$M30&lt;&gt;""),"",IF(COUNTIFS('العقود'!$B:$B,$A30,'العقود'!$H:$H,"&lt;"&amp;TODAY())=0,IF(ISNUMBER($I30),$I30,""),IFERROR(SUMPRODUCT(MAX(('العقود'!$B$2:$B$287=$A30)*('العقود'!$H$2:$H$287&lt;TODAY())*'العقود'!$H$2:$H$287))+1,"")))</f>
        <v>46174</v>
      </c>
      <c r="P30" s="34">
        <f>IF($O30="","",MAX(0,TODAY()-$O30))</f>
        <v>131</v>
      </c>
      <c r="Q30" s="37" t="str">
        <f>IF($M30="","",IFERROR(INDEX('العقود'!$H:$H,MATCH($M30,'العقود'!$A:$A,0)),""))</f>
        <v/>
      </c>
      <c r="R30" s="34" t="str">
        <f>IF($Q30="","",$Q30-TODAY())</f>
        <v/>
      </c>
    </row>
    <row r="31" spans="1:18" x14ac:dyDescent="0.25">
      <c r="A31" t="s">
        <v>229</v>
      </c>
      <c r="B31" t="s">
        <v>174</v>
      </c>
      <c r="C31" s="27" t="str">
        <f>IF($B31="","",IFERROR(INDEX('المشاريع'!$B:$B,MATCH($B31,'المشاريع'!$A:$A,0)),""))</f>
        <v>ابو بكر</v>
      </c>
      <c r="D31" t="s">
        <v>100</v>
      </c>
      <c r="E31" t="s">
        <v>534</v>
      </c>
      <c r="F31" t="s">
        <v>536</v>
      </c>
      <c r="H31" t="s">
        <v>35</v>
      </c>
      <c r="I31" s="33"/>
      <c r="J31" s="36" t="s">
        <v>35</v>
      </c>
      <c r="K31" s="27" t="str">
        <f>IF($M31="","شاغرة",IF(AND($R31&lt;=90,COUNTIFS('العقود'!$B:$B,$A31,'العقود'!$G:$G,"&gt;"&amp;$Q31)=0),"تنتهي خلال 90 يومًا","مؤجَّرة"))</f>
        <v>شاغرة</v>
      </c>
      <c r="L31" s="27" t="str">
        <f>IF($M31="","",IFERROR(INDEX('العقود'!$F:$F,MATCH($M31,'العقود'!$A:$A,0)),""))</f>
        <v/>
      </c>
      <c r="M31" s="27" t="str">
        <f>IF($A31="","",IFERROR(INDEX('العقود'!$A:$A,MATCH($A31,'العقود'!$AO:$AO,0)),""))</f>
        <v/>
      </c>
      <c r="N31" s="28" t="str">
        <f>IF($M31="","",IFERROR(INDEX('العقود'!$U:$U,MATCH($M31,'العقود'!$A:$A,0)),""))</f>
        <v/>
      </c>
      <c r="O31" s="37">
        <f>IF(OR($A31="",$M31&lt;&gt;""),"",IF(COUNTIFS('العقود'!$B:$B,$A31,'العقود'!$H:$H,"&lt;"&amp;TODAY())=0,IF(ISNUMBER($I31),$I31,""),IFERROR(SUMPRODUCT(MAX(('العقود'!$B$2:$B$287=$A31)*('العقود'!$H$2:$H$287&lt;TODAY())*'العقود'!$H$2:$H$287))+1,"")))</f>
        <v>46266</v>
      </c>
      <c r="P31" s="34">
        <f>IF($O31="","",MAX(0,TODAY()-$O31))</f>
        <v>39</v>
      </c>
      <c r="Q31" s="37" t="str">
        <f>IF($M31="","",IFERROR(INDEX('العقود'!$H:$H,MATCH($M31,'العقود'!$A:$A,0)),""))</f>
        <v/>
      </c>
      <c r="R31" s="34" t="str">
        <f>IF($Q31="","",$Q31-TODAY())</f>
        <v/>
      </c>
    </row>
    <row r="32" spans="1:18" x14ac:dyDescent="0.25">
      <c r="A32" t="s">
        <v>236</v>
      </c>
      <c r="B32" t="s">
        <v>174</v>
      </c>
      <c r="C32" s="27" t="str">
        <f>IF($B32="","",IFERROR(INDEX('المشاريع'!$B:$B,MATCH($B32,'المشاريع'!$A:$A,0)),""))</f>
        <v>ابو بكر</v>
      </c>
      <c r="D32" t="s">
        <v>233</v>
      </c>
      <c r="E32" t="s">
        <v>534</v>
      </c>
      <c r="F32" t="s">
        <v>536</v>
      </c>
      <c r="H32" t="s">
        <v>35</v>
      </c>
      <c r="I32" s="33"/>
      <c r="J32" s="36" t="s">
        <v>35</v>
      </c>
      <c r="K32" s="27" t="str">
        <f>IF($M32="","شاغرة",IF(AND($R32&lt;=90,COUNTIFS('العقود'!$B:$B,$A32,'العقود'!$G:$G,"&gt;"&amp;$Q32)=0),"تنتهي خلال 90 يومًا","مؤجَّرة"))</f>
        <v>مؤجَّرة</v>
      </c>
      <c r="L32" s="27" t="str">
        <f>IF($M32="","",IFERROR(INDEX('العقود'!$F:$F,MATCH($M32,'العقود'!$A:$A,0)),""))</f>
        <v>د/ عمر باسم رزق</v>
      </c>
      <c r="M32" s="27" t="str">
        <f>IF($A32="","",IFERROR(INDEX('العقود'!$A:$A,MATCH($A32,'العقود'!$AO:$AO,0)),""))</f>
        <v>T0032</v>
      </c>
      <c r="N32" s="28">
        <f>IF($M32="","",IFERROR(INDEX('العقود'!$U:$U,MATCH($M32,'العقود'!$A:$A,0)),""))</f>
        <v>14500</v>
      </c>
      <c r="O32" s="37" t="str">
        <f>IF(OR($A32="",$M32&lt;&gt;""),"",IF(COUNTIFS('العقود'!$B:$B,$A32,'العقود'!$H:$H,"&lt;"&amp;TODAY())=0,IF(ISNUMBER($I32),$I32,""),IFERROR(SUMPRODUCT(MAX(('العقود'!$B$2:$B$287=$A32)*('العقود'!$H$2:$H$287&lt;TODAY())*'العقود'!$H$2:$H$287))+1,"")))</f>
        <v/>
      </c>
      <c r="P32" s="34" t="str">
        <f>IF($O32="","",MAX(0,TODAY()-$O32))</f>
        <v/>
      </c>
      <c r="Q32" s="37">
        <f>IF($M32="","",IFERROR(INDEX('العقود'!$H:$H,MATCH($M32,'العقود'!$A:$A,0)),""))</f>
        <v>46568</v>
      </c>
      <c r="R32" s="34">
        <f>IF($Q32="","",$Q32-TODAY())</f>
        <v>263</v>
      </c>
    </row>
    <row r="33" spans="1:18" x14ac:dyDescent="0.25">
      <c r="A33" t="s">
        <v>247</v>
      </c>
      <c r="B33" t="s">
        <v>174</v>
      </c>
      <c r="C33" s="27" t="str">
        <f>IF($B33="","",IFERROR(INDEX('المشاريع'!$B:$B,MATCH($B33,'المشاريع'!$A:$A,0)),""))</f>
        <v>ابو بكر</v>
      </c>
      <c r="D33" t="s">
        <v>244</v>
      </c>
      <c r="E33" t="s">
        <v>534</v>
      </c>
      <c r="F33" t="s">
        <v>536</v>
      </c>
      <c r="H33" t="s">
        <v>35</v>
      </c>
      <c r="I33" s="33"/>
      <c r="J33" s="36" t="s">
        <v>35</v>
      </c>
      <c r="K33" s="27" t="str">
        <f>IF($M33="","شاغرة",IF(AND($R33&lt;=90,COUNTIFS('العقود'!$B:$B,$A33,'العقود'!$G:$G,"&gt;"&amp;$Q33)=0),"تنتهي خلال 90 يومًا","مؤجَّرة"))</f>
        <v>تنتهي خلال 90 يومًا</v>
      </c>
      <c r="L33" s="27" t="str">
        <f>IF($M33="","",IFERROR(INDEX('العقود'!$F:$F,MATCH($M33,'العقود'!$A:$A,0)),""))</f>
        <v>أحمد عمرو سليم</v>
      </c>
      <c r="M33" s="27" t="str">
        <f>IF($A33="","",IFERROR(INDEX('العقود'!$A:$A,MATCH($A33,'العقود'!$AO:$AO,0)),""))</f>
        <v>T0033</v>
      </c>
      <c r="N33" s="28">
        <f>IF($M33="","",IFERROR(INDEX('العقود'!$U:$U,MATCH($M33,'العقود'!$A:$A,0)),""))</f>
        <v>14000</v>
      </c>
      <c r="O33" s="37" t="str">
        <f>IF(OR($A33="",$M33&lt;&gt;""),"",IF(COUNTIFS('العقود'!$B:$B,$A33,'العقود'!$H:$H,"&lt;"&amp;TODAY())=0,IF(ISNUMBER($I33),$I33,""),IFERROR(SUMPRODUCT(MAX(('العقود'!$B$2:$B$287=$A33)*('العقود'!$H$2:$H$287&lt;TODAY())*'العقود'!$H$2:$H$287))+1,"")))</f>
        <v/>
      </c>
      <c r="P33" s="34" t="str">
        <f>IF($O33="","",MAX(0,TODAY()-$O33))</f>
        <v/>
      </c>
      <c r="Q33" s="37">
        <f>IF($M33="","",IFERROR(INDEX('العقود'!$H:$H,MATCH($M33,'العقود'!$A:$A,0)),""))</f>
        <v>46341</v>
      </c>
      <c r="R33" s="34">
        <f>IF($Q33="","",$Q33-TODAY())</f>
        <v>36</v>
      </c>
    </row>
    <row r="34" spans="1:18" x14ac:dyDescent="0.25">
      <c r="A34" t="s">
        <v>254</v>
      </c>
      <c r="B34" t="s">
        <v>174</v>
      </c>
      <c r="C34" s="27" t="str">
        <f>IF($B34="","",IFERROR(INDEX('المشاريع'!$B:$B,MATCH($B34,'المشاريع'!$A:$A,0)),""))</f>
        <v>ابو بكر</v>
      </c>
      <c r="D34" t="s">
        <v>251</v>
      </c>
      <c r="E34" t="s">
        <v>534</v>
      </c>
      <c r="F34" t="s">
        <v>536</v>
      </c>
      <c r="H34" t="s">
        <v>35</v>
      </c>
      <c r="I34" s="33"/>
      <c r="J34" s="36" t="s">
        <v>35</v>
      </c>
      <c r="K34" s="27" t="str">
        <f>IF($M34="","شاغرة",IF(AND($R34&lt;=90,COUNTIFS('العقود'!$B:$B,$A34,'العقود'!$G:$G,"&gt;"&amp;$Q34)=0),"تنتهي خلال 90 يومًا","مؤجَّرة"))</f>
        <v>شاغرة</v>
      </c>
      <c r="L34" s="27" t="str">
        <f>IF($M34="","",IFERROR(INDEX('العقود'!$F:$F,MATCH($M34,'العقود'!$A:$A,0)),""))</f>
        <v/>
      </c>
      <c r="M34" s="27" t="str">
        <f>IF($A34="","",IFERROR(INDEX('العقود'!$A:$A,MATCH($A34,'العقود'!$AO:$AO,0)),""))</f>
        <v/>
      </c>
      <c r="N34" s="28" t="str">
        <f>IF($M34="","",IFERROR(INDEX('العقود'!$U:$U,MATCH($M34,'العقود'!$A:$A,0)),""))</f>
        <v/>
      </c>
      <c r="O34" s="37">
        <f>IF(OR($A34="",$M34&lt;&gt;""),"",IF(COUNTIFS('العقود'!$B:$B,$A34,'العقود'!$H:$H,"&lt;"&amp;TODAY())=0,IF(ISNUMBER($I34),$I34,""),IFERROR(SUMPRODUCT(MAX(('العقود'!$B$2:$B$287=$A34)*('العقود'!$H$2:$H$287&lt;TODAY())*'العقود'!$H$2:$H$287))+1,"")))</f>
        <v>46265</v>
      </c>
      <c r="P34" s="34">
        <f>IF($O34="","",MAX(0,TODAY()-$O34))</f>
        <v>40</v>
      </c>
      <c r="Q34" s="37" t="str">
        <f>IF($M34="","",IFERROR(INDEX('العقود'!$H:$H,MATCH($M34,'العقود'!$A:$A,0)),""))</f>
        <v/>
      </c>
      <c r="R34" s="34" t="str">
        <f>IF($Q34="","",$Q34-TODAY())</f>
        <v/>
      </c>
    </row>
    <row r="35" spans="1:18" x14ac:dyDescent="0.25">
      <c r="A35" t="s">
        <v>261</v>
      </c>
      <c r="B35" t="s">
        <v>174</v>
      </c>
      <c r="C35" s="27" t="str">
        <f>IF($B35="","",IFERROR(INDEX('المشاريع'!$B:$B,MATCH($B35,'المشاريع'!$A:$A,0)),""))</f>
        <v>ابو بكر</v>
      </c>
      <c r="D35" t="s">
        <v>258</v>
      </c>
      <c r="E35" t="s">
        <v>534</v>
      </c>
      <c r="F35" t="s">
        <v>536</v>
      </c>
      <c r="H35" t="s">
        <v>35</v>
      </c>
      <c r="I35" s="33"/>
      <c r="J35" s="36" t="s">
        <v>35</v>
      </c>
      <c r="K35" s="27" t="str">
        <f>IF($M35="","شاغرة",IF(AND($R35&lt;=90,COUNTIFS('العقود'!$B:$B,$A35,'العقود'!$G:$G,"&gt;"&amp;$Q35)=0),"تنتهي خلال 90 يومًا","مؤجَّرة"))</f>
        <v>مؤجَّرة</v>
      </c>
      <c r="L35" s="27" t="str">
        <f>IF($M35="","",IFERROR(INDEX('العقود'!$F:$F,MATCH($M35,'العقود'!$A:$A,0)),""))</f>
        <v>د/ رنا هشام رزق</v>
      </c>
      <c r="M35" s="27" t="str">
        <f>IF($A35="","",IFERROR(INDEX('العقود'!$A:$A,MATCH($A35,'العقود'!$AO:$AO,0)),""))</f>
        <v>T0035</v>
      </c>
      <c r="N35" s="28">
        <f>IF($M35="","",IFERROR(INDEX('العقود'!$U:$U,MATCH($M35,'العقود'!$A:$A,0)),""))</f>
        <v>20000</v>
      </c>
      <c r="O35" s="37" t="str">
        <f>IF(OR($A35="",$M35&lt;&gt;""),"",IF(COUNTIFS('العقود'!$B:$B,$A35,'العقود'!$H:$H,"&lt;"&amp;TODAY())=0,IF(ISNUMBER($I35),$I35,""),IFERROR(SUMPRODUCT(MAX(('العقود'!$B$2:$B$287=$A35)*('العقود'!$H$2:$H$287&lt;TODAY())*'العقود'!$H$2:$H$287))+1,"")))</f>
        <v/>
      </c>
      <c r="P35" s="34" t="str">
        <f>IF($O35="","",MAX(0,TODAY()-$O35))</f>
        <v/>
      </c>
      <c r="Q35" s="37">
        <f>IF($M35="","",IFERROR(INDEX('العقود'!$H:$H,MATCH($M35,'العقود'!$A:$A,0)),""))</f>
        <v>46507</v>
      </c>
      <c r="R35" s="34">
        <f>IF($Q35="","",$Q35-TODAY())</f>
        <v>202</v>
      </c>
    </row>
    <row r="36" spans="1:18" x14ac:dyDescent="0.25">
      <c r="A36" t="s">
        <v>269</v>
      </c>
      <c r="B36" t="s">
        <v>174</v>
      </c>
      <c r="C36" s="27" t="str">
        <f>IF($B36="","",IFERROR(INDEX('المشاريع'!$B:$B,MATCH($B36,'المشاريع'!$A:$A,0)),""))</f>
        <v>ابو بكر</v>
      </c>
      <c r="D36" t="s">
        <v>265</v>
      </c>
      <c r="E36" t="s">
        <v>534</v>
      </c>
      <c r="F36" t="s">
        <v>536</v>
      </c>
      <c r="H36" t="s">
        <v>35</v>
      </c>
      <c r="I36" s="33"/>
      <c r="J36" s="36" t="s">
        <v>35</v>
      </c>
      <c r="K36" s="27" t="str">
        <f>IF($M36="","شاغرة",IF(AND($R36&lt;=90,COUNTIFS('العقود'!$B:$B,$A36,'العقود'!$G:$G,"&gt;"&amp;$Q36)=0),"تنتهي خلال 90 يومًا","مؤجَّرة"))</f>
        <v>مؤجَّرة</v>
      </c>
      <c r="L36" s="27" t="str">
        <f>IF($M36="","",IFERROR(INDEX('العقود'!$F:$F,MATCH($M36,'العقود'!$A:$A,0)),""))</f>
        <v>شركة النخبة للإنتاج الفني</v>
      </c>
      <c r="M36" s="27" t="str">
        <f>IF($A36="","",IFERROR(INDEX('العقود'!$A:$A,MATCH($A36,'العقود'!$AO:$AO,0)),""))</f>
        <v>T0036</v>
      </c>
      <c r="N36" s="28">
        <f>IF($M36="","",IFERROR(INDEX('العقود'!$U:$U,MATCH($M36,'العقود'!$A:$A,0)),""))</f>
        <v>21175</v>
      </c>
      <c r="O36" s="37" t="str">
        <f>IF(OR($A36="",$M36&lt;&gt;""),"",IF(COUNTIFS('العقود'!$B:$B,$A36,'العقود'!$H:$H,"&lt;"&amp;TODAY())=0,IF(ISNUMBER($I36),$I36,""),IFERROR(SUMPRODUCT(MAX(('العقود'!$B$2:$B$287=$A36)*('العقود'!$H$2:$H$287&lt;TODAY())*'العقود'!$H$2:$H$287))+1,"")))</f>
        <v/>
      </c>
      <c r="P36" s="34" t="str">
        <f>IF($O36="","",MAX(0,TODAY()-$O36))</f>
        <v/>
      </c>
      <c r="Q36" s="37">
        <f>IF($M36="","",IFERROR(INDEX('العقود'!$H:$H,MATCH($M36,'العقود'!$A:$A,0)),""))</f>
        <v>46477</v>
      </c>
      <c r="R36" s="34">
        <f>IF($Q36="","",$Q36-TODAY())</f>
        <v>172</v>
      </c>
    </row>
    <row r="37" spans="1:18" x14ac:dyDescent="0.25">
      <c r="A37" t="s">
        <v>274</v>
      </c>
      <c r="B37" t="s">
        <v>174</v>
      </c>
      <c r="C37" s="27" t="str">
        <f>IF($B37="","",IFERROR(INDEX('المشاريع'!$B:$B,MATCH($B37,'المشاريع'!$A:$A,0)),""))</f>
        <v>ابو بكر</v>
      </c>
      <c r="D37" t="s">
        <v>107</v>
      </c>
      <c r="E37" t="s">
        <v>534</v>
      </c>
      <c r="F37" t="s">
        <v>539</v>
      </c>
      <c r="H37" t="s">
        <v>35</v>
      </c>
      <c r="I37" s="33"/>
      <c r="J37" s="36" t="s">
        <v>35</v>
      </c>
      <c r="K37" s="27" t="str">
        <f>IF($M37="","شاغرة",IF(AND($R37&lt;=90,COUNTIFS('العقود'!$B:$B,$A37,'العقود'!$G:$G,"&gt;"&amp;$Q37)=0),"تنتهي خلال 90 يومًا","مؤجَّرة"))</f>
        <v>شاغرة</v>
      </c>
      <c r="L37" s="27" t="str">
        <f>IF($M37="","",IFERROR(INDEX('العقود'!$F:$F,MATCH($M37,'العقود'!$A:$A,0)),""))</f>
        <v/>
      </c>
      <c r="M37" s="27" t="str">
        <f>IF($A37="","",IFERROR(INDEX('العقود'!$A:$A,MATCH($A37,'العقود'!$AO:$AO,0)),""))</f>
        <v/>
      </c>
      <c r="N37" s="28" t="str">
        <f>IF($M37="","",IFERROR(INDEX('العقود'!$U:$U,MATCH($M37,'العقود'!$A:$A,0)),""))</f>
        <v/>
      </c>
      <c r="O37" s="37">
        <f>IF(OR($A37="",$M37&lt;&gt;""),"",IF(COUNTIFS('العقود'!$B:$B,$A37,'العقود'!$H:$H,"&lt;"&amp;TODAY())=0,IF(ISNUMBER($I37),$I37,""),IFERROR(SUMPRODUCT(MAX(('العقود'!$B$2:$B$287=$A37)*('العقود'!$H$2:$H$287&lt;TODAY())*'العقود'!$H$2:$H$287))+1,"")))</f>
        <v>46285</v>
      </c>
      <c r="P37" s="34">
        <f>IF($O37="","",MAX(0,TODAY()-$O37))</f>
        <v>20</v>
      </c>
      <c r="Q37" s="37" t="str">
        <f>IF($M37="","",IFERROR(INDEX('العقود'!$H:$H,MATCH($M37,'العقود'!$A:$A,0)),""))</f>
        <v/>
      </c>
      <c r="R37" s="34" t="str">
        <f>IF($Q37="","",$Q37-TODAY())</f>
        <v/>
      </c>
    </row>
    <row r="38" spans="1:18" x14ac:dyDescent="0.25">
      <c r="A38" t="s">
        <v>280</v>
      </c>
      <c r="B38" t="s">
        <v>174</v>
      </c>
      <c r="C38" s="27" t="str">
        <f>IF($B38="","",IFERROR(INDEX('المشاريع'!$B:$B,MATCH($B38,'المشاريع'!$A:$A,0)),""))</f>
        <v>ابو بكر</v>
      </c>
      <c r="D38" t="s">
        <v>115</v>
      </c>
      <c r="E38" t="s">
        <v>534</v>
      </c>
      <c r="F38" t="s">
        <v>539</v>
      </c>
      <c r="H38" t="s">
        <v>35</v>
      </c>
      <c r="I38" s="33"/>
      <c r="J38" s="36" t="s">
        <v>35</v>
      </c>
      <c r="K38" s="27" t="str">
        <f>IF($M38="","شاغرة",IF(AND($R38&lt;=90,COUNTIFS('العقود'!$B:$B,$A38,'العقود'!$G:$G,"&gt;"&amp;$Q38)=0),"تنتهي خلال 90 يومًا","مؤجَّرة"))</f>
        <v>شاغرة</v>
      </c>
      <c r="L38" s="27" t="str">
        <f>IF($M38="","",IFERROR(INDEX('العقود'!$F:$F,MATCH($M38,'العقود'!$A:$A,0)),""))</f>
        <v/>
      </c>
      <c r="M38" s="27" t="str">
        <f>IF($A38="","",IFERROR(INDEX('العقود'!$A:$A,MATCH($A38,'العقود'!$AO:$AO,0)),""))</f>
        <v/>
      </c>
      <c r="N38" s="28" t="str">
        <f>IF($M38="","",IFERROR(INDEX('العقود'!$U:$U,MATCH($M38,'العقود'!$A:$A,0)),""))</f>
        <v/>
      </c>
      <c r="O38" s="37">
        <f>IF(OR($A38="",$M38&lt;&gt;""),"",IF(COUNTIFS('العقود'!$B:$B,$A38,'العقود'!$H:$H,"&lt;"&amp;TODAY())=0,IF(ISNUMBER($I38),$I38,""),IFERROR(SUMPRODUCT(MAX(('العقود'!$B$2:$B$287=$A38)*('العقود'!$H$2:$H$287&lt;TODAY())*'العقود'!$H$2:$H$287))+1,"")))</f>
        <v>46281</v>
      </c>
      <c r="P38" s="34">
        <f>IF($O38="","",MAX(0,TODAY()-$O38))</f>
        <v>24</v>
      </c>
      <c r="Q38" s="37" t="str">
        <f>IF($M38="","",IFERROR(INDEX('العقود'!$H:$H,MATCH($M38,'العقود'!$A:$A,0)),""))</f>
        <v/>
      </c>
      <c r="R38" s="34" t="str">
        <f>IF($Q38="","",$Q38-TODAY())</f>
        <v/>
      </c>
    </row>
    <row r="39" spans="1:18" x14ac:dyDescent="0.25">
      <c r="A39" t="s">
        <v>283</v>
      </c>
      <c r="B39" t="s">
        <v>174</v>
      </c>
      <c r="C39" s="27" t="str">
        <f>IF($B39="","",IFERROR(INDEX('المشاريع'!$B:$B,MATCH($B39,'المشاريع'!$A:$A,0)),""))</f>
        <v>ابو بكر</v>
      </c>
      <c r="D39" t="s">
        <v>123</v>
      </c>
      <c r="E39" t="s">
        <v>534</v>
      </c>
      <c r="F39" t="s">
        <v>539</v>
      </c>
      <c r="H39" t="s">
        <v>35</v>
      </c>
      <c r="I39" s="33"/>
      <c r="J39" s="36" t="s">
        <v>35</v>
      </c>
      <c r="K39" s="27" t="str">
        <f>IF($M39="","شاغرة",IF(AND($R39&lt;=90,COUNTIFS('العقود'!$B:$B,$A39,'العقود'!$G:$G,"&gt;"&amp;$Q39)=0),"تنتهي خلال 90 يومًا","مؤجَّرة"))</f>
        <v>مؤجَّرة</v>
      </c>
      <c r="L39" s="27" t="str">
        <f>IF($M39="","",IFERROR(INDEX('العقود'!$F:$F,MATCH($M39,'العقود'!$A:$A,0)),""))</f>
        <v>عادل عمر مكرم</v>
      </c>
      <c r="M39" s="27" t="str">
        <f>IF($A39="","",IFERROR(INDEX('العقود'!$A:$A,MATCH($A39,'العقود'!$AO:$AO,0)),""))</f>
        <v>T0039</v>
      </c>
      <c r="N39" s="28">
        <f>IF($M39="","",IFERROR(INDEX('العقود'!$U:$U,MATCH($M39,'العقود'!$A:$A,0)),""))</f>
        <v>19000</v>
      </c>
      <c r="O39" s="37" t="str">
        <f>IF(OR($A39="",$M39&lt;&gt;""),"",IF(COUNTIFS('العقود'!$B:$B,$A39,'العقود'!$H:$H,"&lt;"&amp;TODAY())=0,IF(ISNUMBER($I39),$I39,""),IFERROR(SUMPRODUCT(MAX(('العقود'!$B$2:$B$287=$A39)*('العقود'!$H$2:$H$287&lt;TODAY())*'العقود'!$H$2:$H$287))+1,"")))</f>
        <v/>
      </c>
      <c r="P39" s="34" t="str">
        <f>IF($O39="","",MAX(0,TODAY()-$O39))</f>
        <v/>
      </c>
      <c r="Q39" s="37">
        <f>IF($M39="","",IFERROR(INDEX('العقود'!$H:$H,MATCH($M39,'العقود'!$A:$A,0)),""))</f>
        <v>46418</v>
      </c>
      <c r="R39" s="34">
        <f>IF($Q39="","",$Q39-TODAY())</f>
        <v>113</v>
      </c>
    </row>
    <row r="40" spans="1:18" x14ac:dyDescent="0.25">
      <c r="A40" t="s">
        <v>287</v>
      </c>
      <c r="B40" t="s">
        <v>174</v>
      </c>
      <c r="C40" s="27" t="str">
        <f>IF($B40="","",IFERROR(INDEX('المشاريع'!$B:$B,MATCH($B40,'المشاريع'!$A:$A,0)),""))</f>
        <v>ابو بكر</v>
      </c>
      <c r="D40" t="s">
        <v>129</v>
      </c>
      <c r="E40" t="s">
        <v>534</v>
      </c>
      <c r="F40" t="s">
        <v>539</v>
      </c>
      <c r="H40" t="s">
        <v>35</v>
      </c>
      <c r="I40" s="33"/>
      <c r="J40" s="36" t="s">
        <v>35</v>
      </c>
      <c r="K40" s="27" t="str">
        <f>IF($M40="","شاغرة",IF(AND($R40&lt;=90,COUNTIFS('العقود'!$B:$B,$A40,'العقود'!$G:$G,"&gt;"&amp;$Q40)=0),"تنتهي خلال 90 يومًا","مؤجَّرة"))</f>
        <v>مؤجَّرة</v>
      </c>
      <c r="L40" s="27" t="str">
        <f>IF($M40="","",IFERROR(INDEX('العقود'!$F:$F,MATCH($M40,'العقود'!$A:$A,0)),""))</f>
        <v>ندى محمد البنا</v>
      </c>
      <c r="M40" s="27" t="str">
        <f>IF($A40="","",IFERROR(INDEX('العقود'!$A:$A,MATCH($A40,'العقود'!$AO:$AO,0)),""))</f>
        <v>T0041</v>
      </c>
      <c r="N40" s="28">
        <f>IF($M40="","",IFERROR(INDEX('العقود'!$U:$U,MATCH($M40,'العقود'!$A:$A,0)),""))</f>
        <v>14000</v>
      </c>
      <c r="O40" s="37" t="str">
        <f>IF(OR($A40="",$M40&lt;&gt;""),"",IF(COUNTIFS('العقود'!$B:$B,$A40,'العقود'!$H:$H,"&lt;"&amp;TODAY())=0,IF(ISNUMBER($I40),$I40,""),IFERROR(SUMPRODUCT(MAX(('العقود'!$B$2:$B$287=$A40)*('العقود'!$H$2:$H$287&lt;TODAY())*'العقود'!$H$2:$H$287))+1,"")))</f>
        <v/>
      </c>
      <c r="P40" s="34" t="str">
        <f>IF($O40="","",MAX(0,TODAY()-$O40))</f>
        <v/>
      </c>
      <c r="Q40" s="37">
        <f>IF($M40="","",IFERROR(INDEX('العقود'!$H:$H,MATCH($M40,'العقود'!$A:$A,0)),""))</f>
        <v>46599</v>
      </c>
      <c r="R40" s="34">
        <f>IF($Q40="","",$Q40-TODAY())</f>
        <v>294</v>
      </c>
    </row>
    <row r="41" spans="1:18" x14ac:dyDescent="0.25">
      <c r="A41" t="s">
        <v>299</v>
      </c>
      <c r="B41" t="s">
        <v>174</v>
      </c>
      <c r="C41" s="27" t="str">
        <f>IF($B41="","",IFERROR(INDEX('المشاريع'!$B:$B,MATCH($B41,'المشاريع'!$A:$A,0)),""))</f>
        <v>ابو بكر</v>
      </c>
      <c r="D41" t="s">
        <v>295</v>
      </c>
      <c r="E41" t="s">
        <v>534</v>
      </c>
      <c r="F41" t="s">
        <v>539</v>
      </c>
      <c r="H41" t="s">
        <v>35</v>
      </c>
      <c r="I41" s="33"/>
      <c r="J41" s="36" t="s">
        <v>35</v>
      </c>
      <c r="K41" s="27" t="str">
        <f>IF($M41="","شاغرة",IF(AND($R41&lt;=90,COUNTIFS('العقود'!$B:$B,$A41,'العقود'!$G:$G,"&gt;"&amp;$Q41)=0),"تنتهي خلال 90 يومًا","مؤجَّرة"))</f>
        <v>تنتهي خلال 90 يومًا</v>
      </c>
      <c r="L41" s="27" t="str">
        <f>IF($M41="","",IFERROR(INDEX('العقود'!$F:$F,MATCH($M41,'العقود'!$A:$A,0)),""))</f>
        <v>شركة النور للخدمات الطبية</v>
      </c>
      <c r="M41" s="27" t="str">
        <f>IF($A41="","",IFERROR(INDEX('العقود'!$A:$A,MATCH($A41,'العقود'!$AO:$AO,0)),""))</f>
        <v>T0042</v>
      </c>
      <c r="N41" s="28">
        <f>IF($M41="","",IFERROR(INDEX('العقود'!$U:$U,MATCH($M41,'العقود'!$A:$A,0)),""))</f>
        <v>11500</v>
      </c>
      <c r="O41" s="37" t="str">
        <f>IF(OR($A41="",$M41&lt;&gt;""),"",IF(COUNTIFS('العقود'!$B:$B,$A41,'العقود'!$H:$H,"&lt;"&amp;TODAY())=0,IF(ISNUMBER($I41),$I41,""),IFERROR(SUMPRODUCT(MAX(('العقود'!$B$2:$B$287=$A41)*('العقود'!$H$2:$H$287&lt;TODAY())*'العقود'!$H$2:$H$287))+1,"")))</f>
        <v/>
      </c>
      <c r="P41" s="34" t="str">
        <f>IF($O41="","",MAX(0,TODAY()-$O41))</f>
        <v/>
      </c>
      <c r="Q41" s="37">
        <f>IF($M41="","",IFERROR(INDEX('العقود'!$H:$H,MATCH($M41,'العقود'!$A:$A,0)),""))</f>
        <v>46387</v>
      </c>
      <c r="R41" s="34">
        <f>IF($Q41="","",$Q41-TODAY())</f>
        <v>82</v>
      </c>
    </row>
    <row r="42" spans="1:18" x14ac:dyDescent="0.25">
      <c r="A42" t="s">
        <v>305</v>
      </c>
      <c r="B42" t="s">
        <v>174</v>
      </c>
      <c r="C42" s="27" t="str">
        <f>IF($B42="","",IFERROR(INDEX('المشاريع'!$B:$B,MATCH($B42,'المشاريع'!$A:$A,0)),""))</f>
        <v>ابو بكر</v>
      </c>
      <c r="D42" t="s">
        <v>302</v>
      </c>
      <c r="E42" t="s">
        <v>534</v>
      </c>
      <c r="F42" t="s">
        <v>539</v>
      </c>
      <c r="H42" t="s">
        <v>35</v>
      </c>
      <c r="I42" s="33"/>
      <c r="J42" s="36" t="s">
        <v>35</v>
      </c>
      <c r="K42" s="27" t="str">
        <f>IF($M42="","شاغرة",IF(AND($R42&lt;=90,COUNTIFS('العقود'!$B:$B,$A42,'العقود'!$G:$G,"&gt;"&amp;$Q42)=0),"تنتهي خلال 90 يومًا","مؤجَّرة"))</f>
        <v>تنتهي خلال 90 يومًا</v>
      </c>
      <c r="L42" s="27" t="str">
        <f>IF($M42="","",IFERROR(INDEX('العقود'!$F:$F,MATCH($M42,'العقود'!$A:$A,0)),""))</f>
        <v>سامح إبراهيم منصور</v>
      </c>
      <c r="M42" s="27" t="str">
        <f>IF($A42="","",IFERROR(INDEX('العقود'!$A:$A,MATCH($A42,'العقود'!$AO:$AO,0)),""))</f>
        <v>T0043</v>
      </c>
      <c r="N42" s="28">
        <f>IF($M42="","",IFERROR(INDEX('العقود'!$U:$U,MATCH($M42,'العقود'!$A:$A,0)),""))</f>
        <v>11195</v>
      </c>
      <c r="O42" s="37" t="str">
        <f>IF(OR($A42="",$M42&lt;&gt;""),"",IF(COUNTIFS('العقود'!$B:$B,$A42,'العقود'!$H:$H,"&lt;"&amp;TODAY())=0,IF(ISNUMBER($I42),$I42,""),IFERROR(SUMPRODUCT(MAX(('العقود'!$B$2:$B$287=$A42)*('العقود'!$H$2:$H$287&lt;TODAY())*'العقود'!$H$2:$H$287))+1,"")))</f>
        <v/>
      </c>
      <c r="P42" s="34" t="str">
        <f>IF($O42="","",MAX(0,TODAY()-$O42))</f>
        <v/>
      </c>
      <c r="Q42" s="37">
        <f>IF($M42="","",IFERROR(INDEX('العقود'!$H:$H,MATCH($M42,'العقود'!$A:$A,0)),""))</f>
        <v>46356</v>
      </c>
      <c r="R42" s="34">
        <f>IF($Q42="","",$Q42-TODAY())</f>
        <v>51</v>
      </c>
    </row>
    <row r="43" spans="1:18" x14ac:dyDescent="0.25">
      <c r="A43" t="s">
        <v>312</v>
      </c>
      <c r="B43" t="s">
        <v>174</v>
      </c>
      <c r="C43" s="27" t="str">
        <f>IF($B43="","",IFERROR(INDEX('المشاريع'!$B:$B,MATCH($B43,'المشاريع'!$A:$A,0)),""))</f>
        <v>ابو بكر</v>
      </c>
      <c r="D43" t="s">
        <v>309</v>
      </c>
      <c r="E43" t="s">
        <v>534</v>
      </c>
      <c r="F43" t="s">
        <v>539</v>
      </c>
      <c r="H43" t="s">
        <v>35</v>
      </c>
      <c r="I43" s="33"/>
      <c r="J43" s="36" t="s">
        <v>35</v>
      </c>
      <c r="K43" s="27" t="str">
        <f>IF($M43="","شاغرة",IF(AND($R43&lt;=90,COUNTIFS('العقود'!$B:$B,$A43,'العقود'!$G:$G,"&gt;"&amp;$Q43)=0),"تنتهي خلال 90 يومًا","مؤجَّرة"))</f>
        <v>مؤجَّرة</v>
      </c>
      <c r="L43" s="27" t="str">
        <f>IF($M43="","",IFERROR(INDEX('العقود'!$F:$F,MATCH($M43,'العقود'!$A:$A,0)),""))</f>
        <v>د/ منى أمير الشريف</v>
      </c>
      <c r="M43" s="27" t="str">
        <f>IF($A43="","",IFERROR(INDEX('العقود'!$A:$A,MATCH($A43,'العقود'!$AO:$AO,0)),""))</f>
        <v>T0044</v>
      </c>
      <c r="N43" s="28">
        <f>IF($M43="","",IFERROR(INDEX('العقود'!$U:$U,MATCH($M43,'العقود'!$A:$A,0)),""))</f>
        <v>12100</v>
      </c>
      <c r="O43" s="37" t="str">
        <f>IF(OR($A43="",$M43&lt;&gt;""),"",IF(COUNTIFS('العقود'!$B:$B,$A43,'العقود'!$H:$H,"&lt;"&amp;TODAY())=0,IF(ISNUMBER($I43),$I43,""),IFERROR(SUMPRODUCT(MAX(('العقود'!$B$2:$B$287=$A43)*('العقود'!$H$2:$H$287&lt;TODAY())*'العقود'!$H$2:$H$287))+1,"")))</f>
        <v/>
      </c>
      <c r="P43" s="34" t="str">
        <f>IF($O43="","",MAX(0,TODAY()-$O43))</f>
        <v/>
      </c>
      <c r="Q43" s="37">
        <f>IF($M43="","",IFERROR(INDEX('العقود'!$H:$H,MATCH($M43,'العقود'!$A:$A,0)),""))</f>
        <v>46721</v>
      </c>
      <c r="R43" s="34">
        <f>IF($Q43="","",$Q43-TODAY())</f>
        <v>416</v>
      </c>
    </row>
    <row r="44" spans="1:18" x14ac:dyDescent="0.25">
      <c r="A44" t="s">
        <v>319</v>
      </c>
      <c r="B44" t="s">
        <v>174</v>
      </c>
      <c r="C44" s="27" t="str">
        <f>IF($B44="","",IFERROR(INDEX('المشاريع'!$B:$B,MATCH($B44,'المشاريع'!$A:$A,0)),""))</f>
        <v>ابو بكر</v>
      </c>
      <c r="D44" t="s">
        <v>134</v>
      </c>
      <c r="E44" t="s">
        <v>534</v>
      </c>
      <c r="F44" t="s">
        <v>537</v>
      </c>
      <c r="H44" t="s">
        <v>35</v>
      </c>
      <c r="I44" s="33"/>
      <c r="J44" s="36" t="s">
        <v>35</v>
      </c>
      <c r="K44" s="27" t="str">
        <f>IF($M44="","شاغرة",IF(AND($R44&lt;=90,COUNTIFS('العقود'!$B:$B,$A44,'العقود'!$G:$G,"&gt;"&amp;$Q44)=0),"تنتهي خلال 90 يومًا","مؤجَّرة"))</f>
        <v>مؤجَّرة</v>
      </c>
      <c r="L44" s="27" t="str">
        <f>IF($M44="","",IFERROR(INDEX('العقود'!$F:$F,MATCH($M44,'العقود'!$A:$A,0)),""))</f>
        <v>شركة الأمل للخدمات الطبية</v>
      </c>
      <c r="M44" s="27" t="str">
        <f>IF($A44="","",IFERROR(INDEX('العقود'!$A:$A,MATCH($A44,'العقود'!$AO:$AO,0)),""))</f>
        <v>T0045</v>
      </c>
      <c r="N44" s="28">
        <f>IF($M44="","",IFERROR(INDEX('العقود'!$U:$U,MATCH($M44,'العقود'!$A:$A,0)),""))</f>
        <v>12100</v>
      </c>
      <c r="O44" s="37" t="str">
        <f>IF(OR($A44="",$M44&lt;&gt;""),"",IF(COUNTIFS('العقود'!$B:$B,$A44,'العقود'!$H:$H,"&lt;"&amp;TODAY())=0,IF(ISNUMBER($I44),$I44,""),IFERROR(SUMPRODUCT(MAX(('العقود'!$B$2:$B$287=$A44)*('العقود'!$H$2:$H$287&lt;TODAY())*'العقود'!$H$2:$H$287))+1,"")))</f>
        <v/>
      </c>
      <c r="P44" s="34" t="str">
        <f>IF($O44="","",MAX(0,TODAY()-$O44))</f>
        <v/>
      </c>
      <c r="Q44" s="37">
        <f>IF($M44="","",IFERROR(INDEX('العقود'!$H:$H,MATCH($M44,'العقود'!$A:$A,0)),""))</f>
        <v>46538</v>
      </c>
      <c r="R44" s="34">
        <f>IF($Q44="","",$Q44-TODAY())</f>
        <v>233</v>
      </c>
    </row>
    <row r="45" spans="1:18" x14ac:dyDescent="0.25">
      <c r="A45" t="s">
        <v>326</v>
      </c>
      <c r="B45" t="s">
        <v>174</v>
      </c>
      <c r="C45" s="27" t="str">
        <f>IF($B45="","",IFERROR(INDEX('المشاريع'!$B:$B,MATCH($B45,'المشاريع'!$A:$A,0)),""))</f>
        <v>ابو بكر</v>
      </c>
      <c r="D45" t="s">
        <v>323</v>
      </c>
      <c r="E45" t="s">
        <v>534</v>
      </c>
      <c r="F45" t="s">
        <v>537</v>
      </c>
      <c r="H45" t="s">
        <v>35</v>
      </c>
      <c r="I45" s="33"/>
      <c r="J45" s="36" t="s">
        <v>35</v>
      </c>
      <c r="K45" s="27" t="str">
        <f>IF($M45="","شاغرة",IF(AND($R45&lt;=90,COUNTIFS('العقود'!$B:$B,$A45,'العقود'!$G:$G,"&gt;"&amp;$Q45)=0),"تنتهي خلال 90 يومًا","مؤجَّرة"))</f>
        <v>مؤجَّرة</v>
      </c>
      <c r="L45" s="27" t="str">
        <f>IF($M45="","",IFERROR(INDEX('العقود'!$F:$F,MATCH($M45,'العقود'!$A:$A,0)),""))</f>
        <v>شركة البركة للتدريب</v>
      </c>
      <c r="M45" s="27" t="str">
        <f>IF($A45="","",IFERROR(INDEX('العقود'!$A:$A,MATCH($A45,'العقود'!$AO:$AO,0)),""))</f>
        <v>T0046</v>
      </c>
      <c r="N45" s="28">
        <f>IF($M45="","",IFERROR(INDEX('العقود'!$U:$U,MATCH($M45,'العقود'!$A:$A,0)),""))</f>
        <v>14850</v>
      </c>
      <c r="O45" s="37" t="str">
        <f>IF(OR($A45="",$M45&lt;&gt;""),"",IF(COUNTIFS('العقود'!$B:$B,$A45,'العقود'!$H:$H,"&lt;"&amp;TODAY())=0,IF(ISNUMBER($I45),$I45,""),IFERROR(SUMPRODUCT(MAX(('العقود'!$B$2:$B$287=$A45)*('العقود'!$H$2:$H$287&lt;TODAY())*'العقود'!$H$2:$H$287))+1,"")))</f>
        <v/>
      </c>
      <c r="P45" s="34" t="str">
        <f>IF($O45="","",MAX(0,TODAY()-$O45))</f>
        <v/>
      </c>
      <c r="Q45" s="37">
        <f>IF($M45="","",IFERROR(INDEX('العقود'!$H:$H,MATCH($M45,'العقود'!$A:$A,0)),""))</f>
        <v>46402</v>
      </c>
      <c r="R45" s="34">
        <f>IF($Q45="","",$Q45-TODAY())</f>
        <v>97</v>
      </c>
    </row>
    <row r="46" spans="1:18" x14ac:dyDescent="0.25">
      <c r="A46" t="s">
        <v>331</v>
      </c>
      <c r="B46" t="s">
        <v>174</v>
      </c>
      <c r="C46" s="27" t="str">
        <f>IF($B46="","",IFERROR(INDEX('المشاريع'!$B:$B,MATCH($B46,'المشاريع'!$A:$A,0)),""))</f>
        <v>ابو بكر</v>
      </c>
      <c r="D46" t="s">
        <v>141</v>
      </c>
      <c r="E46" t="s">
        <v>534</v>
      </c>
      <c r="F46" t="s">
        <v>537</v>
      </c>
      <c r="H46" t="s">
        <v>35</v>
      </c>
      <c r="I46" s="33"/>
      <c r="J46" s="36" t="s">
        <v>35</v>
      </c>
      <c r="K46" s="27" t="str">
        <f>IF($M46="","شاغرة",IF(AND($R46&lt;=90,COUNTIFS('العقود'!$B:$B,$A46,'العقود'!$G:$G,"&gt;"&amp;$Q46)=0),"تنتهي خلال 90 يومًا","مؤجَّرة"))</f>
        <v>مؤجَّرة</v>
      </c>
      <c r="L46" s="27" t="str">
        <f>IF($M46="","",IFERROR(INDEX('العقود'!$F:$F,MATCH($M46,'العقود'!$A:$A,0)),""))</f>
        <v>آية محمود بدوي</v>
      </c>
      <c r="M46" s="27" t="str">
        <f>IF($A46="","",IFERROR(INDEX('العقود'!$A:$A,MATCH($A46,'العقود'!$AO:$AO,0)),""))</f>
        <v>T0047</v>
      </c>
      <c r="N46" s="28">
        <f>IF($M46="","",IFERROR(INDEX('العقود'!$U:$U,MATCH($M46,'العقود'!$A:$A,0)),""))</f>
        <v>13500</v>
      </c>
      <c r="O46" s="37" t="str">
        <f>IF(OR($A46="",$M46&lt;&gt;""),"",IF(COUNTIFS('العقود'!$B:$B,$A46,'العقود'!$H:$H,"&lt;"&amp;TODAY())=0,IF(ISNUMBER($I46),$I46,""),IFERROR(SUMPRODUCT(MAX(('العقود'!$B$2:$B$287=$A46)*('العقود'!$H$2:$H$287&lt;TODAY())*'العقود'!$H$2:$H$287))+1,"")))</f>
        <v/>
      </c>
      <c r="P46" s="34" t="str">
        <f>IF($O46="","",MAX(0,TODAY()-$O46))</f>
        <v/>
      </c>
      <c r="Q46" s="37">
        <f>IF($M46="","",IFERROR(INDEX('العقود'!$H:$H,MATCH($M46,'العقود'!$A:$A,0)),""))</f>
        <v>46538</v>
      </c>
      <c r="R46" s="34">
        <f>IF($Q46="","",$Q46-TODAY())</f>
        <v>233</v>
      </c>
    </row>
    <row r="47" spans="1:18" x14ac:dyDescent="0.25">
      <c r="A47" t="s">
        <v>339</v>
      </c>
      <c r="B47" t="s">
        <v>174</v>
      </c>
      <c r="C47" s="27" t="str">
        <f>IF($B47="","",IFERROR(INDEX('المشاريع'!$B:$B,MATCH($B47,'المشاريع'!$A:$A,0)),""))</f>
        <v>ابو بكر</v>
      </c>
      <c r="D47" t="s">
        <v>336</v>
      </c>
      <c r="E47" t="s">
        <v>534</v>
      </c>
      <c r="F47" t="s">
        <v>537</v>
      </c>
      <c r="H47" t="s">
        <v>35</v>
      </c>
      <c r="I47" s="33"/>
      <c r="J47" s="36" t="s">
        <v>35</v>
      </c>
      <c r="K47" s="27" t="str">
        <f>IF($M47="","شاغرة",IF(AND($R47&lt;=90,COUNTIFS('العقود'!$B:$B,$A47,'العقود'!$G:$G,"&gt;"&amp;$Q47)=0),"تنتهي خلال 90 يومًا","مؤجَّرة"))</f>
        <v>مؤجَّرة</v>
      </c>
      <c r="L47" s="27" t="str">
        <f>IF($M47="","",IFERROR(INDEX('العقود'!$F:$F,MATCH($M47,'العقود'!$A:$A,0)),""))</f>
        <v>شركة الأصيل للإنتاج الفني</v>
      </c>
      <c r="M47" s="27" t="str">
        <f>IF($A47="","",IFERROR(INDEX('العقود'!$A:$A,MATCH($A47,'العقود'!$AO:$AO,0)),""))</f>
        <v>T0048</v>
      </c>
      <c r="N47" s="28">
        <f>IF($M47="","",IFERROR(INDEX('العقود'!$U:$U,MATCH($M47,'العقود'!$A:$A,0)),""))</f>
        <v>14000</v>
      </c>
      <c r="O47" s="37" t="str">
        <f>IF(OR($A47="",$M47&lt;&gt;""),"",IF(COUNTIFS('العقود'!$B:$B,$A47,'العقود'!$H:$H,"&lt;"&amp;TODAY())=0,IF(ISNUMBER($I47),$I47,""),IFERROR(SUMPRODUCT(MAX(('العقود'!$B$2:$B$287=$A47)*('العقود'!$H$2:$H$287&lt;TODAY())*'العقود'!$H$2:$H$287))+1,"")))</f>
        <v/>
      </c>
      <c r="P47" s="34" t="str">
        <f>IF($O47="","",MAX(0,TODAY()-$O47))</f>
        <v/>
      </c>
      <c r="Q47" s="37">
        <f>IF($M47="","",IFERROR(INDEX('العقود'!$H:$H,MATCH($M47,'العقود'!$A:$A,0)),""))</f>
        <v>46446</v>
      </c>
      <c r="R47" s="34">
        <f>IF($Q47="","",$Q47-TODAY())</f>
        <v>141</v>
      </c>
    </row>
    <row r="48" spans="1:18" x14ac:dyDescent="0.25">
      <c r="A48" t="s">
        <v>347</v>
      </c>
      <c r="B48" t="s">
        <v>174</v>
      </c>
      <c r="C48" s="27" t="str">
        <f>IF($B48="","",IFERROR(INDEX('المشاريع'!$B:$B,MATCH($B48,'المشاريع'!$A:$A,0)),""))</f>
        <v>ابو بكر</v>
      </c>
      <c r="D48" t="s">
        <v>344</v>
      </c>
      <c r="E48" t="s">
        <v>534</v>
      </c>
      <c r="F48" t="s">
        <v>537</v>
      </c>
      <c r="H48" t="s">
        <v>35</v>
      </c>
      <c r="I48" s="33"/>
      <c r="J48" s="36" t="s">
        <v>35</v>
      </c>
      <c r="K48" s="27" t="str">
        <f>IF($M48="","شاغرة",IF(AND($R48&lt;=90,COUNTIFS('العقود'!$B:$B,$A48,'العقود'!$G:$G,"&gt;"&amp;$Q48)=0),"تنتهي خلال 90 يومًا","مؤجَّرة"))</f>
        <v>مؤجَّرة</v>
      </c>
      <c r="L48" s="27" t="str">
        <f>IF($M48="","",IFERROR(INDEX('العقود'!$F:$F,MATCH($M48,'العقود'!$A:$A,0)),""))</f>
        <v>شركة البركة للاستشارات الهندسية</v>
      </c>
      <c r="M48" s="27" t="str">
        <f>IF($A48="","",IFERROR(INDEX('العقود'!$A:$A,MATCH($A48,'العقود'!$AO:$AO,0)),""))</f>
        <v>T0049</v>
      </c>
      <c r="N48" s="28">
        <f>IF($M48="","",IFERROR(INDEX('العقود'!$U:$U,MATCH($M48,'العقود'!$A:$A,0)),""))</f>
        <v>14565</v>
      </c>
      <c r="O48" s="37" t="str">
        <f>IF(OR($A48="",$M48&lt;&gt;""),"",IF(COUNTIFS('العقود'!$B:$B,$A48,'العقود'!$H:$H,"&lt;"&amp;TODAY())=0,IF(ISNUMBER($I48),$I48,""),IFERROR(SUMPRODUCT(MAX(('العقود'!$B$2:$B$287=$A48)*('العقود'!$H$2:$H$287&lt;TODAY())*'العقود'!$H$2:$H$287))+1,"")))</f>
        <v/>
      </c>
      <c r="P48" s="34" t="str">
        <f>IF($O48="","",MAX(0,TODAY()-$O48))</f>
        <v/>
      </c>
      <c r="Q48" s="37">
        <f>IF($M48="","",IFERROR(INDEX('العقود'!$H:$H,MATCH($M48,'العقود'!$A:$A,0)),""))</f>
        <v>46397</v>
      </c>
      <c r="R48" s="34">
        <f>IF($Q48="","",$Q48-TODAY())</f>
        <v>92</v>
      </c>
    </row>
    <row r="49" spans="1:18" x14ac:dyDescent="0.25">
      <c r="A49" t="s">
        <v>354</v>
      </c>
      <c r="B49" t="s">
        <v>174</v>
      </c>
      <c r="C49" s="27" t="str">
        <f>IF($B49="","",IFERROR(INDEX('المشاريع'!$B:$B,MATCH($B49,'المشاريع'!$A:$A,0)),""))</f>
        <v>ابو بكر</v>
      </c>
      <c r="D49" t="s">
        <v>350</v>
      </c>
      <c r="E49" t="s">
        <v>534</v>
      </c>
      <c r="F49" t="s">
        <v>537</v>
      </c>
      <c r="H49" t="s">
        <v>35</v>
      </c>
      <c r="I49" s="33"/>
      <c r="J49" s="36" t="s">
        <v>35</v>
      </c>
      <c r="K49" s="27" t="str">
        <f>IF($M49="","شاغرة",IF(AND($R49&lt;=90,COUNTIFS('العقود'!$B:$B,$A49,'العقود'!$G:$G,"&gt;"&amp;$Q49)=0),"تنتهي خلال 90 يومًا","مؤجَّرة"))</f>
        <v>تنتهي خلال 90 يومًا</v>
      </c>
      <c r="L49" s="27" t="str">
        <f>IF($M49="","",IFERROR(INDEX('العقود'!$F:$F,MATCH($M49,'العقود'!$A:$A,0)),""))</f>
        <v>شركة الهرم لتكنولوجيا المعلومات</v>
      </c>
      <c r="M49" s="27" t="str">
        <f>IF($A49="","",IFERROR(INDEX('العقود'!$A:$A,MATCH($A49,'العقود'!$AO:$AO,0)),""))</f>
        <v>T0050</v>
      </c>
      <c r="N49" s="28">
        <f>IF($M49="","",IFERROR(INDEX('العقود'!$U:$U,MATCH($M49,'العقود'!$A:$A,0)),""))</f>
        <v>16500</v>
      </c>
      <c r="O49" s="37" t="str">
        <f>IF(OR($A49="",$M49&lt;&gt;""),"",IF(COUNTIFS('العقود'!$B:$B,$A49,'العقود'!$H:$H,"&lt;"&amp;TODAY())=0,IF(ISNUMBER($I49),$I49,""),IFERROR(SUMPRODUCT(MAX(('العقود'!$B$2:$B$287=$A49)*('العقود'!$H$2:$H$287&lt;TODAY())*'العقود'!$H$2:$H$287))+1,"")))</f>
        <v/>
      </c>
      <c r="P49" s="34" t="str">
        <f>IF($O49="","",MAX(0,TODAY()-$O49))</f>
        <v/>
      </c>
      <c r="Q49" s="37">
        <f>IF($M49="","",IFERROR(INDEX('العقود'!$H:$H,MATCH($M49,'العقود'!$A:$A,0)),""))</f>
        <v>46387</v>
      </c>
      <c r="R49" s="34">
        <f>IF($Q49="","",$Q49-TODAY())</f>
        <v>82</v>
      </c>
    </row>
    <row r="50" spans="1:18" x14ac:dyDescent="0.25">
      <c r="A50" t="s">
        <v>360</v>
      </c>
      <c r="B50" t="s">
        <v>174</v>
      </c>
      <c r="C50" s="27" t="str">
        <f>IF($B50="","",IFERROR(INDEX('المشاريع'!$B:$B,MATCH($B50,'المشاريع'!$A:$A,0)),""))</f>
        <v>ابو بكر</v>
      </c>
      <c r="D50" t="s">
        <v>357</v>
      </c>
      <c r="E50" t="s">
        <v>534</v>
      </c>
      <c r="F50" t="s">
        <v>537</v>
      </c>
      <c r="H50" t="s">
        <v>35</v>
      </c>
      <c r="I50" s="33"/>
      <c r="J50" s="36" t="s">
        <v>35</v>
      </c>
      <c r="K50" s="27" t="str">
        <f>IF($M50="","شاغرة",IF(AND($R50&lt;=90,COUNTIFS('العقود'!$B:$B,$A50,'العقود'!$G:$G,"&gt;"&amp;$Q50)=0),"تنتهي خلال 90 يومًا","مؤجَّرة"))</f>
        <v>شاغرة</v>
      </c>
      <c r="L50" s="27" t="str">
        <f>IF($M50="","",IFERROR(INDEX('العقود'!$F:$F,MATCH($M50,'العقود'!$A:$A,0)),""))</f>
        <v/>
      </c>
      <c r="M50" s="27" t="str">
        <f>IF($A50="","",IFERROR(INDEX('العقود'!$A:$A,MATCH($A50,'العقود'!$AO:$AO,0)),""))</f>
        <v/>
      </c>
      <c r="N50" s="28" t="str">
        <f>IF($M50="","",IFERROR(INDEX('العقود'!$U:$U,MATCH($M50,'العقود'!$A:$A,0)),""))</f>
        <v/>
      </c>
      <c r="O50" s="37">
        <f>IF(OR($A50="",$M50&lt;&gt;""),"",IF(COUNTIFS('العقود'!$B:$B,$A50,'العقود'!$H:$H,"&lt;"&amp;TODAY())=0,IF(ISNUMBER($I50),$I50,""),IFERROR(SUMPRODUCT(MAX(('العقود'!$B$2:$B$287=$A50)*('العقود'!$H$2:$H$287&lt;TODAY())*'العقود'!$H$2:$H$287))+1,"")))</f>
        <v>46296</v>
      </c>
      <c r="P50" s="34">
        <f>IF($O50="","",MAX(0,TODAY()-$O50))</f>
        <v>9</v>
      </c>
      <c r="Q50" s="37" t="str">
        <f>IF($M50="","",IFERROR(INDEX('العقود'!$H:$H,MATCH($M50,'العقود'!$A:$A,0)),""))</f>
        <v/>
      </c>
      <c r="R50" s="34" t="str">
        <f>IF($Q50="","",$Q50-TODAY())</f>
        <v/>
      </c>
    </row>
    <row r="51" spans="1:18" x14ac:dyDescent="0.25">
      <c r="A51" t="s">
        <v>367</v>
      </c>
      <c r="B51" t="s">
        <v>174</v>
      </c>
      <c r="C51" s="27" t="str">
        <f>IF($B51="","",IFERROR(INDEX('المشاريع'!$B:$B,MATCH($B51,'المشاريع'!$A:$A,0)),""))</f>
        <v>ابو بكر</v>
      </c>
      <c r="D51" t="s">
        <v>364</v>
      </c>
      <c r="E51" t="s">
        <v>534</v>
      </c>
      <c r="F51" t="s">
        <v>540</v>
      </c>
      <c r="H51" t="s">
        <v>35</v>
      </c>
      <c r="I51" s="33"/>
      <c r="J51" s="36" t="s">
        <v>35</v>
      </c>
      <c r="K51" s="27" t="str">
        <f>IF($M51="","شاغرة",IF(AND($R51&lt;=90,COUNTIFS('العقود'!$B:$B,$A51,'العقود'!$G:$G,"&gt;"&amp;$Q51)=0),"تنتهي خلال 90 يومًا","مؤجَّرة"))</f>
        <v>شاغرة</v>
      </c>
      <c r="L51" s="27" t="str">
        <f>IF($M51="","",IFERROR(INDEX('العقود'!$F:$F,MATCH($M51,'العقود'!$A:$A,0)),""))</f>
        <v/>
      </c>
      <c r="M51" s="27" t="str">
        <f>IF($A51="","",IFERROR(INDEX('العقود'!$A:$A,MATCH($A51,'العقود'!$AO:$AO,0)),""))</f>
        <v/>
      </c>
      <c r="N51" s="28" t="str">
        <f>IF($M51="","",IFERROR(INDEX('العقود'!$U:$U,MATCH($M51,'العقود'!$A:$A,0)),""))</f>
        <v/>
      </c>
      <c r="O51" s="37">
        <f>IF(OR($A51="",$M51&lt;&gt;""),"",IF(COUNTIFS('العقود'!$B:$B,$A51,'العقود'!$H:$H,"&lt;"&amp;TODAY())=0,IF(ISNUMBER($I51),$I51,""),IFERROR(SUMPRODUCT(MAX(('العقود'!$B$2:$B$287=$A51)*('العقود'!$H$2:$H$287&lt;TODAY())*'العقود'!$H$2:$H$287))+1,"")))</f>
        <v>46235</v>
      </c>
      <c r="P51" s="34">
        <f>IF($O51="","",MAX(0,TODAY()-$O51))</f>
        <v>70</v>
      </c>
      <c r="Q51" s="37" t="str">
        <f>IF($M51="","",IFERROR(INDEX('العقود'!$H:$H,MATCH($M51,'العقود'!$A:$A,0)),""))</f>
        <v/>
      </c>
      <c r="R51" s="34" t="str">
        <f>IF($Q51="","",$Q51-TODAY())</f>
        <v/>
      </c>
    </row>
    <row r="52" spans="1:18" x14ac:dyDescent="0.25">
      <c r="A52" t="s">
        <v>370</v>
      </c>
      <c r="B52" t="s">
        <v>174</v>
      </c>
      <c r="C52" s="27" t="str">
        <f>IF($B52="","",IFERROR(INDEX('المشاريع'!$B:$B,MATCH($B52,'المشاريع'!$A:$A,0)),""))</f>
        <v>ابو بكر</v>
      </c>
      <c r="D52" t="s">
        <v>147</v>
      </c>
      <c r="E52" t="s">
        <v>534</v>
      </c>
      <c r="F52" t="s">
        <v>540</v>
      </c>
      <c r="H52" t="s">
        <v>35</v>
      </c>
      <c r="I52" s="33"/>
      <c r="J52" s="36" t="s">
        <v>35</v>
      </c>
      <c r="K52" s="27" t="str">
        <f>IF($M52="","شاغرة",IF(AND($R52&lt;=90,COUNTIFS('العقود'!$B:$B,$A52,'العقود'!$G:$G,"&gt;"&amp;$Q52)=0),"تنتهي خلال 90 يومًا","مؤجَّرة"))</f>
        <v>شاغرة</v>
      </c>
      <c r="L52" s="27" t="str">
        <f>IF($M52="","",IFERROR(INDEX('العقود'!$F:$F,MATCH($M52,'العقود'!$A:$A,0)),""))</f>
        <v/>
      </c>
      <c r="M52" s="27" t="str">
        <f>IF($A52="","",IFERROR(INDEX('العقود'!$A:$A,MATCH($A52,'العقود'!$AO:$AO,0)),""))</f>
        <v/>
      </c>
      <c r="N52" s="28" t="str">
        <f>IF($M52="","",IFERROR(INDEX('العقود'!$U:$U,MATCH($M52,'العقود'!$A:$A,0)),""))</f>
        <v/>
      </c>
      <c r="O52" s="37">
        <f>IF(OR($A52="",$M52&lt;&gt;""),"",IF(COUNTIFS('العقود'!$B:$B,$A52,'العقود'!$H:$H,"&lt;"&amp;TODAY())=0,IF(ISNUMBER($I52),$I52,""),IFERROR(SUMPRODUCT(MAX(('العقود'!$B$2:$B$287=$A52)*('العقود'!$H$2:$H$287&lt;TODAY())*'العقود'!$H$2:$H$287))+1,"")))</f>
        <v>46235</v>
      </c>
      <c r="P52" s="34">
        <f>IF($O52="","",MAX(0,TODAY()-$O52))</f>
        <v>70</v>
      </c>
      <c r="Q52" s="37" t="str">
        <f>IF($M52="","",IFERROR(INDEX('العقود'!$H:$H,MATCH($M52,'العقود'!$A:$A,0)),""))</f>
        <v/>
      </c>
      <c r="R52" s="34" t="str">
        <f>IF($Q52="","",$Q52-TODAY())</f>
        <v/>
      </c>
    </row>
    <row r="53" spans="1:18" x14ac:dyDescent="0.25">
      <c r="A53" t="s">
        <v>375</v>
      </c>
      <c r="B53" t="s">
        <v>174</v>
      </c>
      <c r="C53" s="27" t="str">
        <f>IF($B53="","",IFERROR(INDEX('المشاريع'!$B:$B,MATCH($B53,'المشاريع'!$A:$A,0)),""))</f>
        <v>ابو بكر</v>
      </c>
      <c r="D53" t="s">
        <v>154</v>
      </c>
      <c r="E53" t="s">
        <v>534</v>
      </c>
      <c r="F53" t="s">
        <v>540</v>
      </c>
      <c r="H53" t="s">
        <v>35</v>
      </c>
      <c r="I53" s="33"/>
      <c r="J53" s="36" t="s">
        <v>35</v>
      </c>
      <c r="K53" s="27" t="str">
        <f>IF($M53="","شاغرة",IF(AND($R53&lt;=90,COUNTIFS('العقود'!$B:$B,$A53,'العقود'!$G:$G,"&gt;"&amp;$Q53)=0),"تنتهي خلال 90 يومًا","مؤجَّرة"))</f>
        <v>تنتهي خلال 90 يومًا</v>
      </c>
      <c r="L53" s="27" t="str">
        <f>IF($M53="","",IFERROR(INDEX('العقود'!$F:$F,MATCH($M53,'العقود'!$A:$A,0)),""))</f>
        <v>إبراهيم أحمد البنا</v>
      </c>
      <c r="M53" s="27" t="str">
        <f>IF($A53="","",IFERROR(INDEX('العقود'!$A:$A,MATCH($A53,'العقود'!$AO:$AO,0)),""))</f>
        <v>T0054</v>
      </c>
      <c r="N53" s="28">
        <f>IF($M53="","",IFERROR(INDEX('العقود'!$U:$U,MATCH($M53,'العقود'!$A:$A,0)),""))</f>
        <v>11195</v>
      </c>
      <c r="O53" s="37" t="str">
        <f>IF(OR($A53="",$M53&lt;&gt;""),"",IF(COUNTIFS('العقود'!$B:$B,$A53,'العقود'!$H:$H,"&lt;"&amp;TODAY())=0,IF(ISNUMBER($I53),$I53,""),IFERROR(SUMPRODUCT(MAX(('العقود'!$B$2:$B$287=$A53)*('العقود'!$H$2:$H$287&lt;TODAY())*'العقود'!$H$2:$H$287))+1,"")))</f>
        <v/>
      </c>
      <c r="P53" s="34" t="str">
        <f>IF($O53="","",MAX(0,TODAY()-$O53))</f>
        <v/>
      </c>
      <c r="Q53" s="37">
        <f>IF($M53="","",IFERROR(INDEX('العقود'!$H:$H,MATCH($M53,'العقود'!$A:$A,0)),""))</f>
        <v>46326</v>
      </c>
      <c r="R53" s="34">
        <f>IF($Q53="","",$Q53-TODAY())</f>
        <v>21</v>
      </c>
    </row>
    <row r="54" spans="1:18" x14ac:dyDescent="0.25">
      <c r="A54" t="s">
        <v>381</v>
      </c>
      <c r="B54" t="s">
        <v>174</v>
      </c>
      <c r="C54" s="27" t="str">
        <f>IF($B54="","",IFERROR(INDEX('المشاريع'!$B:$B,MATCH($B54,'المشاريع'!$A:$A,0)),""))</f>
        <v>ابو بكر</v>
      </c>
      <c r="D54" t="s">
        <v>160</v>
      </c>
      <c r="E54" t="s">
        <v>534</v>
      </c>
      <c r="F54" t="s">
        <v>540</v>
      </c>
      <c r="H54" t="s">
        <v>35</v>
      </c>
      <c r="I54" s="33"/>
      <c r="J54" s="36" t="s">
        <v>35</v>
      </c>
      <c r="K54" s="27" t="str">
        <f>IF($M54="","شاغرة",IF(AND($R54&lt;=90,COUNTIFS('العقود'!$B:$B,$A54,'العقود'!$G:$G,"&gt;"&amp;$Q54)=0),"تنتهي خلال 90 يومًا","مؤجَّرة"))</f>
        <v>شاغرة</v>
      </c>
      <c r="L54" s="27" t="str">
        <f>IF($M54="","",IFERROR(INDEX('العقود'!$F:$F,MATCH($M54,'العقود'!$A:$A,0)),""))</f>
        <v/>
      </c>
      <c r="M54" s="27" t="str">
        <f>IF($A54="","",IFERROR(INDEX('العقود'!$A:$A,MATCH($A54,'العقود'!$AO:$AO,0)),""))</f>
        <v/>
      </c>
      <c r="N54" s="28" t="str">
        <f>IF($M54="","",IFERROR(INDEX('العقود'!$U:$U,MATCH($M54,'العقود'!$A:$A,0)),""))</f>
        <v/>
      </c>
      <c r="O54" s="37">
        <f>IF(OR($A54="",$M54&lt;&gt;""),"",IF(COUNTIFS('العقود'!$B:$B,$A54,'العقود'!$H:$H,"&lt;"&amp;TODAY())=0,IF(ISNUMBER($I54),$I54,""),IFERROR(SUMPRODUCT(MAX(('العقود'!$B$2:$B$287=$A54)*('العقود'!$H$2:$H$287&lt;TODAY())*'العقود'!$H$2:$H$287))+1,"")))</f>
        <v>46266</v>
      </c>
      <c r="P54" s="34">
        <f>IF($O54="","",MAX(0,TODAY()-$O54))</f>
        <v>39</v>
      </c>
      <c r="Q54" s="37" t="str">
        <f>IF($M54="","",IFERROR(INDEX('العقود'!$H:$H,MATCH($M54,'العقود'!$A:$A,0)),""))</f>
        <v/>
      </c>
      <c r="R54" s="34" t="str">
        <f>IF($Q54="","",$Q54-TODAY())</f>
        <v/>
      </c>
    </row>
    <row r="55" spans="1:18" x14ac:dyDescent="0.25">
      <c r="A55" t="s">
        <v>385</v>
      </c>
      <c r="B55" t="s">
        <v>174</v>
      </c>
      <c r="C55" s="27" t="str">
        <f>IF($B55="","",IFERROR(INDEX('المشاريع'!$B:$B,MATCH($B55,'المشاريع'!$A:$A,0)),""))</f>
        <v>ابو بكر</v>
      </c>
      <c r="D55" t="s">
        <v>383</v>
      </c>
      <c r="E55" t="s">
        <v>534</v>
      </c>
      <c r="F55" t="s">
        <v>540</v>
      </c>
      <c r="H55" t="s">
        <v>35</v>
      </c>
      <c r="I55" s="33"/>
      <c r="J55" s="36" t="s">
        <v>35</v>
      </c>
      <c r="K55" s="27" t="str">
        <f>IF($M55="","شاغرة",IF(AND($R55&lt;=90,COUNTIFS('العقود'!$B:$B,$A55,'العقود'!$G:$G,"&gt;"&amp;$Q55)=0),"تنتهي خلال 90 يومًا","مؤجَّرة"))</f>
        <v>مؤجَّرة</v>
      </c>
      <c r="L55" s="27" t="str">
        <f>IF($M55="","",IFERROR(INDEX('العقود'!$F:$F,MATCH($M55,'العقود'!$A:$A,0)),""))</f>
        <v>حسين أمير بدوي</v>
      </c>
      <c r="M55" s="27" t="str">
        <f>IF($A55="","",IFERROR(INDEX('العقود'!$A:$A,MATCH($A55,'العقود'!$AO:$AO,0)),""))</f>
        <v>T0056</v>
      </c>
      <c r="N55" s="28">
        <f>IF($M55="","",IFERROR(INDEX('العقود'!$U:$U,MATCH($M55,'العقود'!$A:$A,0)),""))</f>
        <v>13000</v>
      </c>
      <c r="O55" s="37" t="str">
        <f>IF(OR($A55="",$M55&lt;&gt;""),"",IF(COUNTIFS('العقود'!$B:$B,$A55,'العقود'!$H:$H,"&lt;"&amp;TODAY())=0,IF(ISNUMBER($I55),$I55,""),IFERROR(SUMPRODUCT(MAX(('العقود'!$B$2:$B$287=$A55)*('العقود'!$H$2:$H$287&lt;TODAY())*'العقود'!$H$2:$H$287))+1,"")))</f>
        <v/>
      </c>
      <c r="P55" s="34" t="str">
        <f>IF($O55="","",MAX(0,TODAY()-$O55))</f>
        <v/>
      </c>
      <c r="Q55" s="37">
        <f>IF($M55="","",IFERROR(INDEX('العقود'!$H:$H,MATCH($M55,'العقود'!$A:$A,0)),""))</f>
        <v>46568</v>
      </c>
      <c r="R55" s="34">
        <f>IF($Q55="","",$Q55-TODAY())</f>
        <v>263</v>
      </c>
    </row>
    <row r="56" spans="1:18" x14ac:dyDescent="0.25">
      <c r="A56" t="s">
        <v>392</v>
      </c>
      <c r="B56" t="s">
        <v>174</v>
      </c>
      <c r="C56" s="27" t="str">
        <f>IF($B56="","",IFERROR(INDEX('المشاريع'!$B:$B,MATCH($B56,'المشاريع'!$A:$A,0)),""))</f>
        <v>ابو بكر</v>
      </c>
      <c r="D56" t="s">
        <v>389</v>
      </c>
      <c r="E56" t="s">
        <v>534</v>
      </c>
      <c r="F56" t="s">
        <v>540</v>
      </c>
      <c r="H56" t="s">
        <v>35</v>
      </c>
      <c r="I56" s="33"/>
      <c r="J56" s="36" t="s">
        <v>35</v>
      </c>
      <c r="K56" s="27" t="str">
        <f>IF($M56="","شاغرة",IF(AND($R56&lt;=90,COUNTIFS('العقود'!$B:$B,$A56,'العقود'!$G:$G,"&gt;"&amp;$Q56)=0),"تنتهي خلال 90 يومًا","مؤجَّرة"))</f>
        <v>مؤجَّرة</v>
      </c>
      <c r="L56" s="27" t="str">
        <f>IF($M56="","",IFERROR(INDEX('العقود'!$F:$F,MATCH($M56,'العقود'!$A:$A,0)),""))</f>
        <v>د/ آية هشام رشاد</v>
      </c>
      <c r="M56" s="27" t="str">
        <f>IF($A56="","",IFERROR(INDEX('العقود'!$A:$A,MATCH($A56,'العقود'!$AO:$AO,0)),""))</f>
        <v>T0057</v>
      </c>
      <c r="N56" s="28">
        <f>IF($M56="","",IFERROR(INDEX('العقود'!$U:$U,MATCH($M56,'العقود'!$A:$A,0)),""))</f>
        <v>19000</v>
      </c>
      <c r="O56" s="37" t="str">
        <f>IF(OR($A56="",$M56&lt;&gt;""),"",IF(COUNTIFS('العقود'!$B:$B,$A56,'العقود'!$H:$H,"&lt;"&amp;TODAY())=0,IF(ISNUMBER($I56),$I56,""),IFERROR(SUMPRODUCT(MAX(('العقود'!$B$2:$B$287=$A56)*('العقود'!$H$2:$H$287&lt;TODAY())*'العقود'!$H$2:$H$287))+1,"")))</f>
        <v/>
      </c>
      <c r="P56" s="34" t="str">
        <f>IF($O56="","",MAX(0,TODAY()-$O56))</f>
        <v/>
      </c>
      <c r="Q56" s="37">
        <f>IF($M56="","",IFERROR(INDEX('العقود'!$H:$H,MATCH($M56,'العقود'!$A:$A,0)),""))</f>
        <v>46538</v>
      </c>
      <c r="R56" s="34">
        <f>IF($Q56="","",$Q56-TODAY())</f>
        <v>233</v>
      </c>
    </row>
    <row r="57" spans="1:18" x14ac:dyDescent="0.25">
      <c r="A57" t="s">
        <v>401</v>
      </c>
      <c r="B57" t="s">
        <v>174</v>
      </c>
      <c r="C57" s="27" t="str">
        <f>IF($B57="","",IFERROR(INDEX('المشاريع'!$B:$B,MATCH($B57,'المشاريع'!$A:$A,0)),""))</f>
        <v>ابو بكر</v>
      </c>
      <c r="D57" t="s">
        <v>397</v>
      </c>
      <c r="E57" t="s">
        <v>534</v>
      </c>
      <c r="F57" t="s">
        <v>540</v>
      </c>
      <c r="H57" t="s">
        <v>35</v>
      </c>
      <c r="I57" s="33"/>
      <c r="J57" s="36" t="s">
        <v>35</v>
      </c>
      <c r="K57" s="27" t="str">
        <f>IF($M57="","شاغرة",IF(AND($R57&lt;=90,COUNTIFS('العقود'!$B:$B,$A57,'العقود'!$G:$G,"&gt;"&amp;$Q57)=0),"تنتهي خلال 90 يومًا","مؤجَّرة"))</f>
        <v>مؤجَّرة</v>
      </c>
      <c r="L57" s="27" t="str">
        <f>IF($M57="","",IFERROR(INDEX('العقود'!$F:$F,MATCH($M57,'العقود'!$A:$A,0)),""))</f>
        <v>شركة الأصيل للاستشارات الهندسية</v>
      </c>
      <c r="M57" s="27" t="str">
        <f>IF($A57="","",IFERROR(INDEX('العقود'!$A:$A,MATCH($A57,'العقود'!$AO:$AO,0)),""))</f>
        <v>T0058</v>
      </c>
      <c r="N57" s="28">
        <f>IF($M57="","",IFERROR(INDEX('العقود'!$U:$U,MATCH($M57,'العقود'!$A:$A,0)),""))</f>
        <v>18000</v>
      </c>
      <c r="O57" s="37" t="str">
        <f>IF(OR($A57="",$M57&lt;&gt;""),"",IF(COUNTIFS('العقود'!$B:$B,$A57,'العقود'!$H:$H,"&lt;"&amp;TODAY())=0,IF(ISNUMBER($I57),$I57,""),IFERROR(SUMPRODUCT(MAX(('العقود'!$B$2:$B$287=$A57)*('العقود'!$H$2:$H$287&lt;TODAY())*'العقود'!$H$2:$H$287))+1,"")))</f>
        <v/>
      </c>
      <c r="P57" s="34" t="str">
        <f>IF($O57="","",MAX(0,TODAY()-$O57))</f>
        <v/>
      </c>
      <c r="Q57" s="37">
        <f>IF($M57="","",IFERROR(INDEX('العقود'!$H:$H,MATCH($M57,'العقود'!$A:$A,0)),""))</f>
        <v>46544</v>
      </c>
      <c r="R57" s="34">
        <f>IF($Q57="","",$Q57-TODAY())</f>
        <v>239</v>
      </c>
    </row>
    <row r="58" spans="1:18" x14ac:dyDescent="0.25">
      <c r="A58" t="s">
        <v>408</v>
      </c>
      <c r="B58" t="s">
        <v>174</v>
      </c>
      <c r="C58" s="27" t="str">
        <f>IF($B58="","",IFERROR(INDEX('المشاريع'!$B:$B,MATCH($B58,'المشاريع'!$A:$A,0)),""))</f>
        <v>ابو بكر</v>
      </c>
      <c r="D58" t="s">
        <v>405</v>
      </c>
      <c r="E58" t="s">
        <v>534</v>
      </c>
      <c r="F58" t="s">
        <v>538</v>
      </c>
      <c r="H58" t="s">
        <v>35</v>
      </c>
      <c r="I58" s="33"/>
      <c r="J58" s="36" t="s">
        <v>35</v>
      </c>
      <c r="K58" s="27" t="str">
        <f>IF($M58="","شاغرة",IF(AND($R58&lt;=90,COUNTIFS('العقود'!$B:$B,$A58,'العقود'!$G:$G,"&gt;"&amp;$Q58)=0),"تنتهي خلال 90 يومًا","مؤجَّرة"))</f>
        <v>شاغرة</v>
      </c>
      <c r="L58" s="27" t="str">
        <f>IF($M58="","",IFERROR(INDEX('العقود'!$F:$F,MATCH($M58,'العقود'!$A:$A,0)),""))</f>
        <v/>
      </c>
      <c r="M58" s="27" t="str">
        <f>IF($A58="","",IFERROR(INDEX('العقود'!$A:$A,MATCH($A58,'العقود'!$AO:$AO,0)),""))</f>
        <v/>
      </c>
      <c r="N58" s="28" t="str">
        <f>IF($M58="","",IFERROR(INDEX('العقود'!$U:$U,MATCH($M58,'العقود'!$A:$A,0)),""))</f>
        <v/>
      </c>
      <c r="O58" s="37">
        <f>IF(OR($A58="",$M58&lt;&gt;""),"",IF(COUNTIFS('العقود'!$B:$B,$A58,'العقود'!$H:$H,"&lt;"&amp;TODAY())=0,IF(ISNUMBER($I58),$I58,""),IFERROR(SUMPRODUCT(MAX(('العقود'!$B$2:$B$287=$A58)*('العقود'!$H$2:$H$287&lt;TODAY())*'العقود'!$H$2:$H$287))+1,"")))</f>
        <v>46266</v>
      </c>
      <c r="P58" s="34">
        <f>IF($O58="","",MAX(0,TODAY()-$O58))</f>
        <v>39</v>
      </c>
      <c r="Q58" s="37" t="str">
        <f>IF($M58="","",IFERROR(INDEX('العقود'!$H:$H,MATCH($M58,'العقود'!$A:$A,0)),""))</f>
        <v/>
      </c>
      <c r="R58" s="34" t="str">
        <f>IF($Q58="","",$Q58-TODAY())</f>
        <v/>
      </c>
    </row>
    <row r="59" spans="1:18" x14ac:dyDescent="0.25">
      <c r="A59" t="s">
        <v>416</v>
      </c>
      <c r="B59" t="s">
        <v>174</v>
      </c>
      <c r="C59" s="27" t="str">
        <f>IF($B59="","",IFERROR(INDEX('المشاريع'!$B:$B,MATCH($B59,'المشاريع'!$A:$A,0)),""))</f>
        <v>ابو بكر</v>
      </c>
      <c r="D59" t="s">
        <v>412</v>
      </c>
      <c r="E59" t="s">
        <v>534</v>
      </c>
      <c r="F59" t="s">
        <v>538</v>
      </c>
      <c r="H59" t="s">
        <v>35</v>
      </c>
      <c r="I59" s="33"/>
      <c r="J59" s="36" t="s">
        <v>35</v>
      </c>
      <c r="K59" s="27" t="str">
        <f>IF($M59="","شاغرة",IF(AND($R59&lt;=90,COUNTIFS('العقود'!$B:$B,$A59,'العقود'!$G:$G,"&gt;"&amp;$Q59)=0),"تنتهي خلال 90 يومًا","مؤجَّرة"))</f>
        <v>شاغرة</v>
      </c>
      <c r="L59" s="27" t="str">
        <f>IF($M59="","",IFERROR(INDEX('العقود'!$F:$F,MATCH($M59,'العقود'!$A:$A,0)),""))</f>
        <v/>
      </c>
      <c r="M59" s="27" t="str">
        <f>IF($A59="","",IFERROR(INDEX('العقود'!$A:$A,MATCH($A59,'العقود'!$AO:$AO,0)),""))</f>
        <v/>
      </c>
      <c r="N59" s="28" t="str">
        <f>IF($M59="","",IFERROR(INDEX('العقود'!$U:$U,MATCH($M59,'العقود'!$A:$A,0)),""))</f>
        <v/>
      </c>
      <c r="O59" s="37">
        <f>IF(OR($A59="",$M59&lt;&gt;""),"",IF(COUNTIFS('العقود'!$B:$B,$A59,'العقود'!$H:$H,"&lt;"&amp;TODAY())=0,IF(ISNUMBER($I59),$I59,""),IFERROR(SUMPRODUCT(MAX(('العقود'!$B$2:$B$287=$A59)*('العقود'!$H$2:$H$287&lt;TODAY())*'العقود'!$H$2:$H$287))+1,"")))</f>
        <v>46296</v>
      </c>
      <c r="P59" s="34">
        <f>IF($O59="","",MAX(0,TODAY()-$O59))</f>
        <v>9</v>
      </c>
      <c r="Q59" s="37" t="str">
        <f>IF($M59="","",IFERROR(INDEX('العقود'!$H:$H,MATCH($M59,'العقود'!$A:$A,0)),""))</f>
        <v/>
      </c>
      <c r="R59" s="34" t="str">
        <f>IF($Q59="","",$Q59-TODAY())</f>
        <v/>
      </c>
    </row>
    <row r="60" spans="1:18" x14ac:dyDescent="0.25">
      <c r="A60" t="s">
        <v>422</v>
      </c>
      <c r="B60" t="s">
        <v>174</v>
      </c>
      <c r="C60" s="27" t="str">
        <f>IF($B60="","",IFERROR(INDEX('المشاريع'!$B:$B,MATCH($B60,'المشاريع'!$A:$A,0)),""))</f>
        <v>ابو بكر</v>
      </c>
      <c r="D60" t="s">
        <v>419</v>
      </c>
      <c r="E60" t="s">
        <v>534</v>
      </c>
      <c r="F60" t="s">
        <v>538</v>
      </c>
      <c r="H60" t="s">
        <v>35</v>
      </c>
      <c r="I60" s="33"/>
      <c r="J60" s="36" t="s">
        <v>35</v>
      </c>
      <c r="K60" s="27" t="str">
        <f>IF($M60="","شاغرة",IF(AND($R60&lt;=90,COUNTIFS('العقود'!$B:$B,$A60,'العقود'!$G:$G,"&gt;"&amp;$Q60)=0),"تنتهي خلال 90 يومًا","مؤجَّرة"))</f>
        <v>تنتهي خلال 90 يومًا</v>
      </c>
      <c r="L60" s="27" t="str">
        <f>IF($M60="","",IFERROR(INDEX('العقود'!$F:$F,MATCH($M60,'العقود'!$A:$A,0)),""))</f>
        <v>عادل باسم حسنين</v>
      </c>
      <c r="M60" s="27" t="str">
        <f>IF($A60="","",IFERROR(INDEX('العقود'!$A:$A,MATCH($A60,'العقود'!$AO:$AO,0)),""))</f>
        <v>T0061</v>
      </c>
      <c r="N60" s="28">
        <f>IF($M60="","",IFERROR(INDEX('العقود'!$U:$U,MATCH($M60,'العقود'!$A:$A,0)),""))</f>
        <v>11495</v>
      </c>
      <c r="O60" s="37" t="str">
        <f>IF(OR($A60="",$M60&lt;&gt;""),"",IF(COUNTIFS('العقود'!$B:$B,$A60,'العقود'!$H:$H,"&lt;"&amp;TODAY())=0,IF(ISNUMBER($I60),$I60,""),IFERROR(SUMPRODUCT(MAX(('العقود'!$B$2:$B$287=$A60)*('العقود'!$H$2:$H$287&lt;TODAY())*'العقود'!$H$2:$H$287))+1,"")))</f>
        <v/>
      </c>
      <c r="P60" s="34" t="str">
        <f>IF($O60="","",MAX(0,TODAY()-$O60))</f>
        <v/>
      </c>
      <c r="Q60" s="37">
        <f>IF($M60="","",IFERROR(INDEX('العقود'!$H:$H,MATCH($M60,'العقود'!$A:$A,0)),""))</f>
        <v>46326</v>
      </c>
      <c r="R60" s="34">
        <f>IF($Q60="","",$Q60-TODAY())</f>
        <v>21</v>
      </c>
    </row>
    <row r="61" spans="1:18" x14ac:dyDescent="0.25">
      <c r="A61" t="s">
        <v>428</v>
      </c>
      <c r="B61" t="s">
        <v>174</v>
      </c>
      <c r="C61" s="27" t="str">
        <f>IF($B61="","",IFERROR(INDEX('المشاريع'!$B:$B,MATCH($B61,'المشاريع'!$A:$A,0)),""))</f>
        <v>ابو بكر</v>
      </c>
      <c r="D61" t="s">
        <v>425</v>
      </c>
      <c r="E61" t="s">
        <v>534</v>
      </c>
      <c r="F61" t="s">
        <v>538</v>
      </c>
      <c r="H61" t="s">
        <v>35</v>
      </c>
      <c r="I61" s="33"/>
      <c r="J61" s="36" t="s">
        <v>35</v>
      </c>
      <c r="K61" s="27" t="str">
        <f>IF($M61="","شاغرة",IF(AND($R61&lt;=90,COUNTIFS('العقود'!$B:$B,$A61,'العقود'!$G:$G,"&gt;"&amp;$Q61)=0),"تنتهي خلال 90 يومًا","مؤجَّرة"))</f>
        <v>تنتهي خلال 90 يومًا</v>
      </c>
      <c r="L61" s="27" t="str">
        <f>IF($M61="","",IFERROR(INDEX('العقود'!$F:$F,MATCH($M61,'العقود'!$A:$A,0)),""))</f>
        <v>ندى وليد حسنين</v>
      </c>
      <c r="M61" s="27" t="str">
        <f>IF($A61="","",IFERROR(INDEX('العقود'!$A:$A,MATCH($A61,'العقود'!$AO:$AO,0)),""))</f>
        <v>T0062</v>
      </c>
      <c r="N61" s="28">
        <f>IF($M61="","",IFERROR(INDEX('العقود'!$U:$U,MATCH($M61,'العقود'!$A:$A,0)),""))</f>
        <v>11000</v>
      </c>
      <c r="O61" s="37" t="str">
        <f>IF(OR($A61="",$M61&lt;&gt;""),"",IF(COUNTIFS('العقود'!$B:$B,$A61,'العقود'!$H:$H,"&lt;"&amp;TODAY())=0,IF(ISNUMBER($I61),$I61,""),IFERROR(SUMPRODUCT(MAX(('العقود'!$B$2:$B$287=$A61)*('العقود'!$H$2:$H$287&lt;TODAY())*'العقود'!$H$2:$H$287))+1,"")))</f>
        <v/>
      </c>
      <c r="P61" s="34" t="str">
        <f>IF($O61="","",MAX(0,TODAY()-$O61))</f>
        <v/>
      </c>
      <c r="Q61" s="37">
        <f>IF($M61="","",IFERROR(INDEX('العقود'!$H:$H,MATCH($M61,'العقود'!$A:$A,0)),""))</f>
        <v>46326</v>
      </c>
      <c r="R61" s="34">
        <f>IF($Q61="","",$Q61-TODAY())</f>
        <v>21</v>
      </c>
    </row>
    <row r="62" spans="1:18" x14ac:dyDescent="0.25">
      <c r="A62" t="s">
        <v>434</v>
      </c>
      <c r="B62" t="s">
        <v>174</v>
      </c>
      <c r="C62" s="27" t="str">
        <f>IF($B62="","",IFERROR(INDEX('المشاريع'!$B:$B,MATCH($B62,'المشاريع'!$A:$A,0)),""))</f>
        <v>ابو بكر</v>
      </c>
      <c r="D62" t="s">
        <v>431</v>
      </c>
      <c r="E62" t="s">
        <v>534</v>
      </c>
      <c r="F62" t="s">
        <v>538</v>
      </c>
      <c r="H62" t="s">
        <v>35</v>
      </c>
      <c r="I62" s="33"/>
      <c r="J62" s="36" t="s">
        <v>35</v>
      </c>
      <c r="K62" s="27" t="str">
        <f>IF($M62="","شاغرة",IF(AND($R62&lt;=90,COUNTIFS('العقود'!$B:$B,$A62,'العقود'!$G:$G,"&gt;"&amp;$Q62)=0),"تنتهي خلال 90 يومًا","مؤجَّرة"))</f>
        <v>مؤجَّرة</v>
      </c>
      <c r="L62" s="27" t="str">
        <f>IF($M62="","",IFERROR(INDEX('العقود'!$F:$F,MATCH($M62,'العقود'!$A:$A,0)),""))</f>
        <v>شريف هاني فهمي</v>
      </c>
      <c r="M62" s="27" t="str">
        <f>IF($A62="","",IFERROR(INDEX('العقود'!$A:$A,MATCH($A62,'العقود'!$AO:$AO,0)),""))</f>
        <v>T0063</v>
      </c>
      <c r="N62" s="28">
        <f>IF($M62="","",IFERROR(INDEX('العقود'!$U:$U,MATCH($M62,'العقود'!$A:$A,0)),""))</f>
        <v>11390</v>
      </c>
      <c r="O62" s="37" t="str">
        <f>IF(OR($A62="",$M62&lt;&gt;""),"",IF(COUNTIFS('العقود'!$B:$B,$A62,'العقود'!$H:$H,"&lt;"&amp;TODAY())=0,IF(ISNUMBER($I62),$I62,""),IFERROR(SUMPRODUCT(MAX(('العقود'!$B$2:$B$287=$A62)*('العقود'!$H$2:$H$287&lt;TODAY())*'العقود'!$H$2:$H$287))+1,"")))</f>
        <v/>
      </c>
      <c r="P62" s="34" t="str">
        <f>IF($O62="","",MAX(0,TODAY()-$O62))</f>
        <v/>
      </c>
      <c r="Q62" s="37">
        <f>IF($M62="","",IFERROR(INDEX('العقود'!$H:$H,MATCH($M62,'العقود'!$A:$A,0)),""))</f>
        <v>46583</v>
      </c>
      <c r="R62" s="34">
        <f>IF($Q62="","",$Q62-TODAY())</f>
        <v>278</v>
      </c>
    </row>
    <row r="63" spans="1:18" x14ac:dyDescent="0.25">
      <c r="A63" t="s">
        <v>444</v>
      </c>
      <c r="B63" t="s">
        <v>174</v>
      </c>
      <c r="C63" s="27" t="str">
        <f>IF($B63="","",IFERROR(INDEX('المشاريع'!$B:$B,MATCH($B63,'المشاريع'!$A:$A,0)),""))</f>
        <v>ابو بكر</v>
      </c>
      <c r="D63" t="s">
        <v>441</v>
      </c>
      <c r="E63" t="s">
        <v>534</v>
      </c>
      <c r="F63" t="s">
        <v>538</v>
      </c>
      <c r="H63" t="s">
        <v>35</v>
      </c>
      <c r="I63" s="33"/>
      <c r="J63" s="36" t="s">
        <v>35</v>
      </c>
      <c r="K63" s="27" t="str">
        <f>IF($M63="","شاغرة",IF(AND($R63&lt;=90,COUNTIFS('العقود'!$B:$B,$A63,'العقود'!$G:$G,"&gt;"&amp;$Q63)=0),"تنتهي خلال 90 يومًا","مؤجَّرة"))</f>
        <v>مؤجَّرة</v>
      </c>
      <c r="L63" s="27" t="str">
        <f>IF($M63="","",IFERROR(INDEX('العقود'!$F:$F,MATCH($M63,'العقود'!$A:$A,0)),""))</f>
        <v>شركة الياسمين للاستشارات الهندسية</v>
      </c>
      <c r="M63" s="27" t="str">
        <f>IF($A63="","",IFERROR(INDEX('العقود'!$A:$A,MATCH($A63,'العقود'!$AO:$AO,0)),""))</f>
        <v>T0064</v>
      </c>
      <c r="N63" s="28">
        <f>IF($M63="","",IFERROR(INDEX('العقود'!$U:$U,MATCH($M63,'العقود'!$A:$A,0)),""))</f>
        <v>19000</v>
      </c>
      <c r="O63" s="37" t="str">
        <f>IF(OR($A63="",$M63&lt;&gt;""),"",IF(COUNTIFS('العقود'!$B:$B,$A63,'العقود'!$H:$H,"&lt;"&amp;TODAY())=0,IF(ISNUMBER($I63),$I63,""),IFERROR(SUMPRODUCT(MAX(('العقود'!$B$2:$B$287=$A63)*('العقود'!$H$2:$H$287&lt;TODAY())*'العقود'!$H$2:$H$287))+1,"")))</f>
        <v/>
      </c>
      <c r="P63" s="34" t="str">
        <f>IF($O63="","",MAX(0,TODAY()-$O63))</f>
        <v/>
      </c>
      <c r="Q63" s="37">
        <f>IF($M63="","",IFERROR(INDEX('العقود'!$H:$H,MATCH($M63,'العقود'!$A:$A,0)),""))</f>
        <v>46583</v>
      </c>
      <c r="R63" s="34">
        <f>IF($Q63="","",$Q63-TODAY())</f>
        <v>278</v>
      </c>
    </row>
    <row r="64" spans="1:18" x14ac:dyDescent="0.25">
      <c r="A64" t="s">
        <v>453</v>
      </c>
      <c r="B64" t="s">
        <v>174</v>
      </c>
      <c r="C64" s="27" t="str">
        <f>IF($B64="","",IFERROR(INDEX('المشاريع'!$B:$B,MATCH($B64,'المشاريع'!$A:$A,0)),""))</f>
        <v>ابو بكر</v>
      </c>
      <c r="D64" t="s">
        <v>449</v>
      </c>
      <c r="E64" t="s">
        <v>534</v>
      </c>
      <c r="F64" t="s">
        <v>538</v>
      </c>
      <c r="H64" t="s">
        <v>35</v>
      </c>
      <c r="I64" s="33"/>
      <c r="J64" s="36" t="s">
        <v>35</v>
      </c>
      <c r="K64" s="27" t="str">
        <f>IF($M64="","شاغرة",IF(AND($R64&lt;=90,COUNTIFS('العقود'!$B:$B,$A64,'العقود'!$G:$G,"&gt;"&amp;$Q64)=0),"تنتهي خلال 90 يومًا","مؤجَّرة"))</f>
        <v>شاغرة</v>
      </c>
      <c r="L64" s="27" t="str">
        <f>IF($M64="","",IFERROR(INDEX('العقود'!$F:$F,MATCH($M64,'العقود'!$A:$A,0)),""))</f>
        <v/>
      </c>
      <c r="M64" s="27" t="str">
        <f>IF($A64="","",IFERROR(INDEX('العقود'!$A:$A,MATCH($A64,'العقود'!$AO:$AO,0)),""))</f>
        <v/>
      </c>
      <c r="N64" s="28" t="str">
        <f>IF($M64="","",IFERROR(INDEX('العقود'!$U:$U,MATCH($M64,'العقود'!$A:$A,0)),""))</f>
        <v/>
      </c>
      <c r="O64" s="37">
        <f>IF(OR($A64="",$M64&lt;&gt;""),"",IF(COUNTIFS('العقود'!$B:$B,$A64,'العقود'!$H:$H,"&lt;"&amp;TODAY())=0,IF(ISNUMBER($I64),$I64,""),IFERROR(SUMPRODUCT(MAX(('العقود'!$B$2:$B$287=$A64)*('العقود'!$H$2:$H$287&lt;TODAY())*'العقود'!$H$2:$H$287))+1,"")))</f>
        <v>46143</v>
      </c>
      <c r="P64" s="34">
        <f>IF($O64="","",MAX(0,TODAY()-$O64))</f>
        <v>162</v>
      </c>
      <c r="Q64" s="37" t="str">
        <f>IF($M64="","",IFERROR(INDEX('العقود'!$H:$H,MATCH($M64,'العقود'!$A:$A,0)),""))</f>
        <v/>
      </c>
      <c r="R64" s="34" t="str">
        <f>IF($Q64="","",$Q64-TODAY())</f>
        <v/>
      </c>
    </row>
    <row r="65" spans="1:18" x14ac:dyDescent="0.25">
      <c r="A65" t="s">
        <v>460</v>
      </c>
      <c r="B65" t="s">
        <v>174</v>
      </c>
      <c r="C65" s="27" t="str">
        <f>IF($B65="","",IFERROR(INDEX('المشاريع'!$B:$B,MATCH($B65,'المشاريع'!$A:$A,0)),""))</f>
        <v>ابو بكر</v>
      </c>
      <c r="D65" t="s">
        <v>457</v>
      </c>
      <c r="E65" t="s">
        <v>534</v>
      </c>
      <c r="F65" t="s">
        <v>538</v>
      </c>
      <c r="H65" t="s">
        <v>35</v>
      </c>
      <c r="I65" s="33"/>
      <c r="J65" s="36" t="s">
        <v>35</v>
      </c>
      <c r="K65" s="27" t="str">
        <f>IF($M65="","شاغرة",IF(AND($R65&lt;=90,COUNTIFS('العقود'!$B:$B,$A65,'العقود'!$G:$G,"&gt;"&amp;$Q65)=0),"تنتهي خلال 90 يومًا","مؤجَّرة"))</f>
        <v>شاغرة</v>
      </c>
      <c r="L65" s="27" t="str">
        <f>IF($M65="","",IFERROR(INDEX('العقود'!$F:$F,MATCH($M65,'العقود'!$A:$A,0)),""))</f>
        <v/>
      </c>
      <c r="M65" s="27" t="str">
        <f>IF($A65="","",IFERROR(INDEX('العقود'!$A:$A,MATCH($A65,'العقود'!$AO:$AO,0)),""))</f>
        <v/>
      </c>
      <c r="N65" s="28" t="str">
        <f>IF($M65="","",IFERROR(INDEX('العقود'!$U:$U,MATCH($M65,'العقود'!$A:$A,0)),""))</f>
        <v/>
      </c>
      <c r="O65" s="37">
        <f>IF(OR($A65="",$M65&lt;&gt;""),"",IF(COUNTIFS('العقود'!$B:$B,$A65,'العقود'!$H:$H,"&lt;"&amp;TODAY())=0,IF(ISNUMBER($I65),$I65,""),IFERROR(SUMPRODUCT(MAX(('العقود'!$B$2:$B$287=$A65)*('العقود'!$H$2:$H$287&lt;TODAY())*'العقود'!$H$2:$H$287))+1,"")))</f>
        <v>46204</v>
      </c>
      <c r="P65" s="34">
        <f>IF($O65="","",MAX(0,TODAY()-$O65))</f>
        <v>101</v>
      </c>
      <c r="Q65" s="37" t="str">
        <f>IF($M65="","",IFERROR(INDEX('العقود'!$H:$H,MATCH($M65,'العقود'!$A:$A,0)),""))</f>
        <v/>
      </c>
      <c r="R65" s="34" t="str">
        <f>IF($Q65="","",$Q65-TODAY())</f>
        <v/>
      </c>
    </row>
    <row r="66" spans="1:18" x14ac:dyDescent="0.25">
      <c r="A66" t="s">
        <v>468</v>
      </c>
      <c r="B66" t="s">
        <v>174</v>
      </c>
      <c r="C66" s="27" t="str">
        <f>IF($B66="","",IFERROR(INDEX('المشاريع'!$B:$B,MATCH($B66,'المشاريع'!$A:$A,0)),""))</f>
        <v>ابو بكر</v>
      </c>
      <c r="D66" t="s">
        <v>464</v>
      </c>
      <c r="E66" t="s">
        <v>534</v>
      </c>
      <c r="F66" t="s">
        <v>542</v>
      </c>
      <c r="H66" t="s">
        <v>35</v>
      </c>
      <c r="I66" s="33"/>
      <c r="J66" s="36" t="s">
        <v>35</v>
      </c>
      <c r="K66" s="27" t="str">
        <f>IF($M66="","شاغرة",IF(AND($R66&lt;=90,COUNTIFS('العقود'!$B:$B,$A66,'العقود'!$G:$G,"&gt;"&amp;$Q66)=0),"تنتهي خلال 90 يومًا","مؤجَّرة"))</f>
        <v>شاغرة</v>
      </c>
      <c r="L66" s="27" t="str">
        <f>IF($M66="","",IFERROR(INDEX('العقود'!$F:$F,MATCH($M66,'العقود'!$A:$A,0)),""))</f>
        <v/>
      </c>
      <c r="M66" s="27" t="str">
        <f>IF($A66="","",IFERROR(INDEX('العقود'!$A:$A,MATCH($A66,'العقود'!$AO:$AO,0)),""))</f>
        <v/>
      </c>
      <c r="N66" s="28" t="str">
        <f>IF($M66="","",IFERROR(INDEX('العقود'!$U:$U,MATCH($M66,'العقود'!$A:$A,0)),""))</f>
        <v/>
      </c>
      <c r="O66" s="37">
        <f>IF(OR($A66="",$M66&lt;&gt;""),"",IF(COUNTIFS('العقود'!$B:$B,$A66,'العقود'!$H:$H,"&lt;"&amp;TODAY())=0,IF(ISNUMBER($I66),$I66,""),IFERROR(SUMPRODUCT(MAX(('العقود'!$B$2:$B$287=$A66)*('العقود'!$H$2:$H$287&lt;TODAY())*'العقود'!$H$2:$H$287))+1,"")))</f>
        <v>46281</v>
      </c>
      <c r="P66" s="34">
        <f>IF($O66="","",MAX(0,TODAY()-$O66))</f>
        <v>24</v>
      </c>
      <c r="Q66" s="37" t="str">
        <f>IF($M66="","",IFERROR(INDEX('العقود'!$H:$H,MATCH($M66,'العقود'!$A:$A,0)),""))</f>
        <v/>
      </c>
      <c r="R66" s="34" t="str">
        <f>IF($Q66="","",$Q66-TODAY())</f>
        <v/>
      </c>
    </row>
    <row r="67" spans="1:18" x14ac:dyDescent="0.25">
      <c r="A67" t="s">
        <v>475</v>
      </c>
      <c r="B67" t="s">
        <v>174</v>
      </c>
      <c r="C67" s="27" t="str">
        <f>IF($B67="","",IFERROR(INDEX('المشاريع'!$B:$B,MATCH($B67,'المشاريع'!$A:$A,0)),""))</f>
        <v>ابو بكر</v>
      </c>
      <c r="D67" t="s">
        <v>472</v>
      </c>
      <c r="E67" t="s">
        <v>534</v>
      </c>
      <c r="F67" t="s">
        <v>542</v>
      </c>
      <c r="H67" t="s">
        <v>35</v>
      </c>
      <c r="I67" s="33"/>
      <c r="J67" s="36" t="s">
        <v>35</v>
      </c>
      <c r="K67" s="27" t="str">
        <f>IF($M67="","شاغرة",IF(AND($R67&lt;=90,COUNTIFS('العقود'!$B:$B,$A67,'العقود'!$G:$G,"&gt;"&amp;$Q67)=0),"تنتهي خلال 90 يومًا","مؤجَّرة"))</f>
        <v>مؤجَّرة</v>
      </c>
      <c r="L67" s="27" t="str">
        <f>IF($M67="","",IFERROR(INDEX('العقود'!$F:$F,MATCH($M67,'العقود'!$A:$A,0)),""))</f>
        <v>شركة النخبة للتنمية</v>
      </c>
      <c r="M67" s="27" t="str">
        <f>IF($A67="","",IFERROR(INDEX('العقود'!$A:$A,MATCH($A67,'العقود'!$AO:$AO,0)),""))</f>
        <v>T0068</v>
      </c>
      <c r="N67" s="28">
        <f>IF($M67="","",IFERROR(INDEX('العقود'!$U:$U,MATCH($M67,'العقود'!$A:$A,0)),""))</f>
        <v>20000</v>
      </c>
      <c r="O67" s="37" t="str">
        <f>IF(OR($A67="",$M67&lt;&gt;""),"",IF(COUNTIFS('العقود'!$B:$B,$A67,'العقود'!$H:$H,"&lt;"&amp;TODAY())=0,IF(ISNUMBER($I67),$I67,""),IFERROR(SUMPRODUCT(MAX(('العقود'!$B$2:$B$287=$A67)*('العقود'!$H$2:$H$287&lt;TODAY())*'العقود'!$H$2:$H$287))+1,"")))</f>
        <v/>
      </c>
      <c r="P67" s="34" t="str">
        <f>IF($O67="","",MAX(0,TODAY()-$O67))</f>
        <v/>
      </c>
      <c r="Q67" s="37">
        <f>IF($M67="","",IFERROR(INDEX('العقود'!$H:$H,MATCH($M67,'العقود'!$A:$A,0)),""))</f>
        <v>46568</v>
      </c>
      <c r="R67" s="34">
        <f>IF($Q67="","",$Q67-TODAY())</f>
        <v>263</v>
      </c>
    </row>
    <row r="68" spans="1:18" x14ac:dyDescent="0.25">
      <c r="A68" t="s">
        <v>482</v>
      </c>
      <c r="B68" t="s">
        <v>174</v>
      </c>
      <c r="C68" s="27" t="str">
        <f>IF($B68="","",IFERROR(INDEX('المشاريع'!$B:$B,MATCH($B68,'المشاريع'!$A:$A,0)),""))</f>
        <v>ابو بكر</v>
      </c>
      <c r="D68" t="s">
        <v>479</v>
      </c>
      <c r="E68" t="s">
        <v>534</v>
      </c>
      <c r="F68" t="s">
        <v>542</v>
      </c>
      <c r="H68" t="s">
        <v>35</v>
      </c>
      <c r="I68" s="33"/>
      <c r="J68" s="36" t="s">
        <v>35</v>
      </c>
      <c r="K68" s="27" t="str">
        <f>IF($M68="","شاغرة",IF(AND($R68&lt;=90,COUNTIFS('العقود'!$B:$B,$A68,'العقود'!$G:$G,"&gt;"&amp;$Q68)=0),"تنتهي خلال 90 يومًا","مؤجَّرة"))</f>
        <v>تنتهي خلال 90 يومًا</v>
      </c>
      <c r="L68" s="27" t="str">
        <f>IF($M68="","",IFERROR(INDEX('العقود'!$F:$F,MATCH($M68,'العقود'!$A:$A,0)),""))</f>
        <v>شركة البركة للتسويق</v>
      </c>
      <c r="M68" s="27" t="str">
        <f>IF($A68="","",IFERROR(INDEX('العقود'!$A:$A,MATCH($A68,'العقود'!$AO:$AO,0)),""))</f>
        <v>T0069</v>
      </c>
      <c r="N68" s="28">
        <f>IF($M68="","",IFERROR(INDEX('العقود'!$U:$U,MATCH($M68,'العقود'!$A:$A,0)),""))</f>
        <v>11000</v>
      </c>
      <c r="O68" s="37" t="str">
        <f>IF(OR($A68="",$M68&lt;&gt;""),"",IF(COUNTIFS('العقود'!$B:$B,$A68,'العقود'!$H:$H,"&lt;"&amp;TODAY())=0,IF(ISNUMBER($I68),$I68,""),IFERROR(SUMPRODUCT(MAX(('العقود'!$B$2:$B$287=$A68)*('العقود'!$H$2:$H$287&lt;TODAY())*'العقود'!$H$2:$H$287))+1,"")))</f>
        <v/>
      </c>
      <c r="P68" s="34" t="str">
        <f>IF($O68="","",MAX(0,TODAY()-$O68))</f>
        <v/>
      </c>
      <c r="Q68" s="37">
        <f>IF($M68="","",IFERROR(INDEX('العقود'!$H:$H,MATCH($M68,'العقود'!$A:$A,0)),""))</f>
        <v>46310</v>
      </c>
      <c r="R68" s="34">
        <f>IF($Q68="","",$Q68-TODAY())</f>
        <v>5</v>
      </c>
    </row>
    <row r="69" spans="1:18" x14ac:dyDescent="0.25">
      <c r="A69" t="s">
        <v>488</v>
      </c>
      <c r="B69" t="s">
        <v>174</v>
      </c>
      <c r="C69" s="27" t="str">
        <f>IF($B69="","",IFERROR(INDEX('المشاريع'!$B:$B,MATCH($B69,'المشاريع'!$A:$A,0)),""))</f>
        <v>ابو بكر</v>
      </c>
      <c r="D69" t="s">
        <v>485</v>
      </c>
      <c r="E69" t="s">
        <v>534</v>
      </c>
      <c r="F69" t="s">
        <v>542</v>
      </c>
      <c r="H69" t="s">
        <v>35</v>
      </c>
      <c r="I69" s="33"/>
      <c r="J69" s="36" t="s">
        <v>35</v>
      </c>
      <c r="K69" s="27" t="str">
        <f>IF($M69="","شاغرة",IF(AND($R69&lt;=90,COUNTIFS('العقود'!$B:$B,$A69,'العقود'!$G:$G,"&gt;"&amp;$Q69)=0),"تنتهي خلال 90 يومًا","مؤجَّرة"))</f>
        <v>شاغرة</v>
      </c>
      <c r="L69" s="27" t="str">
        <f>IF($M69="","",IFERROR(INDEX('العقود'!$F:$F,MATCH($M69,'العقود'!$A:$A,0)),""))</f>
        <v/>
      </c>
      <c r="M69" s="27" t="str">
        <f>IF($A69="","",IFERROR(INDEX('العقود'!$A:$A,MATCH($A69,'العقود'!$AO:$AO,0)),""))</f>
        <v/>
      </c>
      <c r="N69" s="28" t="str">
        <f>IF($M69="","",IFERROR(INDEX('العقود'!$U:$U,MATCH($M69,'العقود'!$A:$A,0)),""))</f>
        <v/>
      </c>
      <c r="O69" s="37">
        <f>IF(OR($A69="",$M69&lt;&gt;""),"",IF(COUNTIFS('العقود'!$B:$B,$A69,'العقود'!$H:$H,"&lt;"&amp;TODAY())=0,IF(ISNUMBER($I69),$I69,""),IFERROR(SUMPRODUCT(MAX(('العقود'!$B$2:$B$287=$A69)*('العقود'!$H$2:$H$287&lt;TODAY())*'العقود'!$H$2:$H$287))+1,"")))</f>
        <v>46303</v>
      </c>
      <c r="P69" s="34">
        <f>IF($O69="","",MAX(0,TODAY()-$O69))</f>
        <v>2</v>
      </c>
      <c r="Q69" s="37" t="str">
        <f>IF($M69="","",IFERROR(INDEX('العقود'!$H:$H,MATCH($M69,'العقود'!$A:$A,0)),""))</f>
        <v/>
      </c>
      <c r="R69" s="34" t="str">
        <f>IF($Q69="","",$Q69-TODAY())</f>
        <v/>
      </c>
    </row>
    <row r="70" spans="1:18" x14ac:dyDescent="0.25">
      <c r="A70" t="s">
        <v>496</v>
      </c>
      <c r="B70" t="s">
        <v>174</v>
      </c>
      <c r="C70" s="27" t="str">
        <f>IF($B70="","",IFERROR(INDEX('المشاريع'!$B:$B,MATCH($B70,'المشاريع'!$A:$A,0)),""))</f>
        <v>ابو بكر</v>
      </c>
      <c r="D70" t="s">
        <v>492</v>
      </c>
      <c r="E70" t="s">
        <v>534</v>
      </c>
      <c r="F70" t="s">
        <v>542</v>
      </c>
      <c r="H70" t="s">
        <v>35</v>
      </c>
      <c r="I70" s="33"/>
      <c r="J70" s="36" t="s">
        <v>35</v>
      </c>
      <c r="K70" s="27" t="str">
        <f>IF($M70="","شاغرة",IF(AND($R70&lt;=90,COUNTIFS('العقود'!$B:$B,$A70,'العقود'!$G:$G,"&gt;"&amp;$Q70)=0),"تنتهي خلال 90 يومًا","مؤجَّرة"))</f>
        <v>شاغرة</v>
      </c>
      <c r="L70" s="27" t="str">
        <f>IF($M70="","",IFERROR(INDEX('العقود'!$F:$F,MATCH($M70,'العقود'!$A:$A,0)),""))</f>
        <v/>
      </c>
      <c r="M70" s="27" t="str">
        <f>IF($A70="","",IFERROR(INDEX('العقود'!$A:$A,MATCH($A70,'العقود'!$AO:$AO,0)),""))</f>
        <v/>
      </c>
      <c r="N70" s="28" t="str">
        <f>IF($M70="","",IFERROR(INDEX('العقود'!$U:$U,MATCH($M70,'العقود'!$A:$A,0)),""))</f>
        <v/>
      </c>
      <c r="O70" s="37">
        <f>IF(OR($A70="",$M70&lt;&gt;""),"",IF(COUNTIFS('العقود'!$B:$B,$A70,'العقود'!$H:$H,"&lt;"&amp;TODAY())=0,IF(ISNUMBER($I70),$I70,""),IFERROR(SUMPRODUCT(MAX(('العقود'!$B$2:$B$287=$A70)*('العقود'!$H$2:$H$287&lt;TODAY())*'العقود'!$H$2:$H$287))+1,"")))</f>
        <v>46235</v>
      </c>
      <c r="P70" s="34">
        <f>IF($O70="","",MAX(0,TODAY()-$O70))</f>
        <v>70</v>
      </c>
      <c r="Q70" s="37" t="str">
        <f>IF($M70="","",IFERROR(INDEX('العقود'!$H:$H,MATCH($M70,'العقود'!$A:$A,0)),""))</f>
        <v/>
      </c>
      <c r="R70" s="34" t="str">
        <f>IF($Q70="","",$Q70-TODAY())</f>
        <v/>
      </c>
    </row>
    <row r="71" spans="1:18" x14ac:dyDescent="0.25">
      <c r="A71" t="s">
        <v>503</v>
      </c>
      <c r="B71" t="s">
        <v>174</v>
      </c>
      <c r="C71" s="27" t="str">
        <f>IF($B71="","",IFERROR(INDEX('المشاريع'!$B:$B,MATCH($B71,'المشاريع'!$A:$A,0)),""))</f>
        <v>ابو بكر</v>
      </c>
      <c r="D71" t="s">
        <v>500</v>
      </c>
      <c r="E71" t="s">
        <v>534</v>
      </c>
      <c r="F71" t="s">
        <v>542</v>
      </c>
      <c r="H71" t="s">
        <v>35</v>
      </c>
      <c r="I71" s="33"/>
      <c r="J71" s="36" t="s">
        <v>35</v>
      </c>
      <c r="K71" s="27" t="str">
        <f>IF($M71="","شاغرة",IF(AND($R71&lt;=90,COUNTIFS('العقود'!$B:$B,$A71,'العقود'!$G:$G,"&gt;"&amp;$Q71)=0),"تنتهي خلال 90 يومًا","مؤجَّرة"))</f>
        <v>شاغرة</v>
      </c>
      <c r="L71" s="27" t="str">
        <f>IF($M71="","",IFERROR(INDEX('العقود'!$F:$F,MATCH($M71,'العقود'!$A:$A,0)),""))</f>
        <v/>
      </c>
      <c r="M71" s="27" t="str">
        <f>IF($A71="","",IFERROR(INDEX('العقود'!$A:$A,MATCH($A71,'العقود'!$AO:$AO,0)),""))</f>
        <v/>
      </c>
      <c r="N71" s="28" t="str">
        <f>IF($M71="","",IFERROR(INDEX('العقود'!$U:$U,MATCH($M71,'العقود'!$A:$A,0)),""))</f>
        <v/>
      </c>
      <c r="O71" s="37">
        <f>IF(OR($A71="",$M71&lt;&gt;""),"",IF(COUNTIFS('العقود'!$B:$B,$A71,'العقود'!$H:$H,"&lt;"&amp;TODAY())=0,IF(ISNUMBER($I71),$I71,""),IFERROR(SUMPRODUCT(MAX(('العقود'!$B$2:$B$287=$A71)*('العقود'!$H$2:$H$287&lt;TODAY())*'العقود'!$H$2:$H$287))+1,"")))</f>
        <v>46266</v>
      </c>
      <c r="P71" s="34">
        <f>IF($O71="","",MAX(0,TODAY()-$O71))</f>
        <v>39</v>
      </c>
      <c r="Q71" s="37" t="str">
        <f>IF($M71="","",IFERROR(INDEX('العقود'!$H:$H,MATCH($M71,'العقود'!$A:$A,0)),""))</f>
        <v/>
      </c>
      <c r="R71" s="34" t="str">
        <f>IF($Q71="","",$Q71-TODAY())</f>
        <v/>
      </c>
    </row>
    <row r="72" spans="1:18" x14ac:dyDescent="0.25">
      <c r="A72" t="s">
        <v>507</v>
      </c>
      <c r="B72" t="s">
        <v>174</v>
      </c>
      <c r="C72" s="27" t="str">
        <f>IF($B72="","",IFERROR(INDEX('المشاريع'!$B:$B,MATCH($B72,'المشاريع'!$A:$A,0)),""))</f>
        <v>ابو بكر</v>
      </c>
      <c r="D72" t="s">
        <v>505</v>
      </c>
      <c r="E72" t="s">
        <v>534</v>
      </c>
      <c r="F72" t="s">
        <v>542</v>
      </c>
      <c r="H72" t="s">
        <v>35</v>
      </c>
      <c r="I72" s="33"/>
      <c r="J72" s="36" t="s">
        <v>35</v>
      </c>
      <c r="K72" s="27" t="str">
        <f>IF($M72="","شاغرة",IF(AND($R72&lt;=90,COUNTIFS('العقود'!$B:$B,$A72,'العقود'!$G:$G,"&gt;"&amp;$Q72)=0),"تنتهي خلال 90 يومًا","مؤجَّرة"))</f>
        <v>شاغرة</v>
      </c>
      <c r="L72" s="27" t="str">
        <f>IF($M72="","",IFERROR(INDEX('العقود'!$F:$F,MATCH($M72,'العقود'!$A:$A,0)),""))</f>
        <v/>
      </c>
      <c r="M72" s="27" t="str">
        <f>IF($A72="","",IFERROR(INDEX('العقود'!$A:$A,MATCH($A72,'العقود'!$AO:$AO,0)),""))</f>
        <v/>
      </c>
      <c r="N72" s="28" t="str">
        <f>IF($M72="","",IFERROR(INDEX('العقود'!$U:$U,MATCH($M72,'العقود'!$A:$A,0)),""))</f>
        <v/>
      </c>
      <c r="O72" s="37">
        <f>IF(OR($A72="",$M72&lt;&gt;""),"",IF(COUNTIFS('العقود'!$B:$B,$A72,'العقود'!$H:$H,"&lt;"&amp;TODAY())=0,IF(ISNUMBER($I72),$I72,""),IFERROR(SUMPRODUCT(MAX(('العقود'!$B$2:$B$287=$A72)*('العقود'!$H$2:$H$287&lt;TODAY())*'العقود'!$H$2:$H$287))+1,"")))</f>
        <v>46296</v>
      </c>
      <c r="P72" s="34">
        <f>IF($O72="","",MAX(0,TODAY()-$O72))</f>
        <v>9</v>
      </c>
      <c r="Q72" s="37" t="str">
        <f>IF($M72="","",IFERROR(INDEX('العقود'!$H:$H,MATCH($M72,'العقود'!$A:$A,0)),""))</f>
        <v/>
      </c>
      <c r="R72" s="34" t="str">
        <f>IF($Q72="","",$Q72-TODAY())</f>
        <v/>
      </c>
    </row>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sheetData>
  <autoFilter ref="A1:R72"/>
  <dataValidations count="2">
    <dataValidation type="list" allowBlank="1" showErrorMessage="1" errorTitle="قيمة غير مسموحة" error="اختر من القائمة: تجارية / سكنية / إدارية / جراج" sqref="E10:E200">
      <formula1>"تجارية,سكنية,إدارية,جراج"</formula1>
    </dataValidation>
    <dataValidation type="list" allowBlank="1" showErrorMessage="1" errorTitle="قيمة غير مسموحة" error="اختر من القائمة: تجارية / سكنية / إدارية / جراج" sqref="E2:E200">
      <formula1>"تجارية,سكنية,إدارية,جراج"</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00"/>
  <sheetViews>
    <sheetView workbookViewId="0" rightToLeft="1">
      <pane xSplit="1" ySplit="1" topLeftCell="B2" activePane="bottomRight" state="frozen"/>
      <selection pane="bottomRight"/>
    </sheetView>
  </sheetViews>
  <sheetFormatPr defaultRowHeight="15" outlineLevelRow="0" outlineLevelCol="0" x14ac:dyDescent="55"/>
  <cols>
    <col min="1" max="1" width="12" customWidth="1"/>
    <col min="2" max="2" width="20" customWidth="1"/>
    <col min="3" max="3" width="10" customWidth="1"/>
    <col min="4" max="4" width="40" customWidth="1"/>
  </cols>
  <sheetData>
    <row r="1" ht="28" customHeight="1" spans="1:4" x14ac:dyDescent="0.25">
      <c r="A1" s="3" t="s">
        <v>27</v>
      </c>
      <c r="B1" s="3" t="s">
        <v>543</v>
      </c>
      <c r="C1" s="3" t="s">
        <v>544</v>
      </c>
      <c r="D1" s="3" t="s">
        <v>545</v>
      </c>
    </row>
    <row r="2" spans="3:3" x14ac:dyDescent="0.25"/>
    <row r="3" spans="3:3" x14ac:dyDescent="0.25"/>
    <row r="4" spans="3:3" x14ac:dyDescent="0.25"/>
    <row r="5" spans="3:3" x14ac:dyDescent="0.25"/>
    <row r="6" spans="3:3" x14ac:dyDescent="0.25"/>
    <row r="7" spans="3:3" x14ac:dyDescent="0.25"/>
    <row r="8" spans="3:3" x14ac:dyDescent="0.25"/>
    <row r="9" spans="3:3" x14ac:dyDescent="0.25"/>
    <row r="10" spans="3:3" x14ac:dyDescent="0.25"/>
    <row r="11" spans="3:3" x14ac:dyDescent="0.25"/>
    <row r="12" spans="3:3" x14ac:dyDescent="0.25"/>
    <row r="13" spans="3:3" x14ac:dyDescent="0.25"/>
    <row r="14" spans="3:3" x14ac:dyDescent="0.25"/>
    <row r="15" spans="3:3" x14ac:dyDescent="0.25"/>
    <row r="16" spans="3:3" x14ac:dyDescent="0.25"/>
    <row r="17" spans="3:3" x14ac:dyDescent="0.25"/>
    <row r="18" spans="3:3" x14ac:dyDescent="0.25"/>
    <row r="19" spans="3:3" x14ac:dyDescent="0.25"/>
    <row r="20" spans="3:3" x14ac:dyDescent="0.25"/>
    <row r="21" spans="3:3" x14ac:dyDescent="0.25"/>
    <row r="22" spans="3:3" x14ac:dyDescent="0.25"/>
    <row r="23" spans="3:3" x14ac:dyDescent="0.25"/>
    <row r="24" spans="3:3" x14ac:dyDescent="0.25"/>
    <row r="25" spans="3:3" x14ac:dyDescent="0.25"/>
    <row r="26" spans="3:3" x14ac:dyDescent="0.25"/>
    <row r="27" spans="3:3" x14ac:dyDescent="0.25"/>
    <row r="28" spans="3:3" x14ac:dyDescent="0.25"/>
    <row r="29" spans="3:3" x14ac:dyDescent="0.25"/>
    <row r="30" spans="3:3" x14ac:dyDescent="0.25"/>
    <row r="31" spans="3:3" x14ac:dyDescent="0.25"/>
    <row r="32" spans="3:3" x14ac:dyDescent="0.25"/>
    <row r="33" spans="3:3" x14ac:dyDescent="0.25"/>
    <row r="34" spans="3:3" x14ac:dyDescent="0.25"/>
    <row r="35" spans="3:3" x14ac:dyDescent="0.25"/>
    <row r="36" spans="3:3" x14ac:dyDescent="0.25"/>
    <row r="37" spans="3:3" x14ac:dyDescent="0.25"/>
    <row r="38" spans="3:3" x14ac:dyDescent="0.25"/>
    <row r="39" spans="3:3" x14ac:dyDescent="0.25"/>
    <row r="40" spans="3:3" x14ac:dyDescent="0.25"/>
    <row r="41" spans="3:3" x14ac:dyDescent="0.25"/>
    <row r="42" spans="3:3" x14ac:dyDescent="0.25"/>
    <row r="43" spans="3:3" x14ac:dyDescent="0.25"/>
    <row r="44" spans="3:3" x14ac:dyDescent="0.25"/>
    <row r="45" spans="3:3" x14ac:dyDescent="0.25"/>
    <row r="46" spans="3:3" x14ac:dyDescent="0.25"/>
    <row r="47" spans="3:3" x14ac:dyDescent="0.25"/>
    <row r="48" spans="3:3" x14ac:dyDescent="0.25"/>
    <row r="49" spans="3:3" x14ac:dyDescent="0.25"/>
    <row r="50" spans="3:3" x14ac:dyDescent="0.25"/>
    <row r="51" spans="3:3" x14ac:dyDescent="0.25"/>
    <row r="52" spans="3:3" x14ac:dyDescent="0.25"/>
    <row r="53" spans="3:3" x14ac:dyDescent="0.25"/>
    <row r="54" spans="3:3" x14ac:dyDescent="0.25"/>
    <row r="55" spans="3:3" x14ac:dyDescent="0.25"/>
    <row r="56" spans="3:3" x14ac:dyDescent="0.25"/>
    <row r="57" spans="3:3" x14ac:dyDescent="0.25"/>
    <row r="58" spans="3:3" x14ac:dyDescent="0.25"/>
    <row r="59" spans="3:3" x14ac:dyDescent="0.25"/>
    <row r="60" spans="3:3" x14ac:dyDescent="0.25"/>
    <row r="61" spans="3:3" x14ac:dyDescent="0.25"/>
    <row r="62" spans="3:3" x14ac:dyDescent="0.25"/>
    <row r="63" spans="3:3" x14ac:dyDescent="0.25"/>
    <row r="64" spans="3:3" x14ac:dyDescent="0.25"/>
    <row r="65" spans="3:3" x14ac:dyDescent="0.25"/>
    <row r="66" spans="3:3" x14ac:dyDescent="0.25"/>
    <row r="67" spans="3:3" x14ac:dyDescent="0.25"/>
    <row r="68" spans="3:3" x14ac:dyDescent="0.25"/>
    <row r="69" spans="3:3" x14ac:dyDescent="0.25"/>
    <row r="70" spans="3:3" x14ac:dyDescent="0.25"/>
    <row r="71" spans="3:3" x14ac:dyDescent="0.25"/>
    <row r="72" spans="3:3" x14ac:dyDescent="0.25"/>
    <row r="73" spans="3:3" x14ac:dyDescent="0.25"/>
    <row r="74" spans="3:3" x14ac:dyDescent="0.25"/>
    <row r="75" spans="3:3" x14ac:dyDescent="0.25"/>
    <row r="76" spans="3:3" x14ac:dyDescent="0.25"/>
    <row r="77" spans="3:3" x14ac:dyDescent="0.25"/>
    <row r="78" spans="3:3" x14ac:dyDescent="0.25"/>
    <row r="79" spans="3:3" x14ac:dyDescent="0.25"/>
    <row r="80" spans="3:3" x14ac:dyDescent="0.25"/>
    <row r="81" spans="3:3" x14ac:dyDescent="0.25"/>
    <row r="82" spans="3:3" x14ac:dyDescent="0.25"/>
    <row r="83" spans="3:3" x14ac:dyDescent="0.25"/>
    <row r="84" spans="3:3" x14ac:dyDescent="0.25"/>
    <row r="85" spans="3:3" x14ac:dyDescent="0.25"/>
    <row r="86" spans="3:3" x14ac:dyDescent="0.25"/>
    <row r="87" spans="3:3" x14ac:dyDescent="0.25"/>
    <row r="88" spans="3:3" x14ac:dyDescent="0.25"/>
    <row r="89" spans="3:3" x14ac:dyDescent="0.25"/>
    <row r="90" spans="3:3" x14ac:dyDescent="0.25"/>
    <row r="91" spans="3:3" x14ac:dyDescent="0.25"/>
    <row r="92" spans="3:3" x14ac:dyDescent="0.25"/>
    <row r="93" spans="3:3" x14ac:dyDescent="0.25"/>
    <row r="94" spans="3:3" x14ac:dyDescent="0.25"/>
    <row r="95" spans="3:3" x14ac:dyDescent="0.25"/>
    <row r="96" spans="3:3" x14ac:dyDescent="0.25"/>
    <row r="97" spans="3:3" x14ac:dyDescent="0.25"/>
    <row r="98" spans="3:3" x14ac:dyDescent="0.25"/>
    <row r="99" spans="3:3" x14ac:dyDescent="0.25"/>
    <row r="100" spans="3:3" x14ac:dyDescent="0.25"/>
    <row r="101" spans="3:3" x14ac:dyDescent="0.25"/>
    <row r="102" spans="3:3" x14ac:dyDescent="0.25"/>
    <row r="103" spans="3:3" x14ac:dyDescent="0.25"/>
    <row r="104" spans="3:3" x14ac:dyDescent="0.25"/>
    <row r="105" spans="3:3" x14ac:dyDescent="0.25"/>
    <row r="106" spans="3:3" x14ac:dyDescent="0.25"/>
    <row r="107" spans="3:3" x14ac:dyDescent="0.25"/>
    <row r="108" spans="3:3" x14ac:dyDescent="0.25"/>
    <row r="109" spans="3:3" x14ac:dyDescent="0.25"/>
    <row r="110" spans="3:3" x14ac:dyDescent="0.25"/>
    <row r="111" spans="3:3" x14ac:dyDescent="0.25"/>
    <row r="112" spans="3:3" x14ac:dyDescent="0.25"/>
    <row r="113" spans="3:3" x14ac:dyDescent="0.25"/>
    <row r="114" spans="3:3" x14ac:dyDescent="0.25"/>
    <row r="115" spans="3:3" x14ac:dyDescent="0.25"/>
    <row r="116" spans="3:3" x14ac:dyDescent="0.25"/>
    <row r="117" spans="3:3" x14ac:dyDescent="0.25"/>
    <row r="118" spans="3:3" x14ac:dyDescent="0.25"/>
    <row r="119" spans="3:3" x14ac:dyDescent="0.25"/>
    <row r="120" spans="3:3" x14ac:dyDescent="0.25"/>
    <row r="121" spans="3:3" x14ac:dyDescent="0.25"/>
    <row r="122" spans="3:3" x14ac:dyDescent="0.25"/>
    <row r="123" spans="3:3" x14ac:dyDescent="0.25"/>
    <row r="124" spans="3:3" x14ac:dyDescent="0.25"/>
    <row r="125" spans="3:3" x14ac:dyDescent="0.25"/>
    <row r="126" spans="3:3" x14ac:dyDescent="0.25"/>
    <row r="127" spans="3:3" x14ac:dyDescent="0.25"/>
    <row r="128" spans="3:3" x14ac:dyDescent="0.25"/>
    <row r="129" spans="3:3" x14ac:dyDescent="0.25"/>
    <row r="130" spans="3:3" x14ac:dyDescent="0.25"/>
    <row r="131" spans="3:3" x14ac:dyDescent="0.25"/>
    <row r="132" spans="3:3" x14ac:dyDescent="0.25"/>
    <row r="133" spans="3:3" x14ac:dyDescent="0.25"/>
    <row r="134" spans="3:3" x14ac:dyDescent="0.25"/>
    <row r="135" spans="3:3" x14ac:dyDescent="0.25"/>
    <row r="136" spans="3:3" x14ac:dyDescent="0.25"/>
    <row r="137" spans="3:3" x14ac:dyDescent="0.25"/>
    <row r="138" spans="3:3" x14ac:dyDescent="0.25"/>
    <row r="139" spans="3:3" x14ac:dyDescent="0.25"/>
    <row r="140" spans="3:3" x14ac:dyDescent="0.25"/>
    <row r="141" spans="3:3" x14ac:dyDescent="0.25"/>
    <row r="142" spans="3:3" x14ac:dyDescent="0.25"/>
    <row r="143" spans="3:3" x14ac:dyDescent="0.25"/>
    <row r="144" spans="3:3" x14ac:dyDescent="0.25"/>
    <row r="145" spans="3:3" x14ac:dyDescent="0.25"/>
    <row r="146" spans="3:3" x14ac:dyDescent="0.25"/>
    <row r="147" spans="3:3" x14ac:dyDescent="0.25"/>
    <row r="148" spans="3:3" x14ac:dyDescent="0.25"/>
    <row r="149" spans="3:3" x14ac:dyDescent="0.25"/>
    <row r="150" spans="3:3" x14ac:dyDescent="0.25"/>
    <row r="151" spans="3:3" x14ac:dyDescent="0.25"/>
    <row r="152" spans="3:3" x14ac:dyDescent="0.25"/>
    <row r="153" spans="3:3" x14ac:dyDescent="0.25"/>
    <row r="154" spans="3:3" x14ac:dyDescent="0.25"/>
    <row r="155" spans="3:3" x14ac:dyDescent="0.25"/>
    <row r="156" spans="3:3" x14ac:dyDescent="0.25"/>
    <row r="157" spans="3:3" x14ac:dyDescent="0.25"/>
    <row r="158" spans="3:3" x14ac:dyDescent="0.25"/>
    <row r="159" spans="3:3" x14ac:dyDescent="0.25"/>
    <row r="160" spans="3:3" x14ac:dyDescent="0.25"/>
    <row r="161" spans="3:3" x14ac:dyDescent="0.25"/>
    <row r="162" spans="3:3" x14ac:dyDescent="0.25"/>
    <row r="163" spans="3:3" x14ac:dyDescent="0.25"/>
    <row r="164" spans="3:3" x14ac:dyDescent="0.25"/>
    <row r="165" spans="3:3" x14ac:dyDescent="0.25"/>
    <row r="166" spans="3:3" x14ac:dyDescent="0.25"/>
    <row r="167" spans="3:3" x14ac:dyDescent="0.25"/>
    <row r="168" spans="3:3" x14ac:dyDescent="0.25"/>
    <row r="169" spans="3:3" x14ac:dyDescent="0.25"/>
    <row r="170" spans="3:3" x14ac:dyDescent="0.25"/>
    <row r="171" spans="3:3" x14ac:dyDescent="0.25"/>
    <row r="172" spans="3:3" x14ac:dyDescent="0.25"/>
    <row r="173" spans="3:3" x14ac:dyDescent="0.25"/>
    <row r="174" spans="3:3" x14ac:dyDescent="0.25"/>
    <row r="175" spans="3:3" x14ac:dyDescent="0.25"/>
    <row r="176" spans="3:3" x14ac:dyDescent="0.25"/>
    <row r="177" spans="3:3" x14ac:dyDescent="0.25"/>
    <row r="178" spans="3:3" x14ac:dyDescent="0.25"/>
    <row r="179" spans="3:3" x14ac:dyDescent="0.25"/>
    <row r="180" spans="3:3" x14ac:dyDescent="0.25"/>
    <row r="181" spans="3:3" x14ac:dyDescent="0.25"/>
    <row r="182" spans="3:3" x14ac:dyDescent="0.25"/>
    <row r="183" spans="3:3" x14ac:dyDescent="0.25"/>
    <row r="184" spans="3:3" x14ac:dyDescent="0.25"/>
    <row r="185" spans="3:3" x14ac:dyDescent="0.25"/>
    <row r="186" spans="3:3" x14ac:dyDescent="0.25"/>
    <row r="187" spans="3:3" x14ac:dyDescent="0.25"/>
    <row r="188" spans="3:3" x14ac:dyDescent="0.25"/>
    <row r="189" spans="3:3" x14ac:dyDescent="0.25"/>
    <row r="190" spans="3:3" x14ac:dyDescent="0.25"/>
    <row r="191" spans="3:3" x14ac:dyDescent="0.25"/>
    <row r="192" spans="3:3" x14ac:dyDescent="0.25"/>
    <row r="193" spans="3:3" x14ac:dyDescent="0.25"/>
    <row r="194" spans="3:3" x14ac:dyDescent="0.25"/>
    <row r="195" spans="3:3" x14ac:dyDescent="0.25"/>
    <row r="196" spans="3:3" x14ac:dyDescent="0.25"/>
    <row r="197" spans="3:3" x14ac:dyDescent="0.25"/>
    <row r="198" spans="3:3" x14ac:dyDescent="0.25"/>
    <row r="199" spans="3:3" x14ac:dyDescent="0.25"/>
    <row r="200" spans="3:3" x14ac:dyDescent="0.25"/>
    <row r="201" spans="3:3" x14ac:dyDescent="0.25"/>
    <row r="202" spans="3:3" x14ac:dyDescent="0.25"/>
    <row r="203" spans="3:3" x14ac:dyDescent="0.25"/>
    <row r="204" spans="3:3" x14ac:dyDescent="0.25"/>
    <row r="205" spans="3:3" x14ac:dyDescent="0.25"/>
    <row r="206" spans="3:3" x14ac:dyDescent="0.25"/>
    <row r="207" spans="3:3" x14ac:dyDescent="0.25"/>
    <row r="208" spans="3:3" x14ac:dyDescent="0.25"/>
    <row r="209" spans="3:3" x14ac:dyDescent="0.25"/>
    <row r="210" spans="3:3" x14ac:dyDescent="0.25"/>
    <row r="211" spans="3:3" x14ac:dyDescent="0.25"/>
    <row r="212" spans="3:3" x14ac:dyDescent="0.25"/>
    <row r="213" spans="3:3" x14ac:dyDescent="0.25"/>
    <row r="214" spans="3:3" x14ac:dyDescent="0.25"/>
    <row r="215" spans="3:3" x14ac:dyDescent="0.25"/>
    <row r="216" spans="3:3" x14ac:dyDescent="0.25"/>
    <row r="217" spans="3:3" x14ac:dyDescent="0.25"/>
    <row r="218" spans="3:3" x14ac:dyDescent="0.25"/>
    <row r="219" spans="3:3" x14ac:dyDescent="0.25"/>
    <row r="220" spans="3:3" x14ac:dyDescent="0.25"/>
    <row r="221" spans="3:3" x14ac:dyDescent="0.25"/>
    <row r="222" spans="3:3" x14ac:dyDescent="0.25"/>
    <row r="223" spans="3:3" x14ac:dyDescent="0.25"/>
    <row r="224" spans="3:3" x14ac:dyDescent="0.25"/>
    <row r="225" spans="3:3" x14ac:dyDescent="0.25"/>
    <row r="226" spans="3:3" x14ac:dyDescent="0.25"/>
    <row r="227" spans="3:3" x14ac:dyDescent="0.25"/>
    <row r="228" spans="3:3" x14ac:dyDescent="0.25"/>
    <row r="229" spans="3:3" x14ac:dyDescent="0.25"/>
    <row r="230" spans="3:3" x14ac:dyDescent="0.25"/>
    <row r="231" spans="3:3" x14ac:dyDescent="0.25"/>
    <row r="232" spans="3:3" x14ac:dyDescent="0.25"/>
    <row r="233" spans="3:3" x14ac:dyDescent="0.25"/>
    <row r="234" spans="3:3" x14ac:dyDescent="0.25"/>
    <row r="235" spans="3:3" x14ac:dyDescent="0.25"/>
    <row r="236" spans="3:3" x14ac:dyDescent="0.25"/>
    <row r="237" spans="3:3" x14ac:dyDescent="0.25"/>
    <row r="238" spans="3:3" x14ac:dyDescent="0.25"/>
    <row r="239" spans="3:3" x14ac:dyDescent="0.25"/>
    <row r="240" spans="3:3" x14ac:dyDescent="0.25"/>
    <row r="241" spans="3:3" x14ac:dyDescent="0.25"/>
    <row r="242" spans="3:3" x14ac:dyDescent="0.25"/>
    <row r="243" spans="3:3" x14ac:dyDescent="0.25"/>
    <row r="244" spans="3:3" x14ac:dyDescent="0.25"/>
    <row r="245" spans="3:3" x14ac:dyDescent="0.25"/>
    <row r="246" spans="3:3" x14ac:dyDescent="0.25"/>
    <row r="247" spans="3:3" x14ac:dyDescent="0.25"/>
    <row r="248" spans="3:3" x14ac:dyDescent="0.25"/>
    <row r="249" spans="3:3" x14ac:dyDescent="0.25"/>
    <row r="250" spans="3:3" x14ac:dyDescent="0.25"/>
    <row r="251" spans="3:3" x14ac:dyDescent="0.25"/>
    <row r="252" spans="3:3" x14ac:dyDescent="0.25"/>
    <row r="253" spans="3:3" x14ac:dyDescent="0.25"/>
    <row r="254" spans="3:3" x14ac:dyDescent="0.25"/>
    <row r="255" spans="3:3" x14ac:dyDescent="0.25"/>
    <row r="256" spans="3:3" x14ac:dyDescent="0.25"/>
    <row r="257" spans="3:3" x14ac:dyDescent="0.25"/>
    <row r="258" spans="3:3" x14ac:dyDescent="0.25"/>
    <row r="259" spans="3:3" x14ac:dyDescent="0.25"/>
    <row r="260" spans="3:3" x14ac:dyDescent="0.25"/>
    <row r="261" spans="3:3" x14ac:dyDescent="0.25"/>
    <row r="262" spans="3:3" x14ac:dyDescent="0.25"/>
    <row r="263" spans="3:3" x14ac:dyDescent="0.25"/>
    <row r="264" spans="3:3" x14ac:dyDescent="0.25"/>
    <row r="265" spans="3:3" x14ac:dyDescent="0.25"/>
    <row r="266" spans="3:3" x14ac:dyDescent="0.25"/>
    <row r="267" spans="3:3" x14ac:dyDescent="0.25"/>
    <row r="268" spans="3:3" x14ac:dyDescent="0.25"/>
    <row r="269" spans="3:3" x14ac:dyDescent="0.25"/>
    <row r="270" spans="3:3" x14ac:dyDescent="0.25"/>
    <row r="271" spans="3:3" x14ac:dyDescent="0.25"/>
    <row r="272" spans="3:3" x14ac:dyDescent="0.25"/>
    <row r="273" spans="3:3" x14ac:dyDescent="0.25"/>
    <row r="274" spans="3:3" x14ac:dyDescent="0.25"/>
    <row r="275" spans="3:3" x14ac:dyDescent="0.25"/>
    <row r="276" spans="3:3" x14ac:dyDescent="0.25"/>
    <row r="277" spans="3:3" x14ac:dyDescent="0.25"/>
    <row r="278" spans="3:3" x14ac:dyDescent="0.25"/>
    <row r="279" spans="3:3" x14ac:dyDescent="0.25"/>
    <row r="280" spans="3:3" x14ac:dyDescent="0.25"/>
    <row r="281" spans="3:3" x14ac:dyDescent="0.25"/>
    <row r="282" spans="3:3" x14ac:dyDescent="0.25"/>
    <row r="283" spans="3:3" x14ac:dyDescent="0.25"/>
    <row r="284" spans="3:3" x14ac:dyDescent="0.25"/>
    <row r="285" spans="3:3" x14ac:dyDescent="0.25"/>
    <row r="286" spans="3:3" x14ac:dyDescent="0.25"/>
    <row r="287" spans="3:3" x14ac:dyDescent="0.25"/>
    <row r="288" spans="3:3" x14ac:dyDescent="0.25"/>
    <row r="289" spans="3:3" x14ac:dyDescent="0.25"/>
    <row r="290" spans="3:3" x14ac:dyDescent="0.25"/>
    <row r="291" spans="3:3" x14ac:dyDescent="0.25"/>
    <row r="292" spans="3:3" x14ac:dyDescent="0.25"/>
    <row r="293" spans="3:3" x14ac:dyDescent="0.25"/>
    <row r="294" spans="3:3" x14ac:dyDescent="0.25"/>
    <row r="295" spans="3:3" x14ac:dyDescent="0.25"/>
    <row r="296" spans="3:3" x14ac:dyDescent="0.25"/>
    <row r="297" spans="3:3" x14ac:dyDescent="0.25"/>
    <row r="298" spans="3:3" x14ac:dyDescent="0.25"/>
    <row r="299" spans="3:3" x14ac:dyDescent="0.25"/>
    <row r="300" spans="3:3" x14ac:dyDescent="0.25"/>
    <row r="301" spans="3:3" x14ac:dyDescent="0.25"/>
    <row r="302" spans="3:3" x14ac:dyDescent="0.25"/>
    <row r="303" spans="3:3" x14ac:dyDescent="0.25"/>
    <row r="304" spans="3:3" x14ac:dyDescent="0.25"/>
    <row r="305" spans="3:3" x14ac:dyDescent="0.25"/>
    <row r="306" spans="3:3" x14ac:dyDescent="0.25"/>
    <row r="307" spans="3:3" x14ac:dyDescent="0.25"/>
    <row r="308" spans="3:3" x14ac:dyDescent="0.25"/>
    <row r="309" spans="3:3" x14ac:dyDescent="0.25"/>
    <row r="310" spans="3:3" x14ac:dyDescent="0.25"/>
    <row r="311" spans="3:3" x14ac:dyDescent="0.25"/>
    <row r="312" spans="3:3" x14ac:dyDescent="0.25"/>
    <row r="313" spans="3:3" x14ac:dyDescent="0.25"/>
    <row r="314" spans="3:3" x14ac:dyDescent="0.25"/>
    <row r="315" spans="3:3" x14ac:dyDescent="0.25"/>
    <row r="316" spans="3:3" x14ac:dyDescent="0.25"/>
    <row r="317" spans="3:3" x14ac:dyDescent="0.25"/>
    <row r="318" spans="3:3" x14ac:dyDescent="0.25"/>
    <row r="319" spans="3:3" x14ac:dyDescent="0.25"/>
    <row r="320" spans="3:3" x14ac:dyDescent="0.25"/>
    <row r="321" spans="3:3" x14ac:dyDescent="0.25"/>
    <row r="322" spans="3:3" x14ac:dyDescent="0.25"/>
    <row r="323" spans="3:3" x14ac:dyDescent="0.25"/>
    <row r="324" spans="3:3" x14ac:dyDescent="0.25"/>
    <row r="325" spans="3:3" x14ac:dyDescent="0.25"/>
    <row r="326" spans="3:3" x14ac:dyDescent="0.25"/>
    <row r="327" spans="3:3" x14ac:dyDescent="0.25"/>
    <row r="328" spans="3:3" x14ac:dyDescent="0.25"/>
    <row r="329" spans="3:3" x14ac:dyDescent="0.25"/>
    <row r="330" spans="3:3" x14ac:dyDescent="0.25"/>
    <row r="331" spans="3:3" x14ac:dyDescent="0.25"/>
    <row r="332" spans="3:3" x14ac:dyDescent="0.25"/>
    <row r="333" spans="3:3" x14ac:dyDescent="0.25"/>
    <row r="334" spans="3:3" x14ac:dyDescent="0.25"/>
    <row r="335" spans="3:3" x14ac:dyDescent="0.25"/>
    <row r="336" spans="3:3" x14ac:dyDescent="0.25"/>
    <row r="337" spans="3:3" x14ac:dyDescent="0.25"/>
    <row r="338" spans="3:3" x14ac:dyDescent="0.25"/>
    <row r="339" spans="3:3" x14ac:dyDescent="0.25"/>
    <row r="340" spans="3:3" x14ac:dyDescent="0.25"/>
    <row r="341" spans="3:3" x14ac:dyDescent="0.25"/>
    <row r="342" spans="3:3" x14ac:dyDescent="0.25"/>
    <row r="343" spans="3:3" x14ac:dyDescent="0.25"/>
    <row r="344" spans="3:3" x14ac:dyDescent="0.25"/>
    <row r="345" spans="3:3" x14ac:dyDescent="0.25"/>
    <row r="346" spans="3:3" x14ac:dyDescent="0.25"/>
    <row r="347" spans="3:3" x14ac:dyDescent="0.25"/>
    <row r="348" spans="3:3" x14ac:dyDescent="0.25"/>
    <row r="349" spans="3:3" x14ac:dyDescent="0.25"/>
    <row r="350" spans="3:3" x14ac:dyDescent="0.25"/>
    <row r="351" spans="3:3" x14ac:dyDescent="0.25"/>
    <row r="352" spans="3:3" x14ac:dyDescent="0.25"/>
    <row r="353" spans="3:3" x14ac:dyDescent="0.25"/>
    <row r="354" spans="3:3" x14ac:dyDescent="0.25"/>
    <row r="355" spans="3:3" x14ac:dyDescent="0.25"/>
    <row r="356" spans="3:3" x14ac:dyDescent="0.25"/>
    <row r="357" spans="3:3" x14ac:dyDescent="0.25"/>
    <row r="358" spans="3:3" x14ac:dyDescent="0.25"/>
    <row r="359" spans="3:3" x14ac:dyDescent="0.25"/>
    <row r="360" spans="3:3" x14ac:dyDescent="0.25"/>
    <row r="361" spans="3:3" x14ac:dyDescent="0.25"/>
    <row r="362" spans="3:3" x14ac:dyDescent="0.25"/>
    <row r="363" spans="3:3" x14ac:dyDescent="0.25"/>
    <row r="364" spans="3:3" x14ac:dyDescent="0.25"/>
    <row r="365" spans="3:3" x14ac:dyDescent="0.25"/>
    <row r="366" spans="3:3" x14ac:dyDescent="0.25"/>
    <row r="367" spans="3:3" x14ac:dyDescent="0.25"/>
    <row r="368" spans="3:3" x14ac:dyDescent="0.25"/>
    <row r="369" spans="3:3" x14ac:dyDescent="0.25"/>
    <row r="370" spans="3:3" x14ac:dyDescent="0.25"/>
    <row r="371" spans="3:3" x14ac:dyDescent="0.25"/>
    <row r="372" spans="3:3" x14ac:dyDescent="0.25"/>
    <row r="373" spans="3:3" x14ac:dyDescent="0.25"/>
    <row r="374" spans="3:3" x14ac:dyDescent="0.25"/>
    <row r="375" spans="3:3" x14ac:dyDescent="0.25"/>
    <row r="376" spans="3:3" x14ac:dyDescent="0.25"/>
    <row r="377" spans="3:3" x14ac:dyDescent="0.25"/>
    <row r="378" spans="3:3" x14ac:dyDescent="0.25"/>
    <row r="379" spans="3:3" x14ac:dyDescent="0.25"/>
    <row r="380" spans="3:3" x14ac:dyDescent="0.25"/>
    <row r="381" spans="3:3" x14ac:dyDescent="0.25"/>
    <row r="382" spans="3:3" x14ac:dyDescent="0.25"/>
    <row r="383" spans="3:3" x14ac:dyDescent="0.25"/>
    <row r="384" spans="3:3" x14ac:dyDescent="0.25"/>
    <row r="385" spans="3:3" x14ac:dyDescent="0.25"/>
    <row r="386" spans="3:3" x14ac:dyDescent="0.25"/>
    <row r="387" spans="3:3" x14ac:dyDescent="0.25"/>
    <row r="388" spans="3:3" x14ac:dyDescent="0.25"/>
    <row r="389" spans="3:3" x14ac:dyDescent="0.25"/>
    <row r="390" spans="3:3" x14ac:dyDescent="0.25"/>
    <row r="391" spans="3:3" x14ac:dyDescent="0.25"/>
    <row r="392" spans="3:3" x14ac:dyDescent="0.25"/>
    <row r="393" spans="3:3" x14ac:dyDescent="0.25"/>
    <row r="394" spans="3:3" x14ac:dyDescent="0.25"/>
    <row r="395" spans="3:3" x14ac:dyDescent="0.25"/>
    <row r="396" spans="3:3" x14ac:dyDescent="0.25"/>
    <row r="397" spans="3:3" x14ac:dyDescent="0.25"/>
    <row r="398" spans="3:3" x14ac:dyDescent="0.25"/>
    <row r="399" spans="3:3" x14ac:dyDescent="0.25"/>
    <row r="400" spans="3:3" x14ac:dyDescent="0.25"/>
  </sheetData>
  <autoFilter ref="A1:D2"/>
  <dataValidations count="2">
    <dataValidation type="list" allowBlank="1" showErrorMessage="1" errorTitle="قيمة غير مسموحة" error="اختر من القائمة: نعم / لا" sqref="C10:C400">
      <formula1>"نعم,لا"</formula1>
    </dataValidation>
    <dataValidation type="list" allowBlank="1" showErrorMessage="1" errorTitle="قيمة غير مسموحة" error="اختر من القائمة: نعم / لا" sqref="C2:C400">
      <formula1>"نعم,لا"</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200"/>
  <sheetViews>
    <sheetView workbookViewId="0" rightToLeft="1">
      <pane xSplit="1" ySplit="1" topLeftCell="B2" activePane="bottomRight" state="frozen"/>
      <selection pane="bottomRight"/>
    </sheetView>
  </sheetViews>
  <sheetFormatPr defaultRowHeight="15" outlineLevelRow="0" outlineLevelCol="0" x14ac:dyDescent="55"/>
  <cols>
    <col min="1" max="1" width="10" customWidth="1"/>
    <col min="2" max="2" width="34" customWidth="1"/>
    <col min="3" max="3" width="8" customWidth="1"/>
    <col min="4" max="4" width="28" customWidth="1"/>
    <col min="5" max="5" width="18" customWidth="1"/>
    <col min="6" max="8" width="14" customWidth="1"/>
    <col min="9" max="9" width="20" customWidth="1"/>
    <col min="10" max="10" width="26" customWidth="1"/>
    <col min="11" max="11" width="30" customWidth="1"/>
    <col min="12" max="12" width="12" customWidth="1"/>
    <col min="13" max="13" width="10" customWidth="1"/>
    <col min="14" max="14" width="12" customWidth="1"/>
    <col min="15" max="16" width="16" customWidth="1"/>
  </cols>
  <sheetData>
    <row r="1" ht="28" customHeight="1" spans="1:16" x14ac:dyDescent="0.25">
      <c r="A1" s="3" t="s">
        <v>28</v>
      </c>
      <c r="B1" s="3" t="s">
        <v>4</v>
      </c>
      <c r="C1" s="3" t="s">
        <v>520</v>
      </c>
      <c r="D1" s="3" t="s">
        <v>5</v>
      </c>
      <c r="E1" s="3" t="s">
        <v>11</v>
      </c>
      <c r="F1" s="3" t="s">
        <v>10</v>
      </c>
      <c r="G1" s="3" t="s">
        <v>546</v>
      </c>
      <c r="H1" s="3" t="s">
        <v>547</v>
      </c>
      <c r="I1" s="3" t="s">
        <v>548</v>
      </c>
      <c r="J1" s="3" t="s">
        <v>7</v>
      </c>
      <c r="K1" s="3" t="s">
        <v>25</v>
      </c>
      <c r="L1" s="3" t="s">
        <v>518</v>
      </c>
      <c r="M1" s="4" t="s">
        <v>549</v>
      </c>
      <c r="N1" s="4" t="s">
        <v>550</v>
      </c>
      <c r="O1" s="26" t="s">
        <v>515</v>
      </c>
      <c r="P1" s="4" t="s">
        <v>551</v>
      </c>
    </row>
    <row r="2" spans="1:16" x14ac:dyDescent="0.25">
      <c r="A2" t="s">
        <v>39</v>
      </c>
      <c r="B2" t="s">
        <v>31</v>
      </c>
      <c r="C2" t="s">
        <v>552</v>
      </c>
      <c r="D2" t="s">
        <v>32</v>
      </c>
      <c r="E2" s="38" t="s">
        <v>36</v>
      </c>
      <c r="F2" s="38" t="s">
        <v>35</v>
      </c>
      <c r="G2" s="38" t="s">
        <v>35</v>
      </c>
      <c r="H2" s="38" t="s">
        <v>35</v>
      </c>
      <c r="I2" t="s">
        <v>35</v>
      </c>
      <c r="J2" t="s">
        <v>35</v>
      </c>
      <c r="K2" t="s">
        <v>35</v>
      </c>
      <c r="L2" s="33"/>
      <c r="M2" s="34">
        <f>IF($A2="","",COUNTIF('العقود'!$C:$C,$A2))</f>
        <v>1</v>
      </c>
      <c r="N2" s="34">
        <f>IF($A2="","",COUNTIFS('العقود'!$C:$C,$A2,'العقود'!$T:$T,"ساري"))</f>
        <v>0</v>
      </c>
      <c r="O2" s="35">
        <f>IF($A2="","",SUMIFS('العقود'!$W:$W,'العقود'!$C:$C,$A2))</f>
        <v>0</v>
      </c>
      <c r="P2" s="28">
        <f>IF($A2="","",SUMIFS('العقود'!$V:$V,'العقود'!$C:$C,$A2))</f>
        <v>63525</v>
      </c>
    </row>
    <row r="3" spans="1:16" x14ac:dyDescent="0.25">
      <c r="A3" t="s">
        <v>46</v>
      </c>
      <c r="B3" t="s">
        <v>41</v>
      </c>
      <c r="C3" t="s">
        <v>553</v>
      </c>
      <c r="D3" t="s">
        <v>42</v>
      </c>
      <c r="E3" s="38" t="s">
        <v>43</v>
      </c>
      <c r="F3" s="38" t="s">
        <v>35</v>
      </c>
      <c r="G3" s="38" t="s">
        <v>35</v>
      </c>
      <c r="H3" s="38" t="s">
        <v>35</v>
      </c>
      <c r="I3" t="s">
        <v>35</v>
      </c>
      <c r="J3" t="s">
        <v>35</v>
      </c>
      <c r="K3" t="s">
        <v>35</v>
      </c>
      <c r="L3" s="33"/>
      <c r="M3" s="34">
        <f>IF($A3="","",COUNTIF('العقود'!$C:$C,$A3))</f>
        <v>1</v>
      </c>
      <c r="N3" s="34">
        <f>IF($A3="","",COUNTIFS('العقود'!$C:$C,$A3,'العقود'!$T:$T,"ساري"))</f>
        <v>0</v>
      </c>
      <c r="O3" s="35">
        <f>IF($A3="","",SUMIFS('العقود'!$W:$W,'العقود'!$C:$C,$A3))</f>
        <v>0</v>
      </c>
      <c r="P3" s="28">
        <f>IF($A3="","",SUMIFS('العقود'!$V:$V,'العقود'!$C:$C,$A3))</f>
        <v>122000</v>
      </c>
    </row>
    <row r="4" spans="1:16" x14ac:dyDescent="0.25">
      <c r="A4" t="s">
        <v>54</v>
      </c>
      <c r="B4" t="s">
        <v>47</v>
      </c>
      <c r="C4" t="s">
        <v>553</v>
      </c>
      <c r="D4" t="s">
        <v>48</v>
      </c>
      <c r="E4" s="38" t="s">
        <v>51</v>
      </c>
      <c r="F4" s="38" t="s">
        <v>50</v>
      </c>
      <c r="G4" s="38" t="s">
        <v>35</v>
      </c>
      <c r="H4" s="38" t="s">
        <v>35</v>
      </c>
      <c r="I4" t="s">
        <v>35</v>
      </c>
      <c r="J4" t="s">
        <v>35</v>
      </c>
      <c r="K4" t="s">
        <v>35</v>
      </c>
      <c r="L4" s="33"/>
      <c r="M4" s="34">
        <f>IF($A4="","",COUNTIF('العقود'!$C:$C,$A4))</f>
        <v>2</v>
      </c>
      <c r="N4" s="34">
        <f>IF($A4="","",COUNTIFS('العقود'!$C:$C,$A4,'العقود'!$T:$T,"ساري"))</f>
        <v>2</v>
      </c>
      <c r="O4" s="35">
        <f>IF($A4="","",SUMIFS('العقود'!$W:$W,'العقود'!$C:$C,$A4))</f>
        <v>0</v>
      </c>
      <c r="P4" s="28">
        <f>IF($A4="","",SUMIFS('العقود'!$V:$V,'العقود'!$C:$C,$A4))</f>
        <v>1094793</v>
      </c>
    </row>
    <row r="5" spans="1:16" x14ac:dyDescent="0.25">
      <c r="A5" t="s">
        <v>61</v>
      </c>
      <c r="B5" t="s">
        <v>55</v>
      </c>
      <c r="C5" t="s">
        <v>553</v>
      </c>
      <c r="D5" t="s">
        <v>56</v>
      </c>
      <c r="E5" s="38" t="s">
        <v>58</v>
      </c>
      <c r="F5" s="38" t="s">
        <v>35</v>
      </c>
      <c r="G5" s="38" t="s">
        <v>35</v>
      </c>
      <c r="H5" s="38" t="s">
        <v>35</v>
      </c>
      <c r="I5" t="s">
        <v>35</v>
      </c>
      <c r="J5" t="s">
        <v>35</v>
      </c>
      <c r="K5" t="s">
        <v>35</v>
      </c>
      <c r="L5" s="33"/>
      <c r="M5" s="34">
        <f>IF($A5="","",COUNTIF('العقود'!$C:$C,$A5))</f>
        <v>1</v>
      </c>
      <c r="N5" s="34">
        <f>IF($A5="","",COUNTIFS('العقود'!$C:$C,$A5,'العقود'!$T:$T,"ساري"))</f>
        <v>0</v>
      </c>
      <c r="O5" s="35">
        <f>IF($A5="","",SUMIFS('العقود'!$W:$W,'العقود'!$C:$C,$A5))</f>
        <v>0</v>
      </c>
      <c r="P5" s="28">
        <f>IF($A5="","",SUMIFS('العقود'!$V:$V,'العقود'!$C:$C,$A5))</f>
        <v>209000</v>
      </c>
    </row>
    <row r="6" spans="1:16" x14ac:dyDescent="0.25">
      <c r="A6" t="s">
        <v>72</v>
      </c>
      <c r="B6" t="s">
        <v>65</v>
      </c>
      <c r="C6" t="s">
        <v>553</v>
      </c>
      <c r="D6" t="s">
        <v>66</v>
      </c>
      <c r="E6" s="38" t="s">
        <v>69</v>
      </c>
      <c r="F6" s="38" t="s">
        <v>68</v>
      </c>
      <c r="G6" s="38" t="s">
        <v>35</v>
      </c>
      <c r="H6" s="38" t="s">
        <v>35</v>
      </c>
      <c r="I6" t="s">
        <v>35</v>
      </c>
      <c r="J6" t="s">
        <v>35</v>
      </c>
      <c r="K6" t="s">
        <v>35</v>
      </c>
      <c r="L6" s="33"/>
      <c r="M6" s="34">
        <f>IF($A6="","",COUNTIF('العقود'!$C:$C,$A6))</f>
        <v>1</v>
      </c>
      <c r="N6" s="34">
        <f>IF($A6="","",COUNTIFS('العقود'!$C:$C,$A6,'العقود'!$T:$T,"ساري"))</f>
        <v>0</v>
      </c>
      <c r="O6" s="35">
        <f>IF($A6="","",SUMIFS('العقود'!$W:$W,'العقود'!$C:$C,$A6))</f>
        <v>0</v>
      </c>
      <c r="P6" s="28">
        <f>IF($A6="","",SUMIFS('العقود'!$V:$V,'العقود'!$C:$C,$A6))</f>
        <v>255840</v>
      </c>
    </row>
    <row r="7" spans="1:16" x14ac:dyDescent="0.25">
      <c r="A7" t="s">
        <v>78</v>
      </c>
      <c r="B7" t="s">
        <v>73</v>
      </c>
      <c r="C7" t="s">
        <v>552</v>
      </c>
      <c r="D7" t="s">
        <v>35</v>
      </c>
      <c r="E7" s="38" t="s">
        <v>75</v>
      </c>
      <c r="F7" s="38" t="s">
        <v>35</v>
      </c>
      <c r="G7" s="38" t="s">
        <v>35</v>
      </c>
      <c r="H7" s="38" t="s">
        <v>35</v>
      </c>
      <c r="I7" t="s">
        <v>35</v>
      </c>
      <c r="J7" t="s">
        <v>35</v>
      </c>
      <c r="K7" t="s">
        <v>35</v>
      </c>
      <c r="L7" s="33"/>
      <c r="M7" s="34">
        <f>IF($A7="","",COUNTIF('العقود'!$C:$C,$A7))</f>
        <v>1</v>
      </c>
      <c r="N7" s="34">
        <f>IF($A7="","",COUNTIFS('العقود'!$C:$C,$A7,'العقود'!$T:$T,"ساري"))</f>
        <v>0</v>
      </c>
      <c r="O7" s="35">
        <f>IF($A7="","",SUMIFS('العقود'!$W:$W,'العقود'!$C:$C,$A7))</f>
        <v>0</v>
      </c>
      <c r="P7" s="28">
        <f>IF($A7="","",SUMIFS('العقود'!$V:$V,'العقود'!$C:$C,$A7))</f>
        <v>72990</v>
      </c>
    </row>
    <row r="8" spans="1:16" x14ac:dyDescent="0.25">
      <c r="A8" t="s">
        <v>88</v>
      </c>
      <c r="B8" t="s">
        <v>80</v>
      </c>
      <c r="C8" t="s">
        <v>553</v>
      </c>
      <c r="D8" t="s">
        <v>81</v>
      </c>
      <c r="E8" s="38" t="s">
        <v>85</v>
      </c>
      <c r="F8" s="38" t="s">
        <v>84</v>
      </c>
      <c r="G8" s="38" t="s">
        <v>35</v>
      </c>
      <c r="H8" s="38" t="s">
        <v>35</v>
      </c>
      <c r="I8" t="s">
        <v>35</v>
      </c>
      <c r="J8" t="s">
        <v>35</v>
      </c>
      <c r="K8" t="s">
        <v>35</v>
      </c>
      <c r="L8" s="33"/>
      <c r="M8" s="34">
        <f>IF($A8="","",COUNTIF('العقود'!$C:$C,$A8))</f>
        <v>1</v>
      </c>
      <c r="N8" s="34">
        <f>IF($A8="","",COUNTIFS('العقود'!$C:$C,$A8,'العقود'!$T:$T,"ساري"))</f>
        <v>1</v>
      </c>
      <c r="O8" s="35">
        <f>IF($A8="","",SUMIFS('العقود'!$W:$W,'العقود'!$C:$C,$A8))</f>
        <v>0</v>
      </c>
      <c r="P8" s="28">
        <f>IF($A8="","",SUMIFS('العقود'!$V:$V,'العقود'!$C:$C,$A8))</f>
        <v>343035</v>
      </c>
    </row>
    <row r="9" spans="1:16" x14ac:dyDescent="0.25">
      <c r="A9" t="s">
        <v>97</v>
      </c>
      <c r="B9" t="s">
        <v>90</v>
      </c>
      <c r="C9" t="s">
        <v>553</v>
      </c>
      <c r="D9" t="s">
        <v>91</v>
      </c>
      <c r="E9" s="38" t="s">
        <v>94</v>
      </c>
      <c r="F9" s="38" t="s">
        <v>93</v>
      </c>
      <c r="G9" s="38" t="s">
        <v>35</v>
      </c>
      <c r="H9" s="38" t="s">
        <v>35</v>
      </c>
      <c r="I9" t="s">
        <v>35</v>
      </c>
      <c r="J9" t="s">
        <v>35</v>
      </c>
      <c r="K9" t="s">
        <v>35</v>
      </c>
      <c r="L9" s="33"/>
      <c r="M9" s="34">
        <f>IF($A9="","",COUNTIF('العقود'!$C:$C,$A9))</f>
        <v>1</v>
      </c>
      <c r="N9" s="34">
        <f>IF($A9="","",COUNTIFS('العقود'!$C:$C,$A9,'العقود'!$T:$T,"ساري"))</f>
        <v>1</v>
      </c>
      <c r="O9" s="35">
        <f>IF($A9="","",SUMIFS('العقود'!$W:$W,'العقود'!$C:$C,$A9))</f>
        <v>0</v>
      </c>
      <c r="P9" s="28">
        <f>IF($A9="","",SUMIFS('العقود'!$V:$V,'العقود'!$C:$C,$A9))</f>
        <v>203280</v>
      </c>
    </row>
    <row r="10" spans="1:16" x14ac:dyDescent="0.25">
      <c r="A10" t="s">
        <v>105</v>
      </c>
      <c r="B10" t="s">
        <v>98</v>
      </c>
      <c r="C10" t="s">
        <v>553</v>
      </c>
      <c r="D10" t="s">
        <v>99</v>
      </c>
      <c r="E10" s="38" t="s">
        <v>102</v>
      </c>
      <c r="F10" s="38" t="s">
        <v>101</v>
      </c>
      <c r="G10" s="38" t="s">
        <v>35</v>
      </c>
      <c r="H10" s="38" t="s">
        <v>35</v>
      </c>
      <c r="I10" t="s">
        <v>35</v>
      </c>
      <c r="J10" t="s">
        <v>35</v>
      </c>
      <c r="K10" t="s">
        <v>35</v>
      </c>
      <c r="L10" s="33"/>
      <c r="M10" s="34">
        <f>IF($A10="","",COUNTIF('العقود'!$C:$C,$A10))</f>
        <v>1</v>
      </c>
      <c r="N10" s="34">
        <f>IF($A10="","",COUNTIFS('العقود'!$C:$C,$A10,'العقود'!$T:$T,"ساري"))</f>
        <v>1</v>
      </c>
      <c r="O10" s="35">
        <f>IF($A10="","",SUMIFS('العقود'!$W:$W,'العقود'!$C:$C,$A10))</f>
        <v>0</v>
      </c>
      <c r="P10" s="28">
        <f>IF($A10="","",SUMIFS('العقود'!$V:$V,'العقود'!$C:$C,$A10))</f>
        <v>372680</v>
      </c>
    </row>
    <row r="11" spans="1:16" x14ac:dyDescent="0.25">
      <c r="A11" t="s">
        <v>112</v>
      </c>
      <c r="B11" t="s">
        <v>106</v>
      </c>
      <c r="C11" t="s">
        <v>552</v>
      </c>
      <c r="D11" t="s">
        <v>35</v>
      </c>
      <c r="E11" s="38" t="s">
        <v>108</v>
      </c>
      <c r="F11" s="38" t="s">
        <v>35</v>
      </c>
      <c r="G11" s="38" t="s">
        <v>35</v>
      </c>
      <c r="H11" s="38" t="s">
        <v>35</v>
      </c>
      <c r="I11" t="s">
        <v>35</v>
      </c>
      <c r="J11" t="s">
        <v>35</v>
      </c>
      <c r="K11" t="s">
        <v>35</v>
      </c>
      <c r="L11" s="33"/>
      <c r="M11" s="34">
        <f>IF($A11="","",COUNTIF('العقود'!$C:$C,$A11))</f>
        <v>2</v>
      </c>
      <c r="N11" s="34">
        <f>IF($A11="","",COUNTIFS('العقود'!$C:$C,$A11,'العقود'!$T:$T,"ساري"))</f>
        <v>1</v>
      </c>
      <c r="O11" s="35">
        <f>IF($A11="","",SUMIFS('العقود'!$W:$W,'العقود'!$C:$C,$A11))</f>
        <v>0</v>
      </c>
      <c r="P11" s="28">
        <f>IF($A11="","",SUMIFS('العقود'!$V:$V,'العقود'!$C:$C,$A11))</f>
        <v>239960</v>
      </c>
    </row>
    <row r="12" spans="1:16" x14ac:dyDescent="0.25">
      <c r="A12" t="s">
        <v>119</v>
      </c>
      <c r="B12" t="s">
        <v>114</v>
      </c>
      <c r="C12" t="s">
        <v>552</v>
      </c>
      <c r="D12" t="s">
        <v>35</v>
      </c>
      <c r="E12" s="38" t="s">
        <v>116</v>
      </c>
      <c r="F12" s="38" t="s">
        <v>35</v>
      </c>
      <c r="G12" s="38" t="s">
        <v>35</v>
      </c>
      <c r="H12" s="38" t="s">
        <v>35</v>
      </c>
      <c r="I12" t="s">
        <v>35</v>
      </c>
      <c r="J12" t="s">
        <v>35</v>
      </c>
      <c r="K12" t="s">
        <v>35</v>
      </c>
      <c r="L12" s="33"/>
      <c r="M12" s="34">
        <f>IF($A12="","",COUNTIF('العقود'!$C:$C,$A12))</f>
        <v>2</v>
      </c>
      <c r="N12" s="34">
        <f>IF($A12="","",COUNTIFS('العقود'!$C:$C,$A12,'العقود'!$T:$T,"ساري"))</f>
        <v>1</v>
      </c>
      <c r="O12" s="35">
        <f>IF($A12="","",SUMIFS('العقود'!$W:$W,'العقود'!$C:$C,$A12))</f>
        <v>1000</v>
      </c>
      <c r="P12" s="28">
        <f>IF($A12="","",SUMIFS('العقود'!$V:$V,'العقود'!$C:$C,$A12))</f>
        <v>293000</v>
      </c>
    </row>
    <row r="13" spans="1:16" x14ac:dyDescent="0.25">
      <c r="A13" t="s">
        <v>128</v>
      </c>
      <c r="B13" t="s">
        <v>121</v>
      </c>
      <c r="C13" t="s">
        <v>553</v>
      </c>
      <c r="D13" t="s">
        <v>122</v>
      </c>
      <c r="E13" s="38" t="s">
        <v>125</v>
      </c>
      <c r="F13" s="38" t="s">
        <v>124</v>
      </c>
      <c r="G13" s="38" t="s">
        <v>35</v>
      </c>
      <c r="H13" s="38" t="s">
        <v>35</v>
      </c>
      <c r="I13" t="s">
        <v>35</v>
      </c>
      <c r="J13" t="s">
        <v>35</v>
      </c>
      <c r="K13" t="s">
        <v>35</v>
      </c>
      <c r="L13" s="33"/>
      <c r="M13" s="34">
        <f>IF($A13="","",COUNTIF('العقود'!$C:$C,$A13))</f>
        <v>2</v>
      </c>
      <c r="N13" s="34">
        <f>IF($A13="","",COUNTIFS('العقود'!$C:$C,$A13,'العقود'!$T:$T,"ساري"))</f>
        <v>2</v>
      </c>
      <c r="O13" s="35">
        <f>IF($A13="","",SUMIFS('العقود'!$W:$W,'العقود'!$C:$C,$A13))</f>
        <v>0</v>
      </c>
      <c r="P13" s="28">
        <f>IF($A13="","",SUMIFS('العقود'!$V:$V,'العقود'!$C:$C,$A13))</f>
        <v>557910</v>
      </c>
    </row>
    <row r="14" spans="1:16" x14ac:dyDescent="0.25">
      <c r="A14" t="s">
        <v>138</v>
      </c>
      <c r="B14" t="s">
        <v>132</v>
      </c>
      <c r="C14" t="s">
        <v>552</v>
      </c>
      <c r="D14" t="s">
        <v>133</v>
      </c>
      <c r="E14" s="38" t="s">
        <v>135</v>
      </c>
      <c r="F14" s="38" t="s">
        <v>35</v>
      </c>
      <c r="G14" s="38" t="s">
        <v>35</v>
      </c>
      <c r="H14" s="38" t="s">
        <v>35</v>
      </c>
      <c r="I14" t="s">
        <v>35</v>
      </c>
      <c r="J14" t="s">
        <v>35</v>
      </c>
      <c r="K14" t="s">
        <v>35</v>
      </c>
      <c r="L14" s="33"/>
      <c r="M14" s="34">
        <f>IF($A14="","",COUNTIF('العقود'!$C:$C,$A14))</f>
        <v>1</v>
      </c>
      <c r="N14" s="34">
        <f>IF($A14="","",COUNTIFS('العقود'!$C:$C,$A14,'العقود'!$T:$T,"ساري"))</f>
        <v>1</v>
      </c>
      <c r="O14" s="35">
        <f>IF($A14="","",SUMIFS('العقود'!$W:$W,'العقود'!$C:$C,$A14))</f>
        <v>1640</v>
      </c>
      <c r="P14" s="28">
        <f>IF($A14="","",SUMIFS('العقود'!$V:$V,'العقود'!$C:$C,$A14))</f>
        <v>299680</v>
      </c>
    </row>
    <row r="15" spans="1:16" x14ac:dyDescent="0.25">
      <c r="A15" t="s">
        <v>145</v>
      </c>
      <c r="B15" t="s">
        <v>139</v>
      </c>
      <c r="C15" t="s">
        <v>552</v>
      </c>
      <c r="D15" t="s">
        <v>140</v>
      </c>
      <c r="E15" s="38" t="s">
        <v>142</v>
      </c>
      <c r="F15" s="38" t="s">
        <v>35</v>
      </c>
      <c r="G15" s="38" t="s">
        <v>35</v>
      </c>
      <c r="H15" s="38" t="s">
        <v>35</v>
      </c>
      <c r="I15" t="s">
        <v>35</v>
      </c>
      <c r="J15" t="s">
        <v>35</v>
      </c>
      <c r="K15" t="s">
        <v>35</v>
      </c>
      <c r="L15" s="33"/>
      <c r="M15" s="34">
        <f>IF($A15="","",COUNTIF('العقود'!$C:$C,$A15))</f>
        <v>1</v>
      </c>
      <c r="N15" s="34">
        <f>IF($A15="","",COUNTIFS('العقود'!$C:$C,$A15,'العقود'!$T:$T,"ساري"))</f>
        <v>1</v>
      </c>
      <c r="O15" s="35">
        <f>IF($A15="","",SUMIFS('العقود'!$W:$W,'العقود'!$C:$C,$A15))</f>
        <v>0</v>
      </c>
      <c r="P15" s="28">
        <f>IF($A15="","",SUMIFS('العقود'!$V:$V,'العقود'!$C:$C,$A15))</f>
        <v>242000</v>
      </c>
    </row>
    <row r="16" spans="1:16" x14ac:dyDescent="0.25">
      <c r="A16" t="s">
        <v>151</v>
      </c>
      <c r="B16" t="s">
        <v>146</v>
      </c>
      <c r="C16" t="s">
        <v>552</v>
      </c>
      <c r="D16" t="s">
        <v>35</v>
      </c>
      <c r="E16" s="38" t="s">
        <v>148</v>
      </c>
      <c r="F16" s="38" t="s">
        <v>35</v>
      </c>
      <c r="G16" s="38" t="s">
        <v>35</v>
      </c>
      <c r="H16" s="38" t="s">
        <v>35</v>
      </c>
      <c r="I16" t="s">
        <v>35</v>
      </c>
      <c r="J16" t="s">
        <v>35</v>
      </c>
      <c r="K16" t="s">
        <v>35</v>
      </c>
      <c r="L16" s="33"/>
      <c r="M16" s="34">
        <f>IF($A16="","",COUNTIF('العقود'!$C:$C,$A16))</f>
        <v>1</v>
      </c>
      <c r="N16" s="34">
        <f>IF($A16="","",COUNTIFS('العقود'!$C:$C,$A16,'العقود'!$T:$T,"ساري"))</f>
        <v>0</v>
      </c>
      <c r="O16" s="35">
        <f>IF($A16="","",SUMIFS('العقود'!$W:$W,'العقود'!$C:$C,$A16))</f>
        <v>0</v>
      </c>
      <c r="P16" s="28">
        <f>IF($A16="","",SUMIFS('العقود'!$V:$V,'العقود'!$C:$C,$A16))</f>
        <v>152480</v>
      </c>
    </row>
    <row r="17" spans="1:16" x14ac:dyDescent="0.25">
      <c r="A17" t="s">
        <v>158</v>
      </c>
      <c r="B17" t="s">
        <v>152</v>
      </c>
      <c r="C17" t="s">
        <v>552</v>
      </c>
      <c r="D17" t="s">
        <v>153</v>
      </c>
      <c r="E17" s="38" t="s">
        <v>155</v>
      </c>
      <c r="F17" s="38" t="s">
        <v>35</v>
      </c>
      <c r="G17" s="38" t="s">
        <v>35</v>
      </c>
      <c r="H17" s="38" t="s">
        <v>35</v>
      </c>
      <c r="I17" t="s">
        <v>35</v>
      </c>
      <c r="J17" t="s">
        <v>35</v>
      </c>
      <c r="K17" t="s">
        <v>35</v>
      </c>
      <c r="L17" s="33"/>
      <c r="M17" s="34">
        <f>IF($A17="","",COUNTIF('العقود'!$C:$C,$A17))</f>
        <v>1</v>
      </c>
      <c r="N17" s="34">
        <f>IF($A17="","",COUNTIFS('العقود'!$C:$C,$A17,'العقود'!$T:$T,"ساري"))</f>
        <v>0</v>
      </c>
      <c r="O17" s="35">
        <f>IF($A17="","",SUMIFS('العقود'!$W:$W,'العقود'!$C:$C,$A17))</f>
        <v>0</v>
      </c>
      <c r="P17" s="28">
        <f>IF($A17="","",SUMIFS('العقود'!$V:$V,'العقود'!$C:$C,$A17))</f>
        <v>164560</v>
      </c>
    </row>
    <row r="18" spans="1:16" x14ac:dyDescent="0.25">
      <c r="A18" t="s">
        <v>164</v>
      </c>
      <c r="B18" t="s">
        <v>159</v>
      </c>
      <c r="C18" t="s">
        <v>552</v>
      </c>
      <c r="D18" t="s">
        <v>35</v>
      </c>
      <c r="E18" s="38" t="s">
        <v>161</v>
      </c>
      <c r="F18" s="38" t="s">
        <v>35</v>
      </c>
      <c r="G18" s="38" t="s">
        <v>35</v>
      </c>
      <c r="H18" s="38" t="s">
        <v>35</v>
      </c>
      <c r="I18" t="s">
        <v>35</v>
      </c>
      <c r="J18" t="s">
        <v>35</v>
      </c>
      <c r="K18" t="s">
        <v>35</v>
      </c>
      <c r="L18" s="33"/>
      <c r="M18" s="34">
        <f>IF($A18="","",COUNTIF('العقود'!$C:$C,$A18))</f>
        <v>1</v>
      </c>
      <c r="N18" s="34">
        <f>IF($A18="","",COUNTIFS('العقود'!$C:$C,$A18,'العقود'!$T:$T,"ساري"))</f>
        <v>1</v>
      </c>
      <c r="O18" s="35">
        <f>IF($A18="","",SUMIFS('العقود'!$W:$W,'العقود'!$C:$C,$A18))</f>
        <v>0</v>
      </c>
      <c r="P18" s="28">
        <f>IF($A18="","",SUMIFS('العقود'!$V:$V,'العقود'!$C:$C,$A18))</f>
        <v>203280</v>
      </c>
    </row>
    <row r="19" spans="1:16" x14ac:dyDescent="0.25">
      <c r="A19" t="s">
        <v>173</v>
      </c>
      <c r="B19" t="s">
        <v>166</v>
      </c>
      <c r="C19" t="s">
        <v>553</v>
      </c>
      <c r="D19" t="s">
        <v>167</v>
      </c>
      <c r="E19" s="38" t="s">
        <v>170</v>
      </c>
      <c r="F19" s="38" t="s">
        <v>169</v>
      </c>
      <c r="G19" s="38" t="s">
        <v>35</v>
      </c>
      <c r="H19" s="38" t="s">
        <v>35</v>
      </c>
      <c r="I19" t="s">
        <v>35</v>
      </c>
      <c r="J19" t="s">
        <v>35</v>
      </c>
      <c r="K19" t="s">
        <v>35</v>
      </c>
      <c r="L19" s="33"/>
      <c r="M19" s="34">
        <f>IF($A19="","",COUNTIF('العقود'!$C:$C,$A19))</f>
        <v>1</v>
      </c>
      <c r="N19" s="34">
        <f>IF($A19="","",COUNTIFS('العقود'!$C:$C,$A19,'العقود'!$T:$T,"ساري"))</f>
        <v>1</v>
      </c>
      <c r="O19" s="35">
        <f>IF($A19="","",SUMIFS('العقود'!$W:$W,'العقود'!$C:$C,$A19))</f>
        <v>0</v>
      </c>
      <c r="P19" s="28">
        <f>IF($A19="","",SUMIFS('العقود'!$V:$V,'العقود'!$C:$C,$A19))</f>
        <v>329670</v>
      </c>
    </row>
    <row r="20" spans="1:16" x14ac:dyDescent="0.25">
      <c r="A20" t="s">
        <v>179</v>
      </c>
      <c r="B20" t="s">
        <v>175</v>
      </c>
      <c r="C20" t="s">
        <v>553</v>
      </c>
      <c r="D20" t="s">
        <v>167</v>
      </c>
      <c r="E20" s="38" t="s">
        <v>170</v>
      </c>
      <c r="F20" s="38" t="s">
        <v>176</v>
      </c>
      <c r="G20" s="38" t="s">
        <v>35</v>
      </c>
      <c r="H20" s="38" t="s">
        <v>35</v>
      </c>
      <c r="I20" t="s">
        <v>35</v>
      </c>
      <c r="J20" t="s">
        <v>35</v>
      </c>
      <c r="K20" t="s">
        <v>35</v>
      </c>
      <c r="L20" s="33"/>
      <c r="M20" s="34">
        <f>IF($A20="","",COUNTIF('العقود'!$C:$C,$A20))</f>
        <v>1</v>
      </c>
      <c r="N20" s="34">
        <f>IF($A20="","",COUNTIFS('العقود'!$C:$C,$A20,'العقود'!$T:$T,"ساري"))</f>
        <v>1</v>
      </c>
      <c r="O20" s="35">
        <f>IF($A20="","",SUMIFS('العقود'!$W:$W,'العقود'!$C:$C,$A20))</f>
        <v>0</v>
      </c>
      <c r="P20" s="28">
        <f>IF($A20="","",SUMIFS('العقود'!$V:$V,'العقود'!$C:$C,$A20))</f>
        <v>329670</v>
      </c>
    </row>
    <row r="21" spans="1:16" x14ac:dyDescent="0.25">
      <c r="A21" t="s">
        <v>185</v>
      </c>
      <c r="B21" t="s">
        <v>180</v>
      </c>
      <c r="C21" t="s">
        <v>552</v>
      </c>
      <c r="D21" t="s">
        <v>35</v>
      </c>
      <c r="E21" s="38" t="s">
        <v>182</v>
      </c>
      <c r="F21" s="38" t="s">
        <v>35</v>
      </c>
      <c r="G21" s="38" t="s">
        <v>35</v>
      </c>
      <c r="H21" s="38" t="s">
        <v>35</v>
      </c>
      <c r="I21" t="s">
        <v>35</v>
      </c>
      <c r="J21" t="s">
        <v>35</v>
      </c>
      <c r="K21" t="s">
        <v>35</v>
      </c>
      <c r="L21" s="33"/>
      <c r="M21" s="34">
        <f>IF($A21="","",COUNTIF('العقود'!$C:$C,$A21))</f>
        <v>5</v>
      </c>
      <c r="N21" s="34">
        <f>IF($A21="","",COUNTIFS('العقود'!$C:$C,$A21,'العقود'!$T:$T,"ساري"))</f>
        <v>3</v>
      </c>
      <c r="O21" s="35">
        <f>IF($A21="","",SUMIFS('العقود'!$W:$W,'العقود'!$C:$C,$A21))</f>
        <v>14000</v>
      </c>
      <c r="P21" s="28">
        <f>IF($A21="","",SUMIFS('العقود'!$V:$V,'العقود'!$C:$C,$A21))</f>
        <v>375000</v>
      </c>
    </row>
    <row r="22" spans="1:16" x14ac:dyDescent="0.25">
      <c r="A22" t="s">
        <v>192</v>
      </c>
      <c r="B22" t="s">
        <v>187</v>
      </c>
      <c r="C22" t="s">
        <v>552</v>
      </c>
      <c r="D22" t="s">
        <v>35</v>
      </c>
      <c r="E22" s="38" t="s">
        <v>189</v>
      </c>
      <c r="F22" s="38" t="s">
        <v>35</v>
      </c>
      <c r="G22" s="38" t="s">
        <v>35</v>
      </c>
      <c r="H22" s="38" t="s">
        <v>35</v>
      </c>
      <c r="I22" t="s">
        <v>35</v>
      </c>
      <c r="J22" t="s">
        <v>35</v>
      </c>
      <c r="K22" t="s">
        <v>35</v>
      </c>
      <c r="L22" s="33"/>
      <c r="M22" s="34">
        <f>IF($A22="","",COUNTIF('العقود'!$C:$C,$A22))</f>
        <v>1</v>
      </c>
      <c r="N22" s="34">
        <f>IF($A22="","",COUNTIFS('العقود'!$C:$C,$A22,'العقود'!$T:$T,"ساري"))</f>
        <v>1</v>
      </c>
      <c r="O22" s="35">
        <f>IF($A22="","",SUMIFS('العقود'!$W:$W,'العقود'!$C:$C,$A22))</f>
        <v>0</v>
      </c>
      <c r="P22" s="28">
        <f>IF($A22="","",SUMIFS('العقود'!$V:$V,'العقود'!$C:$C,$A22))</f>
        <v>56000</v>
      </c>
    </row>
    <row r="23" spans="1:16" x14ac:dyDescent="0.25">
      <c r="A23" t="s">
        <v>198</v>
      </c>
      <c r="B23" t="s">
        <v>193</v>
      </c>
      <c r="C23" t="s">
        <v>552</v>
      </c>
      <c r="D23" t="s">
        <v>35</v>
      </c>
      <c r="E23" s="38" t="s">
        <v>195</v>
      </c>
      <c r="F23" s="38" t="s">
        <v>35</v>
      </c>
      <c r="G23" s="38" t="s">
        <v>35</v>
      </c>
      <c r="H23" s="38" t="s">
        <v>35</v>
      </c>
      <c r="I23" t="s">
        <v>35</v>
      </c>
      <c r="J23" t="s">
        <v>35</v>
      </c>
      <c r="K23" t="s">
        <v>35</v>
      </c>
      <c r="L23" s="33"/>
      <c r="M23" s="34">
        <f>IF($A23="","",COUNTIF('العقود'!$C:$C,$A23))</f>
        <v>2</v>
      </c>
      <c r="N23" s="34">
        <f>IF($A23="","",COUNTIFS('العقود'!$C:$C,$A23,'العقود'!$T:$T,"ساري"))</f>
        <v>1</v>
      </c>
      <c r="O23" s="35">
        <f>IF($A23="","",SUMIFS('العقود'!$W:$W,'العقود'!$C:$C,$A23))</f>
        <v>0</v>
      </c>
      <c r="P23" s="28">
        <f>IF($A23="","",SUMIFS('العقود'!$V:$V,'العقود'!$C:$C,$A23))</f>
        <v>108000</v>
      </c>
    </row>
    <row r="24" spans="1:16" x14ac:dyDescent="0.25">
      <c r="A24" t="s">
        <v>209</v>
      </c>
      <c r="B24" t="s">
        <v>204</v>
      </c>
      <c r="C24" t="s">
        <v>552</v>
      </c>
      <c r="D24" t="s">
        <v>35</v>
      </c>
      <c r="E24" s="38" t="s">
        <v>206</v>
      </c>
      <c r="F24" s="38" t="s">
        <v>35</v>
      </c>
      <c r="G24" s="38" t="s">
        <v>35</v>
      </c>
      <c r="H24" s="38" t="s">
        <v>35</v>
      </c>
      <c r="I24" t="s">
        <v>35</v>
      </c>
      <c r="J24" t="s">
        <v>35</v>
      </c>
      <c r="K24" t="s">
        <v>35</v>
      </c>
      <c r="L24" s="33"/>
      <c r="M24" s="34">
        <f>IF($A24="","",COUNTIF('العقود'!$C:$C,$A24))</f>
        <v>7</v>
      </c>
      <c r="N24" s="34">
        <f>IF($A24="","",COUNTIFS('العقود'!$C:$C,$A24,'العقود'!$T:$T,"ساري"))</f>
        <v>4</v>
      </c>
      <c r="O24" s="35">
        <f>IF($A24="","",SUMIFS('العقود'!$W:$W,'العقود'!$C:$C,$A24))</f>
        <v>0</v>
      </c>
      <c r="P24" s="28">
        <f>IF($A24="","",SUMIFS('العقود'!$V:$V,'العقود'!$C:$C,$A24))</f>
        <v>256000</v>
      </c>
    </row>
    <row r="25" spans="1:16" x14ac:dyDescent="0.25">
      <c r="A25" t="s">
        <v>224</v>
      </c>
      <c r="B25" t="s">
        <v>218</v>
      </c>
      <c r="C25" t="s">
        <v>553</v>
      </c>
      <c r="D25" t="s">
        <v>219</v>
      </c>
      <c r="E25" s="38" t="s">
        <v>221</v>
      </c>
      <c r="F25" s="38" t="s">
        <v>35</v>
      </c>
      <c r="G25" s="38" t="s">
        <v>35</v>
      </c>
      <c r="H25" s="38" t="s">
        <v>35</v>
      </c>
      <c r="I25" t="s">
        <v>35</v>
      </c>
      <c r="J25" t="s">
        <v>35</v>
      </c>
      <c r="K25" t="s">
        <v>35</v>
      </c>
      <c r="L25" s="33"/>
      <c r="M25" s="34">
        <f>IF($A25="","",COUNTIF('العقود'!$C:$C,$A25))</f>
        <v>1</v>
      </c>
      <c r="N25" s="34">
        <f>IF($A25="","",COUNTIFS('العقود'!$C:$C,$A25,'العقود'!$T:$T,"ساري"))</f>
        <v>0</v>
      </c>
      <c r="O25" s="35">
        <f>IF($A25="","",SUMIFS('العقود'!$W:$W,'العقود'!$C:$C,$A25))</f>
        <v>0</v>
      </c>
      <c r="P25" s="28">
        <f>IF($A25="","",SUMIFS('العقود'!$V:$V,'العقود'!$C:$C,$A25))</f>
        <v>57475</v>
      </c>
    </row>
    <row r="26" spans="1:16" x14ac:dyDescent="0.25">
      <c r="A26" t="s">
        <v>230</v>
      </c>
      <c r="B26" t="s">
        <v>225</v>
      </c>
      <c r="C26" t="s">
        <v>552</v>
      </c>
      <c r="D26" t="s">
        <v>226</v>
      </c>
      <c r="E26" s="38" t="s">
        <v>227</v>
      </c>
      <c r="F26" s="38" t="s">
        <v>35</v>
      </c>
      <c r="G26" s="38" t="s">
        <v>35</v>
      </c>
      <c r="H26" s="38" t="s">
        <v>35</v>
      </c>
      <c r="I26" t="s">
        <v>35</v>
      </c>
      <c r="J26" t="s">
        <v>35</v>
      </c>
      <c r="K26" t="s">
        <v>35</v>
      </c>
      <c r="L26" s="33"/>
      <c r="M26" s="34">
        <f>IF($A26="","",COUNTIF('العقود'!$C:$C,$A26))</f>
        <v>1</v>
      </c>
      <c r="N26" s="34">
        <f>IF($A26="","",COUNTIFS('العقود'!$C:$C,$A26,'العقود'!$T:$T,"ساري"))</f>
        <v>0</v>
      </c>
      <c r="O26" s="35">
        <f>IF($A26="","",SUMIFS('العقود'!$W:$W,'العقود'!$C:$C,$A26))</f>
        <v>0</v>
      </c>
      <c r="P26" s="28">
        <f>IF($A26="","",SUMIFS('العقود'!$V:$V,'العقود'!$C:$C,$A26))</f>
        <v>132000</v>
      </c>
    </row>
    <row r="27" spans="1:16" x14ac:dyDescent="0.25">
      <c r="A27" t="s">
        <v>237</v>
      </c>
      <c r="B27" t="s">
        <v>231</v>
      </c>
      <c r="C27" t="s">
        <v>552</v>
      </c>
      <c r="D27" t="s">
        <v>232</v>
      </c>
      <c r="E27" s="38" t="s">
        <v>234</v>
      </c>
      <c r="F27" s="38" t="s">
        <v>35</v>
      </c>
      <c r="G27" s="38" t="s">
        <v>35</v>
      </c>
      <c r="H27" s="38" t="s">
        <v>35</v>
      </c>
      <c r="I27" t="s">
        <v>35</v>
      </c>
      <c r="J27" t="s">
        <v>35</v>
      </c>
      <c r="K27" t="s">
        <v>35</v>
      </c>
      <c r="L27" s="33"/>
      <c r="M27" s="34">
        <f>IF($A27="","",COUNTIF('العقود'!$C:$C,$A27))</f>
        <v>1</v>
      </c>
      <c r="N27" s="34">
        <f>IF($A27="","",COUNTIFS('العقود'!$C:$C,$A27,'العقود'!$T:$T,"ساري"))</f>
        <v>0</v>
      </c>
      <c r="O27" s="35">
        <f>IF($A27="","",SUMIFS('العقود'!$W:$W,'العقود'!$C:$C,$A27))</f>
        <v>0</v>
      </c>
      <c r="P27" s="28">
        <f>IF($A27="","",SUMIFS('العقود'!$V:$V,'العقود'!$C:$C,$A27))</f>
        <v>75000</v>
      </c>
    </row>
    <row r="28" spans="1:16" x14ac:dyDescent="0.25">
      <c r="A28" t="s">
        <v>242</v>
      </c>
      <c r="B28" t="s">
        <v>238</v>
      </c>
      <c r="C28" t="s">
        <v>552</v>
      </c>
      <c r="D28" t="s">
        <v>239</v>
      </c>
      <c r="E28" s="38" t="s">
        <v>240</v>
      </c>
      <c r="F28" s="38" t="s">
        <v>35</v>
      </c>
      <c r="G28" s="38" t="s">
        <v>35</v>
      </c>
      <c r="H28" s="38" t="s">
        <v>35</v>
      </c>
      <c r="I28" t="s">
        <v>35</v>
      </c>
      <c r="J28" t="s">
        <v>35</v>
      </c>
      <c r="K28" t="s">
        <v>35</v>
      </c>
      <c r="L28" s="33"/>
      <c r="M28" s="34">
        <f>IF($A28="","",COUNTIF('العقود'!$C:$C,$A28))</f>
        <v>1</v>
      </c>
      <c r="N28" s="34">
        <f>IF($A28="","",COUNTIFS('العقود'!$C:$C,$A28,'العقود'!$T:$T,"ساري"))</f>
        <v>1</v>
      </c>
      <c r="O28" s="35">
        <f>IF($A28="","",SUMIFS('العقود'!$W:$W,'العقود'!$C:$C,$A28))</f>
        <v>0</v>
      </c>
      <c r="P28" s="28">
        <f>IF($A28="","",SUMIFS('العقود'!$V:$V,'العقود'!$C:$C,$A28))</f>
        <v>29000</v>
      </c>
    </row>
    <row r="29" spans="1:16" x14ac:dyDescent="0.25">
      <c r="A29" t="s">
        <v>248</v>
      </c>
      <c r="B29" t="s">
        <v>243</v>
      </c>
      <c r="C29" t="s">
        <v>552</v>
      </c>
      <c r="D29" t="s">
        <v>35</v>
      </c>
      <c r="E29" s="38" t="s">
        <v>245</v>
      </c>
      <c r="F29" s="38" t="s">
        <v>35</v>
      </c>
      <c r="G29" s="38" t="s">
        <v>35</v>
      </c>
      <c r="H29" s="38" t="s">
        <v>35</v>
      </c>
      <c r="I29" t="s">
        <v>35</v>
      </c>
      <c r="J29" t="s">
        <v>35</v>
      </c>
      <c r="K29" t="s">
        <v>35</v>
      </c>
      <c r="L29" s="33"/>
      <c r="M29" s="34">
        <f>IF($A29="","",COUNTIF('العقود'!$C:$C,$A29))</f>
        <v>1</v>
      </c>
      <c r="N29" s="34">
        <f>IF($A29="","",COUNTIFS('العقود'!$C:$C,$A29,'العقود'!$T:$T,"ساري"))</f>
        <v>1</v>
      </c>
      <c r="O29" s="35">
        <f>IF($A29="","",SUMIFS('العقود'!$W:$W,'العقود'!$C:$C,$A29))</f>
        <v>0</v>
      </c>
      <c r="P29" s="28">
        <f>IF($A29="","",SUMIFS('العقود'!$V:$V,'العقود'!$C:$C,$A29))</f>
        <v>112000</v>
      </c>
    </row>
    <row r="30" spans="1:16" x14ac:dyDescent="0.25">
      <c r="A30" t="s">
        <v>255</v>
      </c>
      <c r="B30" t="s">
        <v>249</v>
      </c>
      <c r="C30" t="s">
        <v>553</v>
      </c>
      <c r="D30" t="s">
        <v>250</v>
      </c>
      <c r="E30" s="38" t="s">
        <v>252</v>
      </c>
      <c r="F30" s="38" t="s">
        <v>35</v>
      </c>
      <c r="G30" s="38" t="s">
        <v>35</v>
      </c>
      <c r="H30" s="38" t="s">
        <v>35</v>
      </c>
      <c r="I30" t="s">
        <v>35</v>
      </c>
      <c r="J30" t="s">
        <v>35</v>
      </c>
      <c r="K30" t="s">
        <v>35</v>
      </c>
      <c r="L30" s="33"/>
      <c r="M30" s="34">
        <f>IF($A30="","",COUNTIF('العقود'!$C:$C,$A30))</f>
        <v>1</v>
      </c>
      <c r="N30" s="34">
        <f>IF($A30="","",COUNTIFS('العقود'!$C:$C,$A30,'العقود'!$T:$T,"ساري"))</f>
        <v>0</v>
      </c>
      <c r="O30" s="35">
        <f>IF($A30="","",SUMIFS('العقود'!$W:$W,'العقود'!$C:$C,$A30))</f>
        <v>0</v>
      </c>
      <c r="P30" s="28">
        <f>IF($A30="","",SUMIFS('العقود'!$V:$V,'العقود'!$C:$C,$A30))</f>
        <v>132000</v>
      </c>
    </row>
    <row r="31" spans="1:16" x14ac:dyDescent="0.25">
      <c r="A31" t="s">
        <v>262</v>
      </c>
      <c r="B31" t="s">
        <v>256</v>
      </c>
      <c r="C31" t="s">
        <v>552</v>
      </c>
      <c r="D31" t="s">
        <v>257</v>
      </c>
      <c r="E31" s="38" t="s">
        <v>259</v>
      </c>
      <c r="F31" s="38" t="s">
        <v>35</v>
      </c>
      <c r="G31" s="38" t="s">
        <v>35</v>
      </c>
      <c r="H31" s="38" t="s">
        <v>35</v>
      </c>
      <c r="I31" t="s">
        <v>35</v>
      </c>
      <c r="J31" t="s">
        <v>35</v>
      </c>
      <c r="K31" t="s">
        <v>35</v>
      </c>
      <c r="L31" s="33"/>
      <c r="M31" s="34">
        <f>IF($A31="","",COUNTIF('العقود'!$C:$C,$A31))</f>
        <v>1</v>
      </c>
      <c r="N31" s="34">
        <f>IF($A31="","",COUNTIFS('العقود'!$C:$C,$A31,'العقود'!$T:$T,"ساري"))</f>
        <v>1</v>
      </c>
      <c r="O31" s="35">
        <f>IF($A31="","",SUMIFS('العقود'!$W:$W,'العقود'!$C:$C,$A31))</f>
        <v>0</v>
      </c>
      <c r="P31" s="28">
        <f>IF($A31="","",SUMIFS('العقود'!$V:$V,'العقود'!$C:$C,$A31))</f>
        <v>80000</v>
      </c>
    </row>
    <row r="32" spans="1:16" x14ac:dyDescent="0.25">
      <c r="A32" t="s">
        <v>270</v>
      </c>
      <c r="B32" t="s">
        <v>263</v>
      </c>
      <c r="C32" t="s">
        <v>553</v>
      </c>
      <c r="D32" t="s">
        <v>264</v>
      </c>
      <c r="E32" s="38" t="s">
        <v>267</v>
      </c>
      <c r="F32" s="38" t="s">
        <v>266</v>
      </c>
      <c r="G32" s="38" t="s">
        <v>35</v>
      </c>
      <c r="H32" s="38" t="s">
        <v>35</v>
      </c>
      <c r="I32" t="s">
        <v>35</v>
      </c>
      <c r="J32" t="s">
        <v>35</v>
      </c>
      <c r="K32" t="s">
        <v>35</v>
      </c>
      <c r="L32" s="33"/>
      <c r="M32" s="34">
        <f>IF($A32="","",COUNTIF('العقود'!$C:$C,$A32))</f>
        <v>1</v>
      </c>
      <c r="N32" s="34">
        <f>IF($A32="","",COUNTIFS('العقود'!$C:$C,$A32,'العقود'!$T:$T,"ساري"))</f>
        <v>1</v>
      </c>
      <c r="O32" s="35">
        <f>IF($A32="","",SUMIFS('العقود'!$W:$W,'العقود'!$C:$C,$A32))</f>
        <v>0</v>
      </c>
      <c r="P32" s="28">
        <f>IF($A32="","",SUMIFS('العقود'!$V:$V,'العقود'!$C:$C,$A32))</f>
        <v>163625</v>
      </c>
    </row>
    <row r="33" spans="1:16" x14ac:dyDescent="0.25">
      <c r="A33" t="s">
        <v>275</v>
      </c>
      <c r="B33" t="s">
        <v>271</v>
      </c>
      <c r="C33" t="s">
        <v>552</v>
      </c>
      <c r="D33" t="s">
        <v>35</v>
      </c>
      <c r="E33" s="38" t="s">
        <v>272</v>
      </c>
      <c r="F33" s="38" t="s">
        <v>35</v>
      </c>
      <c r="G33" s="38" t="s">
        <v>35</v>
      </c>
      <c r="H33" s="38" t="s">
        <v>35</v>
      </c>
      <c r="I33" t="s">
        <v>35</v>
      </c>
      <c r="J33" t="s">
        <v>35</v>
      </c>
      <c r="K33" t="s">
        <v>35</v>
      </c>
      <c r="L33" s="33"/>
      <c r="M33" s="34">
        <f>IF($A33="","",COUNTIF('العقود'!$C:$C,$A33))</f>
        <v>1</v>
      </c>
      <c r="N33" s="34">
        <f>IF($A33="","",COUNTIFS('العقود'!$C:$C,$A33,'العقود'!$T:$T,"ساري"))</f>
        <v>0</v>
      </c>
      <c r="O33" s="35">
        <f>IF($A33="","",SUMIFS('العقود'!$W:$W,'العقود'!$C:$C,$A33))</f>
        <v>51000</v>
      </c>
      <c r="P33" s="28">
        <f>IF($A33="","",SUMIFS('العقود'!$V:$V,'العقود'!$C:$C,$A33))</f>
        <v>85000</v>
      </c>
    </row>
    <row r="34" spans="1:16" x14ac:dyDescent="0.25">
      <c r="A34" t="s">
        <v>281</v>
      </c>
      <c r="B34" t="s">
        <v>276</v>
      </c>
      <c r="C34" t="s">
        <v>552</v>
      </c>
      <c r="D34" t="s">
        <v>35</v>
      </c>
      <c r="E34" s="38" t="s">
        <v>278</v>
      </c>
      <c r="F34" s="38" t="s">
        <v>277</v>
      </c>
      <c r="G34" s="38" t="s">
        <v>35</v>
      </c>
      <c r="H34" s="38" t="s">
        <v>35</v>
      </c>
      <c r="I34" t="s">
        <v>35</v>
      </c>
      <c r="J34" t="s">
        <v>35</v>
      </c>
      <c r="K34" t="s">
        <v>35</v>
      </c>
      <c r="L34" s="33"/>
      <c r="M34" s="34">
        <f>IF($A34="","",COUNTIF('العقود'!$C:$C,$A34))</f>
        <v>1</v>
      </c>
      <c r="N34" s="34">
        <f>IF($A34="","",COUNTIFS('العقود'!$C:$C,$A34,'العقود'!$T:$T,"ساري"))</f>
        <v>0</v>
      </c>
      <c r="O34" s="35">
        <f>IF($A34="","",SUMIFS('العقود'!$W:$W,'العقود'!$C:$C,$A34))</f>
        <v>0</v>
      </c>
      <c r="P34" s="28">
        <f>IF($A34="","",SUMIFS('العقود'!$V:$V,'العقود'!$C:$C,$A34))</f>
        <v>136000</v>
      </c>
    </row>
    <row r="35" spans="1:16" x14ac:dyDescent="0.25">
      <c r="A35" t="s">
        <v>288</v>
      </c>
      <c r="B35" t="s">
        <v>284</v>
      </c>
      <c r="C35" t="s">
        <v>552</v>
      </c>
      <c r="D35" t="s">
        <v>35</v>
      </c>
      <c r="E35" s="38" t="s">
        <v>285</v>
      </c>
      <c r="F35" s="38" t="s">
        <v>35</v>
      </c>
      <c r="G35" s="38" t="s">
        <v>35</v>
      </c>
      <c r="H35" s="38" t="s">
        <v>35</v>
      </c>
      <c r="I35" t="s">
        <v>35</v>
      </c>
      <c r="J35" t="s">
        <v>35</v>
      </c>
      <c r="K35" t="s">
        <v>35</v>
      </c>
      <c r="L35" s="33"/>
      <c r="M35" s="34">
        <f>IF($A35="","",COUNTIF('العقود'!$C:$C,$A35))</f>
        <v>1</v>
      </c>
      <c r="N35" s="34">
        <f>IF($A35="","",COUNTIFS('العقود'!$C:$C,$A35,'العقود'!$T:$T,"ساري"))</f>
        <v>0</v>
      </c>
      <c r="O35" s="35">
        <f>IF($A35="","",SUMIFS('العقود'!$W:$W,'العقود'!$C:$C,$A35))</f>
        <v>2522</v>
      </c>
      <c r="P35" s="28">
        <f>IF($A35="","",SUMIFS('العقود'!$V:$V,'العقود'!$C:$C,$A35))</f>
        <v>7565</v>
      </c>
    </row>
    <row r="36" spans="1:16" x14ac:dyDescent="0.25">
      <c r="A36" t="s">
        <v>292</v>
      </c>
      <c r="B36" t="s">
        <v>289</v>
      </c>
      <c r="C36" t="s">
        <v>552</v>
      </c>
      <c r="D36" t="s">
        <v>35</v>
      </c>
      <c r="E36" s="38" t="s">
        <v>290</v>
      </c>
      <c r="F36" s="38" t="s">
        <v>35</v>
      </c>
      <c r="G36" s="38" t="s">
        <v>35</v>
      </c>
      <c r="H36" s="38" t="s">
        <v>35</v>
      </c>
      <c r="I36" t="s">
        <v>35</v>
      </c>
      <c r="J36" t="s">
        <v>35</v>
      </c>
      <c r="K36" t="s">
        <v>35</v>
      </c>
      <c r="L36" s="33"/>
      <c r="M36" s="34">
        <f>IF($A36="","",COUNTIF('العقود'!$C:$C,$A36))</f>
        <v>1</v>
      </c>
      <c r="N36" s="34">
        <f>IF($A36="","",COUNTIFS('العقود'!$C:$C,$A36,'العقود'!$T:$T,"ساري"))</f>
        <v>1</v>
      </c>
      <c r="O36" s="35">
        <f>IF($A36="","",SUMIFS('العقود'!$W:$W,'العقود'!$C:$C,$A36))</f>
        <v>0</v>
      </c>
      <c r="P36" s="28">
        <f>IF($A36="","",SUMIFS('العقود'!$V:$V,'العقود'!$C:$C,$A36))</f>
        <v>14000</v>
      </c>
    </row>
    <row r="37" spans="1:16" x14ac:dyDescent="0.25">
      <c r="A37" t="s">
        <v>300</v>
      </c>
      <c r="B37" t="s">
        <v>293</v>
      </c>
      <c r="C37" t="s">
        <v>553</v>
      </c>
      <c r="D37" t="s">
        <v>294</v>
      </c>
      <c r="E37" s="38" t="s">
        <v>297</v>
      </c>
      <c r="F37" s="38" t="s">
        <v>296</v>
      </c>
      <c r="G37" s="38" t="s">
        <v>35</v>
      </c>
      <c r="H37" s="38" t="s">
        <v>35</v>
      </c>
      <c r="I37" t="s">
        <v>35</v>
      </c>
      <c r="J37" t="s">
        <v>35</v>
      </c>
      <c r="K37" t="s">
        <v>35</v>
      </c>
      <c r="L37" s="33"/>
      <c r="M37" s="34">
        <f>IF($A37="","",COUNTIF('العقود'!$C:$C,$A37))</f>
        <v>1</v>
      </c>
      <c r="N37" s="34">
        <f>IF($A37="","",COUNTIFS('العقود'!$C:$C,$A37,'العقود'!$T:$T,"ساري"))</f>
        <v>1</v>
      </c>
      <c r="O37" s="35">
        <f>IF($A37="","",SUMIFS('العقود'!$W:$W,'العقود'!$C:$C,$A37))</f>
        <v>0</v>
      </c>
      <c r="P37" s="28">
        <f>IF($A37="","",SUMIFS('العقود'!$V:$V,'العقود'!$C:$C,$A37))</f>
        <v>92000</v>
      </c>
    </row>
    <row r="38" spans="1:16" x14ac:dyDescent="0.25">
      <c r="A38" t="s">
        <v>306</v>
      </c>
      <c r="B38" t="s">
        <v>301</v>
      </c>
      <c r="C38" t="s">
        <v>552</v>
      </c>
      <c r="D38" t="s">
        <v>35</v>
      </c>
      <c r="E38" s="38" t="s">
        <v>303</v>
      </c>
      <c r="F38" s="38" t="s">
        <v>35</v>
      </c>
      <c r="G38" s="38" t="s">
        <v>35</v>
      </c>
      <c r="H38" s="38" t="s">
        <v>35</v>
      </c>
      <c r="I38" t="s">
        <v>35</v>
      </c>
      <c r="J38" t="s">
        <v>35</v>
      </c>
      <c r="K38" t="s">
        <v>35</v>
      </c>
      <c r="L38" s="33"/>
      <c r="M38" s="34">
        <f>IF($A38="","",COUNTIF('العقود'!$C:$C,$A38))</f>
        <v>1</v>
      </c>
      <c r="N38" s="34">
        <f>IF($A38="","",COUNTIFS('العقود'!$C:$C,$A38,'العقود'!$T:$T,"ساري"))</f>
        <v>1</v>
      </c>
      <c r="O38" s="35">
        <f>IF($A38="","",SUMIFS('العقود'!$W:$W,'العقود'!$C:$C,$A38))</f>
        <v>0</v>
      </c>
      <c r="P38" s="28">
        <f>IF($A38="","",SUMIFS('العقود'!$V:$V,'العقود'!$C:$C,$A38))</f>
        <v>89560</v>
      </c>
    </row>
    <row r="39" spans="1:16" x14ac:dyDescent="0.25">
      <c r="A39" t="s">
        <v>313</v>
      </c>
      <c r="B39" t="s">
        <v>307</v>
      </c>
      <c r="C39" t="s">
        <v>552</v>
      </c>
      <c r="D39" t="s">
        <v>308</v>
      </c>
      <c r="E39" s="38" t="s">
        <v>310</v>
      </c>
      <c r="F39" s="38" t="s">
        <v>35</v>
      </c>
      <c r="G39" s="38" t="s">
        <v>35</v>
      </c>
      <c r="H39" s="38" t="s">
        <v>35</v>
      </c>
      <c r="I39" t="s">
        <v>35</v>
      </c>
      <c r="J39" t="s">
        <v>35</v>
      </c>
      <c r="K39" t="s">
        <v>35</v>
      </c>
      <c r="L39" s="33"/>
      <c r="M39" s="34">
        <f>IF($A39="","",COUNTIF('العقود'!$C:$C,$A39))</f>
        <v>1</v>
      </c>
      <c r="N39" s="34">
        <f>IF($A39="","",COUNTIFS('العقود'!$C:$C,$A39,'العقود'!$T:$T,"ساري"))</f>
        <v>1</v>
      </c>
      <c r="O39" s="35">
        <f>IF($A39="","",SUMIFS('العقود'!$W:$W,'العقود'!$C:$C,$A39))</f>
        <v>0</v>
      </c>
      <c r="P39" s="28">
        <f>IF($A39="","",SUMIFS('العقود'!$V:$V,'العقود'!$C:$C,$A39))</f>
        <v>96800</v>
      </c>
    </row>
    <row r="40" spans="1:16" x14ac:dyDescent="0.25">
      <c r="A40" t="s">
        <v>320</v>
      </c>
      <c r="B40" t="s">
        <v>314</v>
      </c>
      <c r="C40" t="s">
        <v>553</v>
      </c>
      <c r="D40" t="s">
        <v>315</v>
      </c>
      <c r="E40" s="38" t="s">
        <v>317</v>
      </c>
      <c r="F40" s="38" t="s">
        <v>316</v>
      </c>
      <c r="G40" s="38" t="s">
        <v>35</v>
      </c>
      <c r="H40" s="38" t="s">
        <v>35</v>
      </c>
      <c r="I40" t="s">
        <v>35</v>
      </c>
      <c r="J40" t="s">
        <v>35</v>
      </c>
      <c r="K40" t="s">
        <v>35</v>
      </c>
      <c r="L40" s="33"/>
      <c r="M40" s="34">
        <f>IF($A40="","",COUNTIF('العقود'!$C:$C,$A40))</f>
        <v>1</v>
      </c>
      <c r="N40" s="34">
        <f>IF($A40="","",COUNTIFS('العقود'!$C:$C,$A40,'العقود'!$T:$T,"ساري"))</f>
        <v>1</v>
      </c>
      <c r="O40" s="35">
        <f>IF($A40="","",SUMIFS('العقود'!$W:$W,'العقود'!$C:$C,$A40))</f>
        <v>0</v>
      </c>
      <c r="P40" s="28">
        <f>IF($A40="","",SUMIFS('العقود'!$V:$V,'العقود'!$C:$C,$A40))</f>
        <v>91300</v>
      </c>
    </row>
    <row r="41" spans="1:16" x14ac:dyDescent="0.25">
      <c r="A41" t="s">
        <v>327</v>
      </c>
      <c r="B41" t="s">
        <v>321</v>
      </c>
      <c r="C41" t="s">
        <v>553</v>
      </c>
      <c r="D41" t="s">
        <v>322</v>
      </c>
      <c r="E41" s="38" t="s">
        <v>324</v>
      </c>
      <c r="F41" s="38" t="s">
        <v>35</v>
      </c>
      <c r="G41" s="38" t="s">
        <v>35</v>
      </c>
      <c r="H41" s="38" t="s">
        <v>35</v>
      </c>
      <c r="I41" t="s">
        <v>35</v>
      </c>
      <c r="J41" t="s">
        <v>35</v>
      </c>
      <c r="K41" t="s">
        <v>35</v>
      </c>
      <c r="L41" s="33"/>
      <c r="M41" s="34">
        <f>IF($A41="","",COUNTIF('العقود'!$C:$C,$A41))</f>
        <v>1</v>
      </c>
      <c r="N41" s="34">
        <f>IF($A41="","",COUNTIFS('العقود'!$C:$C,$A41,'العقود'!$T:$T,"ساري"))</f>
        <v>1</v>
      </c>
      <c r="O41" s="35">
        <f>IF($A41="","",SUMIFS('العقود'!$W:$W,'العقود'!$C:$C,$A41))</f>
        <v>0</v>
      </c>
      <c r="P41" s="28">
        <f>IF($A41="","",SUMIFS('العقود'!$V:$V,'العقود'!$C:$C,$A41))</f>
        <v>127710</v>
      </c>
    </row>
    <row r="42" spans="1:16" x14ac:dyDescent="0.25">
      <c r="A42" t="s">
        <v>332</v>
      </c>
      <c r="B42" t="s">
        <v>328</v>
      </c>
      <c r="C42" t="s">
        <v>552</v>
      </c>
      <c r="D42" t="s">
        <v>35</v>
      </c>
      <c r="E42" s="38" t="s">
        <v>329</v>
      </c>
      <c r="F42" s="38" t="s">
        <v>35</v>
      </c>
      <c r="G42" s="38" t="s">
        <v>35</v>
      </c>
      <c r="H42" s="38" t="s">
        <v>35</v>
      </c>
      <c r="I42" t="s">
        <v>35</v>
      </c>
      <c r="J42" t="s">
        <v>35</v>
      </c>
      <c r="K42" t="s">
        <v>35</v>
      </c>
      <c r="L42" s="33"/>
      <c r="M42" s="34">
        <f>IF($A42="","",COUNTIF('العقود'!$C:$C,$A42))</f>
        <v>2</v>
      </c>
      <c r="N42" s="34">
        <f>IF($A42="","",COUNTIFS('العقود'!$C:$C,$A42,'العقود'!$T:$T,"ساري"))</f>
        <v>1</v>
      </c>
      <c r="O42" s="35">
        <f>IF($A42="","",SUMIFS('العقود'!$W:$W,'العقود'!$C:$C,$A42))</f>
        <v>0</v>
      </c>
      <c r="P42" s="28">
        <f>IF($A42="","",SUMIFS('العقود'!$V:$V,'العقود'!$C:$C,$A42))</f>
        <v>100500</v>
      </c>
    </row>
    <row r="43" spans="1:16" x14ac:dyDescent="0.25">
      <c r="A43" t="s">
        <v>340</v>
      </c>
      <c r="B43" t="s">
        <v>334</v>
      </c>
      <c r="C43" t="s">
        <v>553</v>
      </c>
      <c r="D43" t="s">
        <v>335</v>
      </c>
      <c r="E43" s="38" t="s">
        <v>337</v>
      </c>
      <c r="F43" s="38" t="s">
        <v>35</v>
      </c>
      <c r="G43" s="38" t="s">
        <v>35</v>
      </c>
      <c r="H43" s="38" t="s">
        <v>35</v>
      </c>
      <c r="I43" t="s">
        <v>35</v>
      </c>
      <c r="J43" t="s">
        <v>35</v>
      </c>
      <c r="K43" t="s">
        <v>35</v>
      </c>
      <c r="L43" s="33"/>
      <c r="M43" s="34">
        <f>IF($A43="","",COUNTIF('العقود'!$C:$C,$A43))</f>
        <v>2</v>
      </c>
      <c r="N43" s="34">
        <f>IF($A43="","",COUNTIFS('العقود'!$C:$C,$A43,'العقود'!$T:$T,"ساري"))</f>
        <v>1</v>
      </c>
      <c r="O43" s="35">
        <f>IF($A43="","",SUMIFS('العقود'!$W:$W,'العقود'!$C:$C,$A43))</f>
        <v>0</v>
      </c>
      <c r="P43" s="28">
        <f>IF($A43="","",SUMIFS('العقود'!$V:$V,'العقود'!$C:$C,$A43))</f>
        <v>108000</v>
      </c>
    </row>
    <row r="44" spans="1:16" x14ac:dyDescent="0.25">
      <c r="A44" t="s">
        <v>348</v>
      </c>
      <c r="B44" t="s">
        <v>342</v>
      </c>
      <c r="C44" t="s">
        <v>553</v>
      </c>
      <c r="D44" t="s">
        <v>343</v>
      </c>
      <c r="E44" s="38" t="s">
        <v>345</v>
      </c>
      <c r="F44" s="38" t="s">
        <v>35</v>
      </c>
      <c r="G44" s="38" t="s">
        <v>35</v>
      </c>
      <c r="H44" s="38" t="s">
        <v>35</v>
      </c>
      <c r="I44" t="s">
        <v>35</v>
      </c>
      <c r="J44" t="s">
        <v>35</v>
      </c>
      <c r="K44" t="s">
        <v>35</v>
      </c>
      <c r="L44" s="33"/>
      <c r="M44" s="34">
        <f>IF($A44="","",COUNTIF('العقود'!$C:$C,$A44))</f>
        <v>1</v>
      </c>
      <c r="N44" s="34">
        <f>IF($A44="","",COUNTIFS('العقود'!$C:$C,$A44,'العقود'!$T:$T,"ساري"))</f>
        <v>1</v>
      </c>
      <c r="O44" s="35">
        <f>IF($A44="","",SUMIFS('العقود'!$W:$W,'العقود'!$C:$C,$A44))</f>
        <v>0</v>
      </c>
      <c r="P44" s="28">
        <f>IF($A44="","",SUMIFS('العقود'!$V:$V,'العقود'!$C:$C,$A44))</f>
        <v>125350</v>
      </c>
    </row>
    <row r="45" spans="1:16" x14ac:dyDescent="0.25">
      <c r="A45" t="s">
        <v>355</v>
      </c>
      <c r="B45" t="s">
        <v>349</v>
      </c>
      <c r="C45" t="s">
        <v>553</v>
      </c>
      <c r="D45" t="s">
        <v>284</v>
      </c>
      <c r="E45" s="38" t="s">
        <v>351</v>
      </c>
      <c r="F45" s="38" t="s">
        <v>35</v>
      </c>
      <c r="G45" s="38" t="s">
        <v>35</v>
      </c>
      <c r="H45" s="38" t="s">
        <v>35</v>
      </c>
      <c r="I45" t="s">
        <v>35</v>
      </c>
      <c r="J45" t="s">
        <v>35</v>
      </c>
      <c r="K45" t="s">
        <v>35</v>
      </c>
      <c r="L45" s="33"/>
      <c r="M45" s="34">
        <f>IF($A45="","",COUNTIF('العقود'!$C:$C,$A45))</f>
        <v>1</v>
      </c>
      <c r="N45" s="34">
        <f>IF($A45="","",COUNTIFS('العقود'!$C:$C,$A45,'العقود'!$T:$T,"ساري"))</f>
        <v>1</v>
      </c>
      <c r="O45" s="35">
        <f>IF($A45="","",SUMIFS('العقود'!$W:$W,'العقود'!$C:$C,$A45))</f>
        <v>0</v>
      </c>
      <c r="P45" s="28">
        <f>IF($A45="","",SUMIFS('العقود'!$V:$V,'العقود'!$C:$C,$A45))</f>
        <v>132000</v>
      </c>
    </row>
    <row r="46" spans="1:16" x14ac:dyDescent="0.25">
      <c r="A46" t="s">
        <v>361</v>
      </c>
      <c r="B46" t="s">
        <v>356</v>
      </c>
      <c r="C46" t="s">
        <v>552</v>
      </c>
      <c r="D46" t="s">
        <v>35</v>
      </c>
      <c r="E46" s="38" t="s">
        <v>358</v>
      </c>
      <c r="F46" s="38" t="s">
        <v>35</v>
      </c>
      <c r="G46" s="38" t="s">
        <v>35</v>
      </c>
      <c r="H46" s="38" t="s">
        <v>35</v>
      </c>
      <c r="I46" t="s">
        <v>35</v>
      </c>
      <c r="J46" t="s">
        <v>35</v>
      </c>
      <c r="K46" t="s">
        <v>35</v>
      </c>
      <c r="L46" s="33"/>
      <c r="M46" s="34">
        <f>IF($A46="","",COUNTIF('العقود'!$C:$C,$A46))</f>
        <v>1</v>
      </c>
      <c r="N46" s="34">
        <f>IF($A46="","",COUNTIFS('العقود'!$C:$C,$A46,'العقود'!$T:$T,"ساري"))</f>
        <v>0</v>
      </c>
      <c r="O46" s="35">
        <f>IF($A46="","",SUMIFS('العقود'!$W:$W,'العقود'!$C:$C,$A46))</f>
        <v>0</v>
      </c>
      <c r="P46" s="28">
        <f>IF($A46="","",SUMIFS('العقود'!$V:$V,'العقود'!$C:$C,$A46))</f>
        <v>148000</v>
      </c>
    </row>
    <row r="47" spans="1:16" x14ac:dyDescent="0.25">
      <c r="A47" t="s">
        <v>368</v>
      </c>
      <c r="B47" t="s">
        <v>362</v>
      </c>
      <c r="C47" t="s">
        <v>553</v>
      </c>
      <c r="D47" t="s">
        <v>363</v>
      </c>
      <c r="E47" s="38" t="s">
        <v>365</v>
      </c>
      <c r="F47" s="38" t="s">
        <v>35</v>
      </c>
      <c r="G47" s="38" t="s">
        <v>35</v>
      </c>
      <c r="H47" s="38" t="s">
        <v>35</v>
      </c>
      <c r="I47" t="s">
        <v>35</v>
      </c>
      <c r="J47" t="s">
        <v>35</v>
      </c>
      <c r="K47" t="s">
        <v>35</v>
      </c>
      <c r="L47" s="33"/>
      <c r="M47" s="34">
        <f>IF($A47="","",COUNTIF('العقود'!$C:$C,$A47))</f>
        <v>2</v>
      </c>
      <c r="N47" s="34">
        <f>IF($A47="","",COUNTIFS('العقود'!$C:$C,$A47,'العقود'!$T:$T,"ساري"))</f>
        <v>0</v>
      </c>
      <c r="O47" s="35">
        <f>IF($A47="","",SUMIFS('العقود'!$W:$W,'العقود'!$C:$C,$A47))</f>
        <v>0</v>
      </c>
      <c r="P47" s="28">
        <f>IF($A47="","",SUMIFS('العقود'!$V:$V,'العقود'!$C:$C,$A47))</f>
        <v>210000</v>
      </c>
    </row>
    <row r="48" spans="1:16" x14ac:dyDescent="0.25">
      <c r="A48" t="s">
        <v>376</v>
      </c>
      <c r="B48" t="s">
        <v>371</v>
      </c>
      <c r="C48" t="s">
        <v>552</v>
      </c>
      <c r="D48" t="s">
        <v>35</v>
      </c>
      <c r="E48" s="38" t="s">
        <v>372</v>
      </c>
      <c r="F48" s="38" t="s">
        <v>35</v>
      </c>
      <c r="G48" s="38" t="s">
        <v>35</v>
      </c>
      <c r="H48" s="38" t="s">
        <v>35</v>
      </c>
      <c r="I48" t="s">
        <v>35</v>
      </c>
      <c r="J48" t="s">
        <v>35</v>
      </c>
      <c r="K48" t="s">
        <v>35</v>
      </c>
      <c r="L48" s="33"/>
      <c r="M48" s="34">
        <f>IF($A48="","",COUNTIF('العقود'!$C:$C,$A48))</f>
        <v>1</v>
      </c>
      <c r="N48" s="34">
        <f>IF($A48="","",COUNTIFS('العقود'!$C:$C,$A48,'العقود'!$T:$T,"ساري"))</f>
        <v>1</v>
      </c>
      <c r="O48" s="35">
        <f>IF($A48="","",SUMIFS('العقود'!$W:$W,'العقود'!$C:$C,$A48))</f>
        <v>11255</v>
      </c>
      <c r="P48" s="28">
        <f>IF($A48="","",SUMIFS('العقود'!$V:$V,'العقود'!$C:$C,$A48))</f>
        <v>78305</v>
      </c>
    </row>
    <row r="49" spans="1:16" x14ac:dyDescent="0.25">
      <c r="A49" t="s">
        <v>382</v>
      </c>
      <c r="B49" t="s">
        <v>377</v>
      </c>
      <c r="C49" t="s">
        <v>553</v>
      </c>
      <c r="D49" t="s">
        <v>378</v>
      </c>
      <c r="E49" s="38" t="s">
        <v>379</v>
      </c>
      <c r="F49" s="38" t="s">
        <v>35</v>
      </c>
      <c r="G49" s="38" t="s">
        <v>35</v>
      </c>
      <c r="H49" s="38" t="s">
        <v>35</v>
      </c>
      <c r="I49" t="s">
        <v>35</v>
      </c>
      <c r="J49" t="s">
        <v>35</v>
      </c>
      <c r="K49" t="s">
        <v>35</v>
      </c>
      <c r="L49" s="33"/>
      <c r="M49" s="34">
        <f>IF($A49="","",COUNTIF('العقود'!$C:$C,$A49))</f>
        <v>1</v>
      </c>
      <c r="N49" s="34">
        <f>IF($A49="","",COUNTIFS('العقود'!$C:$C,$A49,'العقود'!$T:$T,"ساري"))</f>
        <v>0</v>
      </c>
      <c r="O49" s="35">
        <f>IF($A49="","",SUMIFS('العقود'!$W:$W,'العقود'!$C:$C,$A49))</f>
        <v>0</v>
      </c>
      <c r="P49" s="28">
        <f>IF($A49="","",SUMIFS('العقود'!$V:$V,'العقود'!$C:$C,$A49))</f>
        <v>80000</v>
      </c>
    </row>
    <row r="50" spans="1:16" x14ac:dyDescent="0.25">
      <c r="A50" t="s">
        <v>393</v>
      </c>
      <c r="B50" t="s">
        <v>387</v>
      </c>
      <c r="C50" t="s">
        <v>552</v>
      </c>
      <c r="D50" t="s">
        <v>388</v>
      </c>
      <c r="E50" s="38" t="s">
        <v>390</v>
      </c>
      <c r="F50" s="38" t="s">
        <v>35</v>
      </c>
      <c r="G50" s="38" t="s">
        <v>35</v>
      </c>
      <c r="H50" s="38" t="s">
        <v>35</v>
      </c>
      <c r="I50" t="s">
        <v>35</v>
      </c>
      <c r="J50" t="s">
        <v>35</v>
      </c>
      <c r="K50" t="s">
        <v>35</v>
      </c>
      <c r="L50" s="33"/>
      <c r="M50" s="34">
        <f>IF($A50="","",COUNTIF('العقود'!$C:$C,$A50))</f>
        <v>2</v>
      </c>
      <c r="N50" s="34">
        <f>IF($A50="","",COUNTIFS('العقود'!$C:$C,$A50,'العقود'!$T:$T,"ساري"))</f>
        <v>1</v>
      </c>
      <c r="O50" s="35">
        <f>IF($A50="","",SUMIFS('العقود'!$W:$W,'العقود'!$C:$C,$A50))</f>
        <v>0</v>
      </c>
      <c r="P50" s="28">
        <f>IF($A50="","",SUMIFS('العقود'!$V:$V,'العقود'!$C:$C,$A50))</f>
        <v>142000</v>
      </c>
    </row>
    <row r="51" spans="1:16" x14ac:dyDescent="0.25">
      <c r="A51" t="s">
        <v>402</v>
      </c>
      <c r="B51" t="s">
        <v>395</v>
      </c>
      <c r="C51" t="s">
        <v>553</v>
      </c>
      <c r="D51" t="s">
        <v>396</v>
      </c>
      <c r="E51" s="38" t="s">
        <v>399</v>
      </c>
      <c r="F51" s="38" t="s">
        <v>398</v>
      </c>
      <c r="G51" s="38" t="s">
        <v>35</v>
      </c>
      <c r="H51" s="38" t="s">
        <v>35</v>
      </c>
      <c r="I51" t="s">
        <v>35</v>
      </c>
      <c r="J51" t="s">
        <v>35</v>
      </c>
      <c r="K51" t="s">
        <v>35</v>
      </c>
      <c r="L51" s="33"/>
      <c r="M51" s="34">
        <f>IF($A51="","",COUNTIF('العقود'!$C:$C,$A51))</f>
        <v>1</v>
      </c>
      <c r="N51" s="34">
        <f>IF($A51="","",COUNTIFS('العقود'!$C:$C,$A51,'العقود'!$T:$T,"ساري"))</f>
        <v>1</v>
      </c>
      <c r="O51" s="35">
        <f>IF($A51="","",SUMIFS('العقود'!$W:$W,'العقود'!$C:$C,$A51))</f>
        <v>900</v>
      </c>
      <c r="P51" s="28">
        <f>IF($A51="","",SUMIFS('العقود'!$V:$V,'العقود'!$C:$C,$A51))</f>
        <v>49500</v>
      </c>
    </row>
    <row r="52" spans="1:16" x14ac:dyDescent="0.25">
      <c r="A52" t="s">
        <v>409</v>
      </c>
      <c r="B52" t="s">
        <v>403</v>
      </c>
      <c r="C52" t="s">
        <v>553</v>
      </c>
      <c r="D52" t="s">
        <v>404</v>
      </c>
      <c r="E52" s="38" t="s">
        <v>406</v>
      </c>
      <c r="F52" s="38" t="s">
        <v>35</v>
      </c>
      <c r="G52" s="38" t="s">
        <v>35</v>
      </c>
      <c r="H52" s="38" t="s">
        <v>35</v>
      </c>
      <c r="I52" t="s">
        <v>35</v>
      </c>
      <c r="J52" t="s">
        <v>35</v>
      </c>
      <c r="K52" t="s">
        <v>35</v>
      </c>
      <c r="L52" s="33"/>
      <c r="M52" s="34">
        <f>IF($A52="","",COUNTIF('العقود'!$C:$C,$A52))</f>
        <v>1</v>
      </c>
      <c r="N52" s="34">
        <f>IF($A52="","",COUNTIFS('العقود'!$C:$C,$A52,'العقود'!$T:$T,"ساري"))</f>
        <v>0</v>
      </c>
      <c r="O52" s="35">
        <f>IF($A52="","",SUMIFS('العقود'!$W:$W,'العقود'!$C:$C,$A52))</f>
        <v>0</v>
      </c>
      <c r="P52" s="28">
        <f>IF($A52="","",SUMIFS('العقود'!$V:$V,'العقود'!$C:$C,$A52))</f>
        <v>77440</v>
      </c>
    </row>
    <row r="53" spans="1:16" x14ac:dyDescent="0.25">
      <c r="A53" t="s">
        <v>417</v>
      </c>
      <c r="B53" t="s">
        <v>410</v>
      </c>
      <c r="C53" t="s">
        <v>553</v>
      </c>
      <c r="D53" t="s">
        <v>411</v>
      </c>
      <c r="E53" s="38" t="s">
        <v>414</v>
      </c>
      <c r="F53" s="38" t="s">
        <v>413</v>
      </c>
      <c r="G53" s="38" t="s">
        <v>35</v>
      </c>
      <c r="H53" s="38" t="s">
        <v>35</v>
      </c>
      <c r="I53" t="s">
        <v>35</v>
      </c>
      <c r="J53" t="s">
        <v>35</v>
      </c>
      <c r="K53" t="s">
        <v>35</v>
      </c>
      <c r="L53" s="33"/>
      <c r="M53" s="34">
        <f>IF($A53="","",COUNTIF('العقود'!$C:$C,$A53))</f>
        <v>1</v>
      </c>
      <c r="N53" s="34">
        <f>IF($A53="","",COUNTIFS('العقود'!$C:$C,$A53,'العقود'!$T:$T,"ساري"))</f>
        <v>0</v>
      </c>
      <c r="O53" s="35">
        <f>IF($A53="","",SUMIFS('العقود'!$W:$W,'العقود'!$C:$C,$A53))</f>
        <v>0</v>
      </c>
      <c r="P53" s="28">
        <f>IF($A53="","",SUMIFS('العقود'!$V:$V,'العقود'!$C:$C,$A53))</f>
        <v>152000</v>
      </c>
    </row>
    <row r="54" spans="1:16" x14ac:dyDescent="0.25">
      <c r="A54" t="s">
        <v>423</v>
      </c>
      <c r="B54" t="s">
        <v>418</v>
      </c>
      <c r="C54" t="s">
        <v>552</v>
      </c>
      <c r="D54" t="s">
        <v>35</v>
      </c>
      <c r="E54" s="38" t="s">
        <v>420</v>
      </c>
      <c r="F54" s="38" t="s">
        <v>35</v>
      </c>
      <c r="G54" s="38" t="s">
        <v>35</v>
      </c>
      <c r="H54" s="38" t="s">
        <v>35</v>
      </c>
      <c r="I54" t="s">
        <v>35</v>
      </c>
      <c r="J54" t="s">
        <v>35</v>
      </c>
      <c r="K54" t="s">
        <v>35</v>
      </c>
      <c r="L54" s="33"/>
      <c r="M54" s="34">
        <f>IF($A54="","",COUNTIF('العقود'!$C:$C,$A54))</f>
        <v>1</v>
      </c>
      <c r="N54" s="34">
        <f>IF($A54="","",COUNTIFS('العقود'!$C:$C,$A54,'العقود'!$T:$T,"ساري"))</f>
        <v>1</v>
      </c>
      <c r="O54" s="35">
        <f>IF($A54="","",SUMIFS('العقود'!$W:$W,'العقود'!$C:$C,$A54))</f>
        <v>0</v>
      </c>
      <c r="P54" s="28">
        <f>IF($A54="","",SUMIFS('العقود'!$V:$V,'العقود'!$C:$C,$A54))</f>
        <v>91960</v>
      </c>
    </row>
    <row r="55" spans="1:16" x14ac:dyDescent="0.25">
      <c r="A55" t="s">
        <v>429</v>
      </c>
      <c r="B55" t="s">
        <v>424</v>
      </c>
      <c r="C55" t="s">
        <v>552</v>
      </c>
      <c r="D55" t="s">
        <v>35</v>
      </c>
      <c r="E55" s="38" t="s">
        <v>426</v>
      </c>
      <c r="F55" s="38" t="s">
        <v>35</v>
      </c>
      <c r="G55" s="38" t="s">
        <v>35</v>
      </c>
      <c r="H55" s="38" t="s">
        <v>35</v>
      </c>
      <c r="I55" t="s">
        <v>35</v>
      </c>
      <c r="J55" t="s">
        <v>35</v>
      </c>
      <c r="K55" t="s">
        <v>35</v>
      </c>
      <c r="L55" s="33"/>
      <c r="M55" s="34">
        <f>IF($A55="","",COUNTIF('العقود'!$C:$C,$A55))</f>
        <v>1</v>
      </c>
      <c r="N55" s="34">
        <f>IF($A55="","",COUNTIFS('العقود'!$C:$C,$A55,'العقود'!$T:$T,"ساري"))</f>
        <v>1</v>
      </c>
      <c r="O55" s="35">
        <f>IF($A55="","",SUMIFS('العقود'!$W:$W,'العقود'!$C:$C,$A55))</f>
        <v>0</v>
      </c>
      <c r="P55" s="28">
        <f>IF($A55="","",SUMIFS('العقود'!$V:$V,'العقود'!$C:$C,$A55))</f>
        <v>88000</v>
      </c>
    </row>
    <row r="56" spans="1:16" x14ac:dyDescent="0.25">
      <c r="A56" t="s">
        <v>435</v>
      </c>
      <c r="B56" t="s">
        <v>430</v>
      </c>
      <c r="C56" t="s">
        <v>552</v>
      </c>
      <c r="D56" t="s">
        <v>35</v>
      </c>
      <c r="E56" s="38" t="s">
        <v>432</v>
      </c>
      <c r="F56" s="38" t="s">
        <v>35</v>
      </c>
      <c r="G56" s="38" t="s">
        <v>35</v>
      </c>
      <c r="H56" s="38" t="s">
        <v>35</v>
      </c>
      <c r="I56" t="s">
        <v>35</v>
      </c>
      <c r="J56" t="s">
        <v>35</v>
      </c>
      <c r="K56" t="s">
        <v>35</v>
      </c>
      <c r="L56" s="33"/>
      <c r="M56" s="34">
        <f>IF($A56="","",COUNTIF('العقود'!$C:$C,$A56))</f>
        <v>2</v>
      </c>
      <c r="N56" s="34">
        <f>IF($A56="","",COUNTIFS('العقود'!$C:$C,$A56,'العقود'!$T:$T,"ساري"))</f>
        <v>1</v>
      </c>
      <c r="O56" s="35">
        <f>IF($A56="","",SUMIFS('العقود'!$W:$W,'العقود'!$C:$C,$A56))</f>
        <v>15778</v>
      </c>
      <c r="P56" s="28">
        <f>IF($A56="","",SUMIFS('العقود'!$V:$V,'العقود'!$C:$C,$A56))</f>
        <v>64040</v>
      </c>
    </row>
    <row r="57" spans="1:16" x14ac:dyDescent="0.25">
      <c r="A57" t="s">
        <v>445</v>
      </c>
      <c r="B57" t="s">
        <v>439</v>
      </c>
      <c r="C57" t="s">
        <v>553</v>
      </c>
      <c r="D57" t="s">
        <v>440</v>
      </c>
      <c r="E57" s="38" t="s">
        <v>442</v>
      </c>
      <c r="F57" s="38" t="s">
        <v>35</v>
      </c>
      <c r="G57" s="38" t="s">
        <v>35</v>
      </c>
      <c r="H57" s="38" t="s">
        <v>35</v>
      </c>
      <c r="I57" t="s">
        <v>35</v>
      </c>
      <c r="J57" t="s">
        <v>35</v>
      </c>
      <c r="K57" t="s">
        <v>35</v>
      </c>
      <c r="L57" s="33"/>
      <c r="M57" s="34">
        <f>IF($A57="","",COUNTIF('العقود'!$C:$C,$A57))</f>
        <v>2</v>
      </c>
      <c r="N57" s="34">
        <f>IF($A57="","",COUNTIFS('العقود'!$C:$C,$A57,'العقود'!$T:$T,"ساري"))</f>
        <v>1</v>
      </c>
      <c r="O57" s="35">
        <f>IF($A57="","",SUMIFS('العقود'!$W:$W,'العقود'!$C:$C,$A57))</f>
        <v>7500</v>
      </c>
      <c r="P57" s="28">
        <f>IF($A57="","",SUMIFS('العقود'!$V:$V,'العقود'!$C:$C,$A57))</f>
        <v>126000</v>
      </c>
    </row>
    <row r="58" spans="1:16" x14ac:dyDescent="0.25">
      <c r="A58" t="s">
        <v>454</v>
      </c>
      <c r="B58" t="s">
        <v>447</v>
      </c>
      <c r="C58" t="s">
        <v>553</v>
      </c>
      <c r="D58" t="s">
        <v>448</v>
      </c>
      <c r="E58" s="38" t="s">
        <v>450</v>
      </c>
      <c r="F58" s="38" t="s">
        <v>35</v>
      </c>
      <c r="G58" s="38" t="s">
        <v>35</v>
      </c>
      <c r="H58" s="38" t="s">
        <v>35</v>
      </c>
      <c r="I58" t="s">
        <v>35</v>
      </c>
      <c r="J58" t="s">
        <v>35</v>
      </c>
      <c r="K58" t="s">
        <v>35</v>
      </c>
      <c r="L58" s="33"/>
      <c r="M58" s="34">
        <f>IF($A58="","",COUNTIF('العقود'!$C:$C,$A58))</f>
        <v>1</v>
      </c>
      <c r="N58" s="34">
        <f>IF($A58="","",COUNTIFS('العقود'!$C:$C,$A58,'العقود'!$T:$T,"ساري"))</f>
        <v>0</v>
      </c>
      <c r="O58" s="35">
        <f>IF($A58="","",SUMIFS('العقود'!$W:$W,'العقود'!$C:$C,$A58))</f>
        <v>0</v>
      </c>
      <c r="P58" s="28">
        <f>IF($A58="","",SUMIFS('العقود'!$V:$V,'العقود'!$C:$C,$A58))</f>
        <v>42000</v>
      </c>
    </row>
    <row r="59" spans="1:16" x14ac:dyDescent="0.25">
      <c r="A59" t="s">
        <v>461</v>
      </c>
      <c r="B59" t="s">
        <v>455</v>
      </c>
      <c r="C59" t="s">
        <v>553</v>
      </c>
      <c r="D59" t="s">
        <v>456</v>
      </c>
      <c r="E59" s="38" t="s">
        <v>458</v>
      </c>
      <c r="F59" s="38" t="s">
        <v>35</v>
      </c>
      <c r="G59" s="38" t="s">
        <v>35</v>
      </c>
      <c r="H59" s="38" t="s">
        <v>35</v>
      </c>
      <c r="I59" t="s">
        <v>35</v>
      </c>
      <c r="J59" t="s">
        <v>35</v>
      </c>
      <c r="K59" t="s">
        <v>35</v>
      </c>
      <c r="L59" s="33"/>
      <c r="M59" s="34">
        <f>IF($A59="","",COUNTIF('العقود'!$C:$C,$A59))</f>
        <v>1</v>
      </c>
      <c r="N59" s="34">
        <f>IF($A59="","",COUNTIFS('العقود'!$C:$C,$A59,'العقود'!$T:$T,"ساري"))</f>
        <v>0</v>
      </c>
      <c r="O59" s="35">
        <f>IF($A59="","",SUMIFS('العقود'!$W:$W,'العقود'!$C:$C,$A59))</f>
        <v>0</v>
      </c>
      <c r="P59" s="28">
        <f>IF($A59="","",SUMIFS('العقود'!$V:$V,'العقود'!$C:$C,$A59))</f>
        <v>78000</v>
      </c>
    </row>
    <row r="60" spans="1:16" x14ac:dyDescent="0.25">
      <c r="A60" t="s">
        <v>469</v>
      </c>
      <c r="B60" t="s">
        <v>462</v>
      </c>
      <c r="C60" t="s">
        <v>553</v>
      </c>
      <c r="D60" t="s">
        <v>463</v>
      </c>
      <c r="E60" s="38" t="s">
        <v>466</v>
      </c>
      <c r="F60" s="38" t="s">
        <v>465</v>
      </c>
      <c r="G60" s="38" t="s">
        <v>35</v>
      </c>
      <c r="H60" s="38" t="s">
        <v>35</v>
      </c>
      <c r="I60" t="s">
        <v>35</v>
      </c>
      <c r="J60" t="s">
        <v>35</v>
      </c>
      <c r="K60" t="s">
        <v>35</v>
      </c>
      <c r="L60" s="33"/>
      <c r="M60" s="34">
        <f>IF($A60="","",COUNTIF('العقود'!$C:$C,$A60))</f>
        <v>1</v>
      </c>
      <c r="N60" s="34">
        <f>IF($A60="","",COUNTIFS('العقود'!$C:$C,$A60,'العقود'!$T:$T,"ساري"))</f>
        <v>0</v>
      </c>
      <c r="O60" s="35">
        <f>IF($A60="","",SUMIFS('العقود'!$W:$W,'العقود'!$C:$C,$A60))</f>
        <v>0</v>
      </c>
      <c r="P60" s="28">
        <f>IF($A60="","",SUMIFS('العقود'!$V:$V,'العقود'!$C:$C,$A60))</f>
        <v>136000</v>
      </c>
    </row>
    <row r="61" spans="1:16" x14ac:dyDescent="0.25">
      <c r="A61" t="s">
        <v>476</v>
      </c>
      <c r="B61" t="s">
        <v>470</v>
      </c>
      <c r="C61" t="s">
        <v>553</v>
      </c>
      <c r="D61" t="s">
        <v>471</v>
      </c>
      <c r="E61" s="38" t="s">
        <v>473</v>
      </c>
      <c r="F61" s="38" t="s">
        <v>35</v>
      </c>
      <c r="G61" s="38" t="s">
        <v>35</v>
      </c>
      <c r="H61" s="38" t="s">
        <v>35</v>
      </c>
      <c r="I61" t="s">
        <v>35</v>
      </c>
      <c r="J61" t="s">
        <v>35</v>
      </c>
      <c r="K61" t="s">
        <v>35</v>
      </c>
      <c r="L61" s="33"/>
      <c r="M61" s="34">
        <f>IF($A61="","",COUNTIF('العقود'!$C:$C,$A61))</f>
        <v>1</v>
      </c>
      <c r="N61" s="34">
        <f>IF($A61="","",COUNTIFS('العقود'!$C:$C,$A61,'العقود'!$T:$T,"ساري"))</f>
        <v>1</v>
      </c>
      <c r="O61" s="35">
        <f>IF($A61="","",SUMIFS('العقود'!$W:$W,'العقود'!$C:$C,$A61))</f>
        <v>0</v>
      </c>
      <c r="P61" s="28">
        <f>IF($A61="","",SUMIFS('العقود'!$V:$V,'العقود'!$C:$C,$A61))</f>
        <v>40000</v>
      </c>
    </row>
    <row r="62" spans="1:16" x14ac:dyDescent="0.25">
      <c r="A62" t="s">
        <v>483</v>
      </c>
      <c r="B62" t="s">
        <v>477</v>
      </c>
      <c r="C62" t="s">
        <v>553</v>
      </c>
      <c r="D62" t="s">
        <v>478</v>
      </c>
      <c r="E62" s="38" t="s">
        <v>480</v>
      </c>
      <c r="F62" s="38" t="s">
        <v>35</v>
      </c>
      <c r="G62" s="38" t="s">
        <v>35</v>
      </c>
      <c r="H62" s="38" t="s">
        <v>35</v>
      </c>
      <c r="I62" t="s">
        <v>35</v>
      </c>
      <c r="J62" t="s">
        <v>35</v>
      </c>
      <c r="K62" t="s">
        <v>35</v>
      </c>
      <c r="L62" s="33"/>
      <c r="M62" s="34">
        <f>IF($A62="","",COUNTIF('العقود'!$C:$C,$A62))</f>
        <v>1</v>
      </c>
      <c r="N62" s="34">
        <f>IF($A62="","",COUNTIFS('العقود'!$C:$C,$A62,'العقود'!$T:$T,"ساري"))</f>
        <v>1</v>
      </c>
      <c r="O62" s="35">
        <f>IF($A62="","",SUMIFS('العقود'!$W:$W,'العقود'!$C:$C,$A62))</f>
        <v>11000</v>
      </c>
      <c r="P62" s="28">
        <f>IF($A62="","",SUMIFS('العقود'!$V:$V,'العقود'!$C:$C,$A62))</f>
        <v>77000</v>
      </c>
    </row>
    <row r="63" spans="1:16" x14ac:dyDescent="0.25">
      <c r="A63" t="s">
        <v>489</v>
      </c>
      <c r="B63" t="s">
        <v>484</v>
      </c>
      <c r="C63" t="s">
        <v>552</v>
      </c>
      <c r="D63" t="s">
        <v>35</v>
      </c>
      <c r="E63" s="38" t="s">
        <v>486</v>
      </c>
      <c r="F63" s="38" t="s">
        <v>35</v>
      </c>
      <c r="G63" s="38" t="s">
        <v>35</v>
      </c>
      <c r="H63" s="38" t="s">
        <v>35</v>
      </c>
      <c r="I63" t="s">
        <v>35</v>
      </c>
      <c r="J63" t="s">
        <v>35</v>
      </c>
      <c r="K63" t="s">
        <v>35</v>
      </c>
      <c r="L63" s="33"/>
      <c r="M63" s="34">
        <f>IF($A63="","",COUNTIF('العقود'!$C:$C,$A63))</f>
        <v>1</v>
      </c>
      <c r="N63" s="34">
        <f>IF($A63="","",COUNTIFS('العقود'!$C:$C,$A63,'العقود'!$T:$T,"ساري"))</f>
        <v>0</v>
      </c>
      <c r="O63" s="35">
        <f>IF($A63="","",SUMIFS('العقود'!$W:$W,'العقود'!$C:$C,$A63))</f>
        <v>33000</v>
      </c>
      <c r="P63" s="28">
        <f>IF($A63="","",SUMIFS('العقود'!$V:$V,'العقود'!$C:$C,$A63))</f>
        <v>55000</v>
      </c>
    </row>
    <row r="64" spans="1:16" x14ac:dyDescent="0.25">
      <c r="A64" t="s">
        <v>497</v>
      </c>
      <c r="B64" t="s">
        <v>490</v>
      </c>
      <c r="C64" t="s">
        <v>553</v>
      </c>
      <c r="D64" t="s">
        <v>491</v>
      </c>
      <c r="E64" s="38" t="s">
        <v>494</v>
      </c>
      <c r="F64" s="38" t="s">
        <v>493</v>
      </c>
      <c r="G64" s="38" t="s">
        <v>35</v>
      </c>
      <c r="H64" s="38" t="s">
        <v>35</v>
      </c>
      <c r="I64" t="s">
        <v>35</v>
      </c>
      <c r="J64" t="s">
        <v>35</v>
      </c>
      <c r="K64" t="s">
        <v>35</v>
      </c>
      <c r="L64" s="33"/>
      <c r="M64" s="34">
        <f>IF($A64="","",COUNTIF('العقود'!$C:$C,$A64))</f>
        <v>1</v>
      </c>
      <c r="N64" s="34">
        <f>IF($A64="","",COUNTIFS('العقود'!$C:$C,$A64,'العقود'!$T:$T,"ساري"))</f>
        <v>0</v>
      </c>
      <c r="O64" s="35">
        <f>IF($A64="","",SUMIFS('العقود'!$W:$W,'العقود'!$C:$C,$A64))</f>
        <v>10890</v>
      </c>
      <c r="P64" s="28">
        <f>IF($A64="","",SUMIFS('العقود'!$V:$V,'العقود'!$C:$C,$A64))</f>
        <v>65340</v>
      </c>
    </row>
    <row r="65" spans="1:16" x14ac:dyDescent="0.25">
      <c r="A65" t="s">
        <v>504</v>
      </c>
      <c r="B65" t="s">
        <v>498</v>
      </c>
      <c r="C65" t="s">
        <v>553</v>
      </c>
      <c r="D65" t="s">
        <v>499</v>
      </c>
      <c r="E65" s="38" t="s">
        <v>501</v>
      </c>
      <c r="F65" s="38" t="s">
        <v>35</v>
      </c>
      <c r="G65" s="38" t="s">
        <v>35</v>
      </c>
      <c r="H65" s="38" t="s">
        <v>35</v>
      </c>
      <c r="I65" t="s">
        <v>35</v>
      </c>
      <c r="J65" t="s">
        <v>35</v>
      </c>
      <c r="K65" t="s">
        <v>35</v>
      </c>
      <c r="L65" s="33"/>
      <c r="M65" s="34">
        <f>IF($A65="","",COUNTIF('العقود'!$C:$C,$A65))</f>
        <v>2</v>
      </c>
      <c r="N65" s="34">
        <f>IF($A65="","",COUNTIFS('العقود'!$C:$C,$A65,'العقود'!$T:$T,"ساري"))</f>
        <v>0</v>
      </c>
      <c r="O65" s="35">
        <f>IF($A65="","",SUMIFS('العقود'!$W:$W,'العقود'!$C:$C,$A65))</f>
        <v>0</v>
      </c>
      <c r="P65" s="28">
        <f>IF($A65="","",SUMIFS('العقود'!$V:$V,'العقود'!$C:$C,$A65))</f>
        <v>208000</v>
      </c>
    </row>
    <row r="66" spans="3:3" x14ac:dyDescent="0.25"/>
    <row r="67" spans="3:3" x14ac:dyDescent="0.25"/>
    <row r="68" spans="3:3" x14ac:dyDescent="0.25"/>
    <row r="69" spans="3:3" x14ac:dyDescent="0.25"/>
    <row r="70" spans="3:3" x14ac:dyDescent="0.25"/>
    <row r="71" spans="3:3" x14ac:dyDescent="0.25"/>
    <row r="72" spans="3:3" x14ac:dyDescent="0.25"/>
    <row r="73" spans="3:3" x14ac:dyDescent="0.25"/>
    <row r="74" spans="3:3" x14ac:dyDescent="0.25"/>
    <row r="75" spans="3:3" x14ac:dyDescent="0.25"/>
    <row r="76" spans="3:3" x14ac:dyDescent="0.25"/>
    <row r="77" spans="3:3" x14ac:dyDescent="0.25"/>
    <row r="78" spans="3:3" x14ac:dyDescent="0.25"/>
    <row r="79" spans="3:3" x14ac:dyDescent="0.25"/>
    <row r="80" spans="3:3" x14ac:dyDescent="0.25"/>
    <row r="81" spans="3:3" x14ac:dyDescent="0.25"/>
    <row r="82" spans="3:3" x14ac:dyDescent="0.25"/>
    <row r="83" spans="3:3" x14ac:dyDescent="0.25"/>
    <row r="84" spans="3:3" x14ac:dyDescent="0.25"/>
    <row r="85" spans="3:3" x14ac:dyDescent="0.25"/>
    <row r="86" spans="3:3" x14ac:dyDescent="0.25"/>
    <row r="87" spans="3:3" x14ac:dyDescent="0.25"/>
    <row r="88" spans="3:3" x14ac:dyDescent="0.25"/>
    <row r="89" spans="3:3" x14ac:dyDescent="0.25"/>
    <row r="90" spans="3:3" x14ac:dyDescent="0.25"/>
    <row r="91" spans="3:3" x14ac:dyDescent="0.25"/>
    <row r="92" spans="3:3" x14ac:dyDescent="0.25"/>
    <row r="93" spans="3:3" x14ac:dyDescent="0.25"/>
    <row r="94" spans="3:3" x14ac:dyDescent="0.25"/>
    <row r="95" spans="3:3" x14ac:dyDescent="0.25"/>
    <row r="96" spans="3:3" x14ac:dyDescent="0.25"/>
    <row r="97" spans="3:3" x14ac:dyDescent="0.25"/>
    <row r="98" spans="3:3" x14ac:dyDescent="0.25"/>
    <row r="99" spans="3:3" x14ac:dyDescent="0.25"/>
    <row r="100" spans="3:3" x14ac:dyDescent="0.25"/>
    <row r="101" spans="3:3" x14ac:dyDescent="0.25"/>
    <row r="102" spans="3:3" x14ac:dyDescent="0.25"/>
    <row r="103" spans="3:3" x14ac:dyDescent="0.25"/>
    <row r="104" spans="3:3" x14ac:dyDescent="0.25"/>
    <row r="105" spans="3:3" x14ac:dyDescent="0.25"/>
    <row r="106" spans="3:3" x14ac:dyDescent="0.25"/>
    <row r="107" spans="3:3" x14ac:dyDescent="0.25"/>
    <row r="108" spans="3:3" x14ac:dyDescent="0.25"/>
    <row r="109" spans="3:3" x14ac:dyDescent="0.25"/>
    <row r="110" spans="3:3" x14ac:dyDescent="0.25"/>
    <row r="111" spans="3:3" x14ac:dyDescent="0.25"/>
    <row r="112" spans="3:3" x14ac:dyDescent="0.25"/>
    <row r="113" spans="3:3" x14ac:dyDescent="0.25"/>
    <row r="114" spans="3:3" x14ac:dyDescent="0.25"/>
    <row r="115" spans="3:3" x14ac:dyDescent="0.25"/>
    <row r="116" spans="3:3" x14ac:dyDescent="0.25"/>
    <row r="117" spans="3:3" x14ac:dyDescent="0.25"/>
    <row r="118" spans="3:3" x14ac:dyDescent="0.25"/>
    <row r="119" spans="3:3" x14ac:dyDescent="0.25"/>
    <row r="120" spans="3:3" x14ac:dyDescent="0.25"/>
    <row r="121" spans="3:3" x14ac:dyDescent="0.25"/>
    <row r="122" spans="3:3" x14ac:dyDescent="0.25"/>
    <row r="123" spans="3:3" x14ac:dyDescent="0.25"/>
    <row r="124" spans="3:3" x14ac:dyDescent="0.25"/>
    <row r="125" spans="3:3" x14ac:dyDescent="0.25"/>
    <row r="126" spans="3:3" x14ac:dyDescent="0.25"/>
    <row r="127" spans="3:3" x14ac:dyDescent="0.25"/>
    <row r="128" spans="3:3" x14ac:dyDescent="0.25"/>
    <row r="129" spans="3:3" x14ac:dyDescent="0.25"/>
    <row r="130" spans="3:3" x14ac:dyDescent="0.25"/>
    <row r="131" spans="3:3" x14ac:dyDescent="0.25"/>
    <row r="132" spans="3:3" x14ac:dyDescent="0.25"/>
    <row r="133" spans="3:3" x14ac:dyDescent="0.25"/>
    <row r="134" spans="3:3" x14ac:dyDescent="0.25"/>
    <row r="135" spans="3:3" x14ac:dyDescent="0.25"/>
    <row r="136" spans="3:3" x14ac:dyDescent="0.25"/>
    <row r="137" spans="3:3" x14ac:dyDescent="0.25"/>
    <row r="138" spans="3:3" x14ac:dyDescent="0.25"/>
    <row r="139" spans="3:3" x14ac:dyDescent="0.25"/>
    <row r="140" spans="3:3" x14ac:dyDescent="0.25"/>
    <row r="141" spans="3:3" x14ac:dyDescent="0.25"/>
    <row r="142" spans="3:3" x14ac:dyDescent="0.25"/>
    <row r="143" spans="3:3" x14ac:dyDescent="0.25"/>
    <row r="144" spans="3:3" x14ac:dyDescent="0.25"/>
    <row r="145" spans="3:3" x14ac:dyDescent="0.25"/>
    <row r="146" spans="3:3" x14ac:dyDescent="0.25"/>
    <row r="147" spans="3:3" x14ac:dyDescent="0.25"/>
    <row r="148" spans="3:3" x14ac:dyDescent="0.25"/>
    <row r="149" spans="3:3" x14ac:dyDescent="0.25"/>
    <row r="150" spans="3:3" x14ac:dyDescent="0.25"/>
    <row r="151" spans="3:3" x14ac:dyDescent="0.25"/>
    <row r="152" spans="3:3" x14ac:dyDescent="0.25"/>
    <row r="153" spans="3:3" x14ac:dyDescent="0.25"/>
    <row r="154" spans="3:3" x14ac:dyDescent="0.25"/>
    <row r="155" spans="3:3" x14ac:dyDescent="0.25"/>
    <row r="156" spans="3:3" x14ac:dyDescent="0.25"/>
    <row r="157" spans="3:3" x14ac:dyDescent="0.25"/>
    <row r="158" spans="3:3" x14ac:dyDescent="0.25"/>
    <row r="159" spans="3:3" x14ac:dyDescent="0.25"/>
    <row r="160" spans="3:3" x14ac:dyDescent="0.25"/>
    <row r="161" spans="3:3" x14ac:dyDescent="0.25"/>
    <row r="162" spans="3:3" x14ac:dyDescent="0.25"/>
    <row r="163" spans="3:3" x14ac:dyDescent="0.25"/>
    <row r="164" spans="3:3" x14ac:dyDescent="0.25"/>
    <row r="165" spans="3:3" x14ac:dyDescent="0.25"/>
    <row r="166" spans="3:3" x14ac:dyDescent="0.25"/>
    <row r="167" spans="3:3" x14ac:dyDescent="0.25"/>
    <row r="168" spans="3:3" x14ac:dyDescent="0.25"/>
    <row r="169" spans="3:3" x14ac:dyDescent="0.25"/>
    <row r="170" spans="3:3" x14ac:dyDescent="0.25"/>
    <row r="171" spans="3:3" x14ac:dyDescent="0.25"/>
    <row r="172" spans="3:3" x14ac:dyDescent="0.25"/>
    <row r="173" spans="3:3" x14ac:dyDescent="0.25"/>
    <row r="174" spans="3:3" x14ac:dyDescent="0.25"/>
    <row r="175" spans="3:3" x14ac:dyDescent="0.25"/>
    <row r="176" spans="3:3" x14ac:dyDescent="0.25"/>
    <row r="177" spans="3:3" x14ac:dyDescent="0.25"/>
    <row r="178" spans="3:3" x14ac:dyDescent="0.25"/>
    <row r="179" spans="3:3" x14ac:dyDescent="0.25"/>
    <row r="180" spans="3:3" x14ac:dyDescent="0.25"/>
    <row r="181" spans="3:3" x14ac:dyDescent="0.25"/>
    <row r="182" spans="3:3" x14ac:dyDescent="0.25"/>
    <row r="183" spans="3:3" x14ac:dyDescent="0.25"/>
    <row r="184" spans="3:3" x14ac:dyDescent="0.25"/>
    <row r="185" spans="3:3" x14ac:dyDescent="0.25"/>
    <row r="186" spans="3:3" x14ac:dyDescent="0.25"/>
    <row r="187" spans="3:3" x14ac:dyDescent="0.25"/>
    <row r="188" spans="3:3" x14ac:dyDescent="0.25"/>
    <row r="189" spans="3:3" x14ac:dyDescent="0.25"/>
    <row r="190" spans="3:3" x14ac:dyDescent="0.25"/>
    <row r="191" spans="3:3" x14ac:dyDescent="0.25"/>
    <row r="192" spans="3:3" x14ac:dyDescent="0.25"/>
    <row r="193" spans="3:3" x14ac:dyDescent="0.25"/>
    <row r="194" spans="3:3" x14ac:dyDescent="0.25"/>
    <row r="195" spans="3:3" x14ac:dyDescent="0.25"/>
    <row r="196" spans="3:3" x14ac:dyDescent="0.25"/>
    <row r="197" spans="3:3" x14ac:dyDescent="0.25"/>
    <row r="198" spans="3:3" x14ac:dyDescent="0.25"/>
    <row r="199" spans="3:3" x14ac:dyDescent="0.25"/>
    <row r="200" spans="3:3" x14ac:dyDescent="0.25"/>
  </sheetData>
  <autoFilter ref="A1:P65"/>
  <dataValidations count="2">
    <dataValidation type="list" allowBlank="1" showErrorMessage="1" errorTitle="قيمة غير مسموحة" error="اختر من القائمة: فرد / شركة" sqref="C10:C200">
      <formula1>"فرد,شركة"</formula1>
    </dataValidation>
    <dataValidation type="list" allowBlank="1" showErrorMessage="1" errorTitle="قيمة غير مسموحة" error="اختر من القائمة: فرد / شركة" sqref="C2:C200">
      <formula1>"فرد,شركة"</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200"/>
  <sheetViews>
    <sheetView workbookViewId="0" rightToLeft="1">
      <pane xSplit="1" ySplit="1" topLeftCell="B2" activePane="bottomRight" state="frozen"/>
      <selection pane="bottomRight"/>
    </sheetView>
  </sheetViews>
  <sheetFormatPr defaultRowHeight="15" outlineLevelRow="0" outlineLevelCol="1" x14ac:dyDescent="55"/>
  <cols>
    <col min="1" max="1" width="10" customWidth="1"/>
    <col min="2" max="2" width="12" customWidth="1"/>
    <col min="3" max="3" width="10" customWidth="1"/>
    <col min="4" max="4" width="14" customWidth="1"/>
    <col min="5" max="5" width="12" customWidth="1"/>
    <col min="6" max="6" width="30" customWidth="1"/>
    <col min="7" max="8" width="12" customWidth="1"/>
    <col min="9" max="9" width="16" customWidth="1"/>
    <col min="10" max="10" width="10" customWidth="1"/>
    <col min="11" max="11" width="22" customWidth="1"/>
    <col min="12" max="12" width="12" customWidth="1"/>
    <col min="13" max="13" width="14" customWidth="1"/>
    <col min="14" max="14" width="10" customWidth="1"/>
    <col min="15" max="15" width="12" customWidth="1"/>
    <col min="16" max="16" width="36" customWidth="1"/>
    <col min="17" max="17" width="12" customWidth="1"/>
    <col min="18" max="18" width="14" customWidth="1"/>
    <col min="19" max="19" width="16" customWidth="1"/>
    <col min="20" max="20" width="18" customWidth="1"/>
    <col min="21" max="21" width="16" customWidth="1"/>
    <col min="22" max="22" width="14" customWidth="1"/>
    <col min="23" max="23" width="16" customWidth="1"/>
    <col min="24" max="24" width="10" customWidth="1"/>
    <col min="25" max="25" width="12" customWidth="1"/>
    <col min="26" max="26" width="14" customWidth="1"/>
    <col min="27" max="27" width="10" customWidth="1"/>
    <col min="28" max="28" width="14" customWidth="1"/>
    <col min="29" max="29" width="16" customWidth="1"/>
    <col min="30" max="39" width="12" outlineLevel="1" collapsed="1" customWidth="1"/>
    <col min="40" max="41" width="14" hidden="1" customWidth="1"/>
  </cols>
  <sheetData>
    <row r="1" ht="28" customHeight="1" spans="1:41" x14ac:dyDescent="0.25">
      <c r="A1" s="3" t="s">
        <v>26</v>
      </c>
      <c r="B1" s="3" t="s">
        <v>27</v>
      </c>
      <c r="C1" s="3" t="s">
        <v>28</v>
      </c>
      <c r="D1" s="4" t="s">
        <v>3</v>
      </c>
      <c r="E1" s="4" t="s">
        <v>6</v>
      </c>
      <c r="F1" s="4" t="s">
        <v>554</v>
      </c>
      <c r="G1" s="3" t="s">
        <v>555</v>
      </c>
      <c r="H1" s="3" t="s">
        <v>556</v>
      </c>
      <c r="I1" s="3" t="s">
        <v>557</v>
      </c>
      <c r="J1" s="3" t="s">
        <v>558</v>
      </c>
      <c r="K1" s="3" t="s">
        <v>559</v>
      </c>
      <c r="L1" s="3" t="s">
        <v>560</v>
      </c>
      <c r="M1" s="3" t="s">
        <v>561</v>
      </c>
      <c r="N1" s="3" t="s">
        <v>562</v>
      </c>
      <c r="O1" s="3" t="s">
        <v>563</v>
      </c>
      <c r="P1" s="3" t="s">
        <v>25</v>
      </c>
      <c r="Q1" s="3" t="s">
        <v>564</v>
      </c>
      <c r="R1" s="3" t="s">
        <v>565</v>
      </c>
      <c r="S1" s="3" t="s">
        <v>518</v>
      </c>
      <c r="T1" s="4" t="s">
        <v>566</v>
      </c>
      <c r="U1" s="4" t="s">
        <v>527</v>
      </c>
      <c r="V1" s="4" t="s">
        <v>551</v>
      </c>
      <c r="W1" s="26" t="s">
        <v>515</v>
      </c>
      <c r="X1" s="4" t="s">
        <v>567</v>
      </c>
      <c r="Y1" s="4" t="s">
        <v>29</v>
      </c>
      <c r="Z1" s="4" t="s">
        <v>531</v>
      </c>
      <c r="AA1" s="4" t="s">
        <v>568</v>
      </c>
      <c r="AB1" s="4" t="s">
        <v>569</v>
      </c>
      <c r="AC1" s="4" t="s">
        <v>570</v>
      </c>
      <c r="AD1" s="4" t="s">
        <v>571</v>
      </c>
      <c r="AE1" s="4" t="s">
        <v>572</v>
      </c>
      <c r="AF1" s="4" t="s">
        <v>573</v>
      </c>
      <c r="AG1" s="4" t="s">
        <v>574</v>
      </c>
      <c r="AH1" s="4" t="s">
        <v>575</v>
      </c>
      <c r="AI1" s="4" t="s">
        <v>576</v>
      </c>
      <c r="AJ1" s="4" t="s">
        <v>577</v>
      </c>
      <c r="AK1" s="4" t="s">
        <v>578</v>
      </c>
      <c r="AL1" s="4" t="s">
        <v>579</v>
      </c>
      <c r="AM1" s="4" t="s">
        <v>580</v>
      </c>
      <c r="AN1" s="26" t="s">
        <v>581</v>
      </c>
      <c r="AO1" s="26" t="s">
        <v>582</v>
      </c>
    </row>
    <row r="2" spans="1:41" x14ac:dyDescent="0.25">
      <c r="A2" t="s">
        <v>37</v>
      </c>
      <c r="B2" t="s">
        <v>38</v>
      </c>
      <c r="C2" t="s">
        <v>39</v>
      </c>
      <c r="D2" s="27" t="str">
        <f>IF($Y2="","",IFERROR(INDEX('المشاريع'!$B:$B,MATCH($Y2,'المشاريع'!$A:$A,0)),""))</f>
        <v>بابل</v>
      </c>
      <c r="E2" s="27" t="str">
        <f>IF($B2="","",IFERROR(INDEX('الوحدات'!$D:$D,MATCH($B2,'الوحدات'!$A:$A,0)),""))</f>
        <v>محل</v>
      </c>
      <c r="F2" s="27" t="str">
        <f>IF($C2="","",IFERROR(INDEX('العملاء'!$B:$B,MATCH($C2,'العملاء'!$A:$A,0)),""))</f>
        <v>عمرو أيمن زكي</v>
      </c>
      <c r="G2" s="33">
        <v>45078</v>
      </c>
      <c r="H2" s="33">
        <v>46173</v>
      </c>
      <c r="I2" s="39">
        <v>12705</v>
      </c>
      <c r="J2">
        <v>0</v>
      </c>
      <c r="K2" t="s">
        <v>583</v>
      </c>
      <c r="L2" s="39">
        <v>0</v>
      </c>
      <c r="M2" t="s">
        <v>584</v>
      </c>
      <c r="N2">
        <v>1</v>
      </c>
      <c r="O2" t="s">
        <v>35</v>
      </c>
      <c r="P2" t="s">
        <v>35</v>
      </c>
      <c r="Q2">
        <v>3</v>
      </c>
      <c r="R2" t="s">
        <v>35</v>
      </c>
      <c r="S2" s="33"/>
      <c r="T2" s="27" t="str">
        <f>IF(NOT(AND(ISNUMBER($G2),ISNUMBER($H2))),"تواريخ غير صحيحة",IF(TODAY()&lt;$G2,"لم يبدأ",IF(TODAY()&gt;$H2,IF(IF($A2="",0,COUNTIF($O:$O,$A2))+IF($B2="",0,COUNTIFS($B:$B,$B2,$G:$G,"&gt;"&amp;$H2)-IF($G2&gt;$H2,1,0))&gt;0,"منتهٍ (أُجِّرت بعده)","منتهٍ"),"ساري")))</f>
        <v>منتهٍ</v>
      </c>
      <c r="U2" s="28">
        <f>IF($X2="","",IF($X2&gt;10,12705,INDEX($AD2:$AM2,1,$X2)))</f>
        <v>12705</v>
      </c>
      <c r="V2" s="28">
        <f>IF($A2="","",SUMIFS('المدفوعات'!$F:$F,'المدفوعات'!$B:$B,$A2))</f>
        <v>63525</v>
      </c>
      <c r="W2" s="35">
        <v>0</v>
      </c>
      <c r="X2" s="34">
        <f>IF(OR(NOT(ISNUMBER($G2)),NOT(ISNUMBER($H2)),$AA2=""),"",IF(TODAY()&lt;$G2,1,MIN($AA2,DATEDIF($G2,TODAY(),"y")+1)))</f>
        <v>3</v>
      </c>
      <c r="Y2" s="27" t="str">
        <f>IF($B2="","",IFERROR(INDEX('الوحدات'!$B:$B,MATCH($B2,'الوحدات'!$A:$A,0)),""))</f>
        <v>P01</v>
      </c>
      <c r="Z2" s="34">
        <f>IF(ISNUMBER($H2),$H2-TODAY(),"")</f>
        <v>-132</v>
      </c>
      <c r="AA2" s="34">
        <f>IF(AND(ISNUMBER($G2),ISNUMBER($H2)),IFERROR(DATEDIF($G2,$H2,"y")+1,""),"")</f>
        <v>3</v>
      </c>
      <c r="AB2" s="37" t="str">
        <f>IF(OR($X2="",$X2&gt;=$AA2),"",DATE(YEAR($G2)+$X2,MONTH($G2),DAY($G2)))</f>
        <v/>
      </c>
      <c r="AC2" s="28" t="str">
        <f>IF($AB2="","",IF($X2+1&gt;10,0,INDEX($AD2:$AM2,1,$X2+1)))</f>
        <v/>
      </c>
      <c r="AD2" s="28">
        <f>IF($AA2="","",IFERROR(VALUE(MID($AN2,SEARCH(";1:",$AN2)+3,SEARCH(";",$AN2,SEARCH(";1:",$AN2)+3)-SEARCH(";1:",$AN2)-3)),$I2))</f>
        <v>12705</v>
      </c>
      <c r="AE2" s="28">
        <f>IF(OR($AA2="",2&gt;$AA2),"",IFERROR(VALUE(MID($AN2,SEARCH(";2:",$AN2)+3,SEARCH(";",$AN2,SEARCH(";2:",$AN2)+3)-SEARCH(";2:",$AN2)-3)),ROUND($AD2*(1+$J2/100),0)))</f>
        <v>12705</v>
      </c>
      <c r="AF2" s="28">
        <f>IF(OR($AA2="",3&gt;$AA2),"",IFERROR(VALUE(MID($AN2,SEARCH(";3:",$AN2)+3,SEARCH(";",$AN2,SEARCH(";3:",$AN2)+3)-SEARCH(";3:",$AN2)-3)),ROUND($AE2*(1+$J2/100),0)))</f>
        <v>12705</v>
      </c>
      <c r="AG2" s="28" t="str">
        <f>IF(OR($AA2="",4&gt;$AA2),"",IFERROR(VALUE(MID($AN2,SEARCH(";4:",$AN2)+3,SEARCH(";",$AN2,SEARCH(";4:",$AN2)+3)-SEARCH(";4:",$AN2)-3)),ROUND($AF2*(1+$J2/100),0)))</f>
        <v/>
      </c>
      <c r="AH2" s="28" t="str">
        <f>IF(OR($AA2="",5&gt;$AA2),"",IFERROR(VALUE(MID($AN2,SEARCH(";5:",$AN2)+3,SEARCH(";",$AN2,SEARCH(";5:",$AN2)+3)-SEARCH(";5:",$AN2)-3)),ROUND($AG2*(1+$J2/100),0)))</f>
        <v/>
      </c>
      <c r="AI2" s="28" t="str">
        <f>IF(OR($AA2="",6&gt;$AA2),"",IFERROR(VALUE(MID($AN2,SEARCH(";6:",$AN2)+3,SEARCH(";",$AN2,SEARCH(";6:",$AN2)+3)-SEARCH(";6:",$AN2)-3)),ROUND($AH2*(1+$J2/100),0)))</f>
        <v/>
      </c>
      <c r="AJ2" s="28" t="str">
        <f>IF(OR($AA2="",7&gt;$AA2),"",IFERROR(VALUE(MID($AN2,SEARCH(";7:",$AN2)+3,SEARCH(";",$AN2,SEARCH(";7:",$AN2)+3)-SEARCH(";7:",$AN2)-3)),ROUND($AI2*(1+$J2/100),0)))</f>
        <v/>
      </c>
      <c r="AK2" s="28" t="str">
        <f>IF(OR($AA2="",8&gt;$AA2),"",IFERROR(VALUE(MID($AN2,SEARCH(";8:",$AN2)+3,SEARCH(";",$AN2,SEARCH(";8:",$AN2)+3)-SEARCH(";8:",$AN2)-3)),ROUND($AJ2*(1+$J2/100),0)))</f>
        <v/>
      </c>
      <c r="AL2" s="28" t="str">
        <f>IF(OR($AA2="",9&gt;$AA2),"",IFERROR(VALUE(MID($AN2,SEARCH(";9:",$AN2)+3,SEARCH(";",$AN2,SEARCH(";9:",$AN2)+3)-SEARCH(";9:",$AN2)-3)),ROUND($AK2*(1+$J2/100),0)))</f>
        <v/>
      </c>
      <c r="AM2" s="28" t="str">
        <f>IF(OR($AA2="",10&gt;$AA2),"",IFERROR(VALUE(MID($AN2,SEARCH(";10:",$AN2)+4,SEARCH(";",$AN2,SEARCH(";10:",$AN2)+4)-SEARCH(";10:",$AN2)-4)),ROUND($AL2*(1+$J2/100),0)))</f>
        <v/>
      </c>
      <c r="AN2" s="36" t="str">
        <f>";"&amp;SUBSTITUTE(SUBSTITUTE(SUBSTITUTE(SUBSTITUTE(SUBSTITUTE(SUBSTITUTE($K2," ",""),"،",";"),CHAR(10),";"),"=",":"),",",""),"٫",".")&amp;";"</f>
        <v>;3:12705;</v>
      </c>
      <c r="AO2" s="36" t="str">
        <f>IF($T2="ساري",$B2,"")</f>
        <v/>
      </c>
    </row>
    <row r="3" spans="1:41" x14ac:dyDescent="0.25">
      <c r="A3" t="s">
        <v>44</v>
      </c>
      <c r="B3" t="s">
        <v>45</v>
      </c>
      <c r="C3" t="s">
        <v>46</v>
      </c>
      <c r="D3" s="27" t="str">
        <f>IF($Y3="","",IFERROR(INDEX('المشاريع'!$B:$B,MATCH($Y3,'المشاريع'!$A:$A,0)),""))</f>
        <v>بابل</v>
      </c>
      <c r="E3" s="27" t="str">
        <f>IF($B3="","",IFERROR(INDEX('الوحدات'!$D:$D,MATCH($B3,'الوحدات'!$A:$A,0)),""))</f>
        <v>محل</v>
      </c>
      <c r="F3" s="27" t="str">
        <f>IF($C3="","",IFERROR(INDEX('العملاء'!$B:$B,MATCH($C3,'العملاء'!$A:$A,0)),""))</f>
        <v>شركة البركة للمقاولات</v>
      </c>
      <c r="G3" s="33">
        <v>45778</v>
      </c>
      <c r="H3" s="33">
        <v>46142</v>
      </c>
      <c r="I3" s="39">
        <v>30500</v>
      </c>
      <c r="J3">
        <v>0</v>
      </c>
      <c r="K3" t="s">
        <v>35</v>
      </c>
      <c r="L3" s="39">
        <v>0</v>
      </c>
      <c r="M3" t="s">
        <v>584</v>
      </c>
      <c r="N3">
        <v>1</v>
      </c>
      <c r="O3" t="s">
        <v>35</v>
      </c>
      <c r="P3" t="s">
        <v>35</v>
      </c>
      <c r="Q3">
        <v>4</v>
      </c>
      <c r="R3" t="s">
        <v>35</v>
      </c>
      <c r="S3" s="33"/>
      <c r="T3" s="27" t="str">
        <f>IF(NOT(AND(ISNUMBER($G3),ISNUMBER($H3))),"تواريخ غير صحيحة",IF(TODAY()&lt;$G3,"لم يبدأ",IF(TODAY()&gt;$H3,IF(IF($A3="",0,COUNTIF($O:$O,$A3))+IF($B3="",0,COUNTIFS($B:$B,$B3,$G:$G,"&gt;"&amp;$H3)-IF($G3&gt;$H3,1,0))&gt;0,"منتهٍ (أُجِّرت بعده)","منتهٍ"),"ساري")))</f>
        <v>منتهٍ</v>
      </c>
      <c r="U3" s="28">
        <f>IF($X3="","",IF($X3&gt;10,30500,INDEX($AD3:$AM3,1,$X3)))</f>
        <v>30500</v>
      </c>
      <c r="V3" s="28">
        <f>IF($A3="","",SUMIFS('المدفوعات'!$F:$F,'المدفوعات'!$B:$B,$A3))</f>
        <v>122000</v>
      </c>
      <c r="W3" s="35">
        <v>0</v>
      </c>
      <c r="X3" s="34">
        <f>IF(OR(NOT(ISNUMBER($G3)),NOT(ISNUMBER($H3)),$AA3=""),"",IF(TODAY()&lt;$G3,1,MIN($AA3,DATEDIF($G3,TODAY(),"y")+1)))</f>
        <v>1</v>
      </c>
      <c r="Y3" s="27" t="str">
        <f>IF($B3="","",IFERROR(INDEX('الوحدات'!$B:$B,MATCH($B3,'الوحدات'!$A:$A,0)),""))</f>
        <v>P01</v>
      </c>
      <c r="Z3" s="34">
        <f>IF(ISNUMBER($H3),$H3-TODAY(),"")</f>
        <v>-163</v>
      </c>
      <c r="AA3" s="34">
        <f>IF(AND(ISNUMBER($G3),ISNUMBER($H3)),IFERROR(DATEDIF($G3,$H3,"y")+1,""),"")</f>
        <v>1</v>
      </c>
      <c r="AB3" s="37" t="str">
        <f>IF(OR($X3="",$X3&gt;=$AA3),"",DATE(YEAR($G3)+$X3,MONTH($G3),DAY($G3)))</f>
        <v/>
      </c>
      <c r="AC3" s="28" t="str">
        <f>IF($AB3="","",IF($X3+1&gt;10,0,INDEX($AD3:$AM3,1,$X3+1)))</f>
        <v/>
      </c>
      <c r="AD3" s="28">
        <f>IF($AA3="","",IFERROR(VALUE(MID($AN3,SEARCH(";1:",$AN3)+3,SEARCH(";",$AN3,SEARCH(";1:",$AN3)+3)-SEARCH(";1:",$AN3)-3)),$I3))</f>
        <v>30500</v>
      </c>
      <c r="AE3" s="28" t="str">
        <f>IF(OR($AA3="",2&gt;$AA3),"",IFERROR(VALUE(MID($AN3,SEARCH(";2:",$AN3)+3,SEARCH(";",$AN3,SEARCH(";2:",$AN3)+3)-SEARCH(";2:",$AN3)-3)),ROUND($AD3*(1+$J3/100),0)))</f>
        <v/>
      </c>
      <c r="AF3" s="28" t="str">
        <f>IF(OR($AA3="",3&gt;$AA3),"",IFERROR(VALUE(MID($AN3,SEARCH(";3:",$AN3)+3,SEARCH(";",$AN3,SEARCH(";3:",$AN3)+3)-SEARCH(";3:",$AN3)-3)),ROUND($AE3*(1+$J3/100),0)))</f>
        <v/>
      </c>
      <c r="AG3" s="28" t="str">
        <f>IF(OR($AA3="",4&gt;$AA3),"",IFERROR(VALUE(MID($AN3,SEARCH(";4:",$AN3)+3,SEARCH(";",$AN3,SEARCH(";4:",$AN3)+3)-SEARCH(";4:",$AN3)-3)),ROUND($AF3*(1+$J3/100),0)))</f>
        <v/>
      </c>
      <c r="AH3" s="28" t="str">
        <f>IF(OR($AA3="",5&gt;$AA3),"",IFERROR(VALUE(MID($AN3,SEARCH(";5:",$AN3)+3,SEARCH(";",$AN3,SEARCH(";5:",$AN3)+3)-SEARCH(";5:",$AN3)-3)),ROUND($AG3*(1+$J3/100),0)))</f>
        <v/>
      </c>
      <c r="AI3" s="28" t="str">
        <f>IF(OR($AA3="",6&gt;$AA3),"",IFERROR(VALUE(MID($AN3,SEARCH(";6:",$AN3)+3,SEARCH(";",$AN3,SEARCH(";6:",$AN3)+3)-SEARCH(";6:",$AN3)-3)),ROUND($AH3*(1+$J3/100),0)))</f>
        <v/>
      </c>
      <c r="AJ3" s="28" t="str">
        <f>IF(OR($AA3="",7&gt;$AA3),"",IFERROR(VALUE(MID($AN3,SEARCH(";7:",$AN3)+3,SEARCH(";",$AN3,SEARCH(";7:",$AN3)+3)-SEARCH(";7:",$AN3)-3)),ROUND($AI3*(1+$J3/100),0)))</f>
        <v/>
      </c>
      <c r="AK3" s="28" t="str">
        <f>IF(OR($AA3="",8&gt;$AA3),"",IFERROR(VALUE(MID($AN3,SEARCH(";8:",$AN3)+3,SEARCH(";",$AN3,SEARCH(";8:",$AN3)+3)-SEARCH(";8:",$AN3)-3)),ROUND($AJ3*(1+$J3/100),0)))</f>
        <v/>
      </c>
      <c r="AL3" s="28" t="str">
        <f>IF(OR($AA3="",9&gt;$AA3),"",IFERROR(VALUE(MID($AN3,SEARCH(";9:",$AN3)+3,SEARCH(";",$AN3,SEARCH(";9:",$AN3)+3)-SEARCH(";9:",$AN3)-3)),ROUND($AK3*(1+$J3/100),0)))</f>
        <v/>
      </c>
      <c r="AM3" s="28" t="str">
        <f>IF(OR($AA3="",10&gt;$AA3),"",IFERROR(VALUE(MID($AN3,SEARCH(";10:",$AN3)+4,SEARCH(";",$AN3,SEARCH(";10:",$AN3)+4)-SEARCH(";10:",$AN3)-4)),ROUND($AL3*(1+$J3/100),0)))</f>
        <v/>
      </c>
      <c r="AN3" s="36" t="str">
        <f>";"&amp;SUBSTITUTE(SUBSTITUTE(SUBSTITUTE(SUBSTITUTE(SUBSTITUTE(SUBSTITUTE($K3," ",""),"،",";"),CHAR(10),";"),"=",":"),",",""),"٫",".")&amp;";"</f>
        <v>;;</v>
      </c>
      <c r="AO3" s="36" t="str">
        <f>IF($T3="ساري",$B3,"")</f>
        <v/>
      </c>
    </row>
    <row r="4" spans="1:41" x14ac:dyDescent="0.25">
      <c r="A4" t="s">
        <v>52</v>
      </c>
      <c r="B4" t="s">
        <v>53</v>
      </c>
      <c r="C4" t="s">
        <v>54</v>
      </c>
      <c r="D4" s="27" t="str">
        <f>IF($Y4="","",IFERROR(INDEX('المشاريع'!$B:$B,MATCH($Y4,'المشاريع'!$A:$A,0)),""))</f>
        <v>بابل</v>
      </c>
      <c r="E4" s="27" t="str">
        <f>IF($B4="","",IFERROR(INDEX('الوحدات'!$D:$D,MATCH($B4,'الوحدات'!$A:$A,0)),""))</f>
        <v>ميزان 1/2</v>
      </c>
      <c r="F4" s="27" t="str">
        <f>IF($C4="","",IFERROR(INDEX('العملاء'!$B:$B,MATCH($C4,'العملاء'!$A:$A,0)),""))</f>
        <v>شركة الأفق لتكنولوجيا المعلومات</v>
      </c>
      <c r="G4" s="33">
        <v>45432</v>
      </c>
      <c r="H4" s="33">
        <v>46526</v>
      </c>
      <c r="I4" s="39">
        <v>41000</v>
      </c>
      <c r="J4">
        <v>10</v>
      </c>
      <c r="K4" t="s">
        <v>585</v>
      </c>
      <c r="L4" s="39">
        <v>0</v>
      </c>
      <c r="M4" t="s">
        <v>584</v>
      </c>
      <c r="N4">
        <v>1</v>
      </c>
      <c r="O4" t="s">
        <v>35</v>
      </c>
      <c r="P4" t="s">
        <v>35</v>
      </c>
      <c r="Q4">
        <v>5</v>
      </c>
      <c r="R4" t="s">
        <v>35</v>
      </c>
      <c r="S4" s="33"/>
      <c r="T4" s="27" t="str">
        <f>IF(NOT(AND(ISNUMBER($G4),ISNUMBER($H4))),"تواريخ غير صحيحة",IF(TODAY()&lt;$G4,"لم يبدأ",IF(TODAY()&gt;$H4,IF(IF($A4="",0,COUNTIF($O:$O,$A4))+IF($B4="",0,COUNTIFS($B:$B,$B4,$G:$G,"&gt;"&amp;$H4)-IF($G4&gt;$H4,1,0))&gt;0,"منتهٍ (أُجِّرت بعده)","منتهٍ"),"ساري")))</f>
        <v>ساري</v>
      </c>
      <c r="U4" s="28">
        <f>IF($X4="","",IF($X4&gt;10,49610,INDEX($AD4:$AM4,1,$X4)))</f>
        <v>49610</v>
      </c>
      <c r="V4" s="28">
        <f>IF($A4="","",SUMIFS('المدفوعات'!$F:$F,'المدفوعات'!$B:$B,$A4))</f>
        <v>375833</v>
      </c>
      <c r="W4" s="35">
        <v>0</v>
      </c>
      <c r="X4" s="34">
        <f>IF(OR(NOT(ISNUMBER($G4)),NOT(ISNUMBER($H4)),$AA4=""),"",IF(TODAY()&lt;$G4,1,MIN($AA4,DATEDIF($G4,TODAY(),"y")+1)))</f>
        <v>3</v>
      </c>
      <c r="Y4" s="27" t="str">
        <f>IF($B4="","",IFERROR(INDEX('الوحدات'!$B:$B,MATCH($B4,'الوحدات'!$A:$A,0)),""))</f>
        <v>P01</v>
      </c>
      <c r="Z4" s="34">
        <f>IF(ISNUMBER($H4),$H4-TODAY(),"")</f>
        <v>221</v>
      </c>
      <c r="AA4" s="34">
        <f>IF(AND(ISNUMBER($G4),ISNUMBER($H4)),IFERROR(DATEDIF($G4,$H4,"y")+1,""),"")</f>
        <v>3</v>
      </c>
      <c r="AB4" s="37" t="str">
        <f>IF(OR($X4="",$X4&gt;=$AA4),"",DATE(YEAR($G4)+$X4,MONTH($G4),DAY($G4)))</f>
        <v/>
      </c>
      <c r="AC4" s="28" t="str">
        <f>IF($AB4="","",IF($X4+1&gt;10,0,INDEX($AD4:$AM4,1,$X4+1)))</f>
        <v/>
      </c>
      <c r="AD4" s="28">
        <f>IF($AA4="","",IFERROR(VALUE(MID($AN4,SEARCH(";1:",$AN4)+3,SEARCH(";",$AN4,SEARCH(";1:",$AN4)+3)-SEARCH(";1:",$AN4)-3)),$I4))</f>
        <v>41000</v>
      </c>
      <c r="AE4" s="28">
        <f>IF(OR($AA4="",2&gt;$AA4),"",IFERROR(VALUE(MID($AN4,SEARCH(";2:",$AN4)+3,SEARCH(";",$AN4,SEARCH(";2:",$AN4)+3)-SEARCH(";2:",$AN4)-3)),ROUND($AD4*(1+$J4/100),0)))</f>
        <v>45100</v>
      </c>
      <c r="AF4" s="28">
        <f>IF(OR($AA4="",3&gt;$AA4),"",IFERROR(VALUE(MID($AN4,SEARCH(";3:",$AN4)+3,SEARCH(";",$AN4,SEARCH(";3:",$AN4)+3)-SEARCH(";3:",$AN4)-3)),ROUND($AE4*(1+$J4/100),0)))</f>
        <v>49610</v>
      </c>
      <c r="AG4" s="28" t="str">
        <f>IF(OR($AA4="",4&gt;$AA4),"",IFERROR(VALUE(MID($AN4,SEARCH(";4:",$AN4)+3,SEARCH(";",$AN4,SEARCH(";4:",$AN4)+3)-SEARCH(";4:",$AN4)-3)),ROUND($AF4*(1+$J4/100),0)))</f>
        <v/>
      </c>
      <c r="AH4" s="28" t="str">
        <f>IF(OR($AA4="",5&gt;$AA4),"",IFERROR(VALUE(MID($AN4,SEARCH(";5:",$AN4)+3,SEARCH(";",$AN4,SEARCH(";5:",$AN4)+3)-SEARCH(";5:",$AN4)-3)),ROUND($AG4*(1+$J4/100),0)))</f>
        <v/>
      </c>
      <c r="AI4" s="28" t="str">
        <f>IF(OR($AA4="",6&gt;$AA4),"",IFERROR(VALUE(MID($AN4,SEARCH(";6:",$AN4)+3,SEARCH(";",$AN4,SEARCH(";6:",$AN4)+3)-SEARCH(";6:",$AN4)-3)),ROUND($AH4*(1+$J4/100),0)))</f>
        <v/>
      </c>
      <c r="AJ4" s="28" t="str">
        <f>IF(OR($AA4="",7&gt;$AA4),"",IFERROR(VALUE(MID($AN4,SEARCH(";7:",$AN4)+3,SEARCH(";",$AN4,SEARCH(";7:",$AN4)+3)-SEARCH(";7:",$AN4)-3)),ROUND($AI4*(1+$J4/100),0)))</f>
        <v/>
      </c>
      <c r="AK4" s="28" t="str">
        <f>IF(OR($AA4="",8&gt;$AA4),"",IFERROR(VALUE(MID($AN4,SEARCH(";8:",$AN4)+3,SEARCH(";",$AN4,SEARCH(";8:",$AN4)+3)-SEARCH(";8:",$AN4)-3)),ROUND($AJ4*(1+$J4/100),0)))</f>
        <v/>
      </c>
      <c r="AL4" s="28" t="str">
        <f>IF(OR($AA4="",9&gt;$AA4),"",IFERROR(VALUE(MID($AN4,SEARCH(";9:",$AN4)+3,SEARCH(";",$AN4,SEARCH(";9:",$AN4)+3)-SEARCH(";9:",$AN4)-3)),ROUND($AK4*(1+$J4/100),0)))</f>
        <v/>
      </c>
      <c r="AM4" s="28" t="str">
        <f>IF(OR($AA4="",10&gt;$AA4),"",IFERROR(VALUE(MID($AN4,SEARCH(";10:",$AN4)+4,SEARCH(";",$AN4,SEARCH(";10:",$AN4)+4)-SEARCH(";10:",$AN4)-4)),ROUND($AL4*(1+$J4/100),0)))</f>
        <v/>
      </c>
      <c r="AN4" s="36" t="str">
        <f>";"&amp;SUBSTITUTE(SUBSTITUTE(SUBSTITUTE(SUBSTITUTE(SUBSTITUTE(SUBSTITUTE($K4," ",""),"،",";"),CHAR(10),";"),"=",":"),",",""),"٫",".")&amp;";"</f>
        <v>;2:45100;3:49610;</v>
      </c>
      <c r="AO4" s="36" t="str">
        <f>IF($T4="ساري",$B4,"")</f>
        <v>P01-M1-2</v>
      </c>
    </row>
    <row r="5" spans="1:41" x14ac:dyDescent="0.25">
      <c r="A5" t="s">
        <v>59</v>
      </c>
      <c r="B5" t="s">
        <v>60</v>
      </c>
      <c r="C5" t="s">
        <v>61</v>
      </c>
      <c r="D5" s="27" t="str">
        <f>IF($Y5="","",IFERROR(INDEX('المشاريع'!$B:$B,MATCH($Y5,'المشاريع'!$A:$A,0)),""))</f>
        <v>بابل</v>
      </c>
      <c r="E5" s="27" t="str">
        <f>IF($B5="","",IFERROR(INDEX('الوحدات'!$D:$D,MATCH($B5,'الوحدات'!$A:$A,0)),""))</f>
        <v>ميزان 3</v>
      </c>
      <c r="F5" s="27" t="str">
        <f>IF($C5="","",IFERROR(INDEX('العملاء'!$B:$B,MATCH($C5,'العملاء'!$A:$A,0)),""))</f>
        <v>شركة النور للإنتاج الفني</v>
      </c>
      <c r="G5" s="33">
        <v>45444</v>
      </c>
      <c r="H5" s="33">
        <v>46173</v>
      </c>
      <c r="I5" s="39">
        <v>41800</v>
      </c>
      <c r="J5">
        <v>0</v>
      </c>
      <c r="K5" t="s">
        <v>586</v>
      </c>
      <c r="L5" s="39">
        <v>0</v>
      </c>
      <c r="M5" t="s">
        <v>584</v>
      </c>
      <c r="N5">
        <v>1</v>
      </c>
      <c r="O5" t="s">
        <v>35</v>
      </c>
      <c r="P5" t="s">
        <v>35</v>
      </c>
      <c r="Q5">
        <v>6</v>
      </c>
      <c r="R5" t="s">
        <v>35</v>
      </c>
      <c r="S5" s="33"/>
      <c r="T5" s="27" t="str">
        <f>IF(NOT(AND(ISNUMBER($G5),ISNUMBER($H5))),"تواريخ غير صحيحة",IF(TODAY()&lt;$G5,"لم يبدأ",IF(TODAY()&gt;$H5,IF(IF($A5="",0,COUNTIF($O:$O,$A5))+IF($B5="",0,COUNTIFS($B:$B,$B5,$G:$G,"&gt;"&amp;$H5)-IF($G5&gt;$H5,1,0))&gt;0,"منتهٍ (أُجِّرت بعده)","منتهٍ"),"ساري")))</f>
        <v>منتهٍ</v>
      </c>
      <c r="U5" s="28">
        <f>IF($X5="","",IF($X5&gt;10,41800,INDEX($AD5:$AM5,1,$X5)))</f>
        <v>41800</v>
      </c>
      <c r="V5" s="28">
        <f>IF($A5="","",SUMIFS('المدفوعات'!$F:$F,'المدفوعات'!$B:$B,$A5))</f>
        <v>209000</v>
      </c>
      <c r="W5" s="35">
        <v>0</v>
      </c>
      <c r="X5" s="34">
        <f>IF(OR(NOT(ISNUMBER($G5)),NOT(ISNUMBER($H5)),$AA5=""),"",IF(TODAY()&lt;$G5,1,MIN($AA5,DATEDIF($G5,TODAY(),"y")+1)))</f>
        <v>2</v>
      </c>
      <c r="Y5" s="27" t="str">
        <f>IF($B5="","",IFERROR(INDEX('الوحدات'!$B:$B,MATCH($B5,'الوحدات'!$A:$A,0)),""))</f>
        <v>P01</v>
      </c>
      <c r="Z5" s="34">
        <f>IF(ISNUMBER($H5),$H5-TODAY(),"")</f>
        <v>-132</v>
      </c>
      <c r="AA5" s="34">
        <f>IF(AND(ISNUMBER($G5),ISNUMBER($H5)),IFERROR(DATEDIF($G5,$H5,"y")+1,""),"")</f>
        <v>2</v>
      </c>
      <c r="AB5" s="37" t="str">
        <f>IF(OR($X5="",$X5&gt;=$AA5),"",DATE(YEAR($G5)+$X5,MONTH($G5),DAY($G5)))</f>
        <v/>
      </c>
      <c r="AC5" s="28" t="str">
        <f>IF($AB5="","",IF($X5+1&gt;10,0,INDEX($AD5:$AM5,1,$X5+1)))</f>
        <v/>
      </c>
      <c r="AD5" s="28">
        <f>IF($AA5="","",IFERROR(VALUE(MID($AN5,SEARCH(";1:",$AN5)+3,SEARCH(";",$AN5,SEARCH(";1:",$AN5)+3)-SEARCH(";1:",$AN5)-3)),$I5))</f>
        <v>41800</v>
      </c>
      <c r="AE5" s="28">
        <f>IF(OR($AA5="",2&gt;$AA5),"",IFERROR(VALUE(MID($AN5,SEARCH(";2:",$AN5)+3,SEARCH(";",$AN5,SEARCH(";2:",$AN5)+3)-SEARCH(";2:",$AN5)-3)),ROUND($AD5*(1+$J5/100),0)))</f>
        <v>41800</v>
      </c>
      <c r="AF5" s="28" t="str">
        <f>IF(OR($AA5="",3&gt;$AA5),"",IFERROR(VALUE(MID($AN5,SEARCH(";3:",$AN5)+3,SEARCH(";",$AN5,SEARCH(";3:",$AN5)+3)-SEARCH(";3:",$AN5)-3)),ROUND($AE5*(1+$J5/100),0)))</f>
        <v/>
      </c>
      <c r="AG5" s="28" t="str">
        <f>IF(OR($AA5="",4&gt;$AA5),"",IFERROR(VALUE(MID($AN5,SEARCH(";4:",$AN5)+3,SEARCH(";",$AN5,SEARCH(";4:",$AN5)+3)-SEARCH(";4:",$AN5)-3)),ROUND($AF5*(1+$J5/100),0)))</f>
        <v/>
      </c>
      <c r="AH5" s="28" t="str">
        <f>IF(OR($AA5="",5&gt;$AA5),"",IFERROR(VALUE(MID($AN5,SEARCH(";5:",$AN5)+3,SEARCH(";",$AN5,SEARCH(";5:",$AN5)+3)-SEARCH(";5:",$AN5)-3)),ROUND($AG5*(1+$J5/100),0)))</f>
        <v/>
      </c>
      <c r="AI5" s="28" t="str">
        <f>IF(OR($AA5="",6&gt;$AA5),"",IFERROR(VALUE(MID($AN5,SEARCH(";6:",$AN5)+3,SEARCH(";",$AN5,SEARCH(";6:",$AN5)+3)-SEARCH(";6:",$AN5)-3)),ROUND($AH5*(1+$J5/100),0)))</f>
        <v/>
      </c>
      <c r="AJ5" s="28" t="str">
        <f>IF(OR($AA5="",7&gt;$AA5),"",IFERROR(VALUE(MID($AN5,SEARCH(";7:",$AN5)+3,SEARCH(";",$AN5,SEARCH(";7:",$AN5)+3)-SEARCH(";7:",$AN5)-3)),ROUND($AI5*(1+$J5/100),0)))</f>
        <v/>
      </c>
      <c r="AK5" s="28" t="str">
        <f>IF(OR($AA5="",8&gt;$AA5),"",IFERROR(VALUE(MID($AN5,SEARCH(";8:",$AN5)+3,SEARCH(";",$AN5,SEARCH(";8:",$AN5)+3)-SEARCH(";8:",$AN5)-3)),ROUND($AJ5*(1+$J5/100),0)))</f>
        <v/>
      </c>
      <c r="AL5" s="28" t="str">
        <f>IF(OR($AA5="",9&gt;$AA5),"",IFERROR(VALUE(MID($AN5,SEARCH(";9:",$AN5)+3,SEARCH(";",$AN5,SEARCH(";9:",$AN5)+3)-SEARCH(";9:",$AN5)-3)),ROUND($AK5*(1+$J5/100),0)))</f>
        <v/>
      </c>
      <c r="AM5" s="28" t="str">
        <f>IF(OR($AA5="",10&gt;$AA5),"",IFERROR(VALUE(MID($AN5,SEARCH(";10:",$AN5)+4,SEARCH(";",$AN5,SEARCH(";10:",$AN5)+4)-SEARCH(";10:",$AN5)-4)),ROUND($AL5*(1+$J5/100),0)))</f>
        <v/>
      </c>
      <c r="AN5" s="36" t="str">
        <f>";"&amp;SUBSTITUTE(SUBSTITUTE(SUBSTITUTE(SUBSTITUTE(SUBSTITUTE(SUBSTITUTE($K5," ",""),"،",";"),CHAR(10),";"),"=",":"),",",""),"٫",".")&amp;";"</f>
        <v>;2:41800;</v>
      </c>
      <c r="AO5" s="36" t="str">
        <f>IF($T5="ساري",$B5,"")</f>
        <v/>
      </c>
    </row>
    <row r="6" spans="1:41" x14ac:dyDescent="0.25">
      <c r="A6" t="s">
        <v>63</v>
      </c>
      <c r="B6" t="s">
        <v>64</v>
      </c>
      <c r="C6" t="s">
        <v>54</v>
      </c>
      <c r="D6" s="27" t="str">
        <f>IF($Y6="","",IFERROR(INDEX('المشاريع'!$B:$B,MATCH($Y6,'المشاريع'!$A:$A,0)),""))</f>
        <v>بابل</v>
      </c>
      <c r="E6" s="27" t="str">
        <f>IF($B6="","",IFERROR(INDEX('الوحدات'!$D:$D,MATCH($B6,'الوحدات'!$A:$A,0)),""))</f>
        <v>الدور الثاني</v>
      </c>
      <c r="F6" s="27" t="str">
        <f>IF($C6="","",IFERROR(INDEX('العملاء'!$B:$B,MATCH($C6,'العملاء'!$A:$A,0)),""))</f>
        <v>شركة الأفق لتكنولوجيا المعلومات</v>
      </c>
      <c r="G6" s="33">
        <v>45352</v>
      </c>
      <c r="H6" s="33">
        <v>46446</v>
      </c>
      <c r="I6" s="39">
        <v>76000</v>
      </c>
      <c r="J6">
        <v>10</v>
      </c>
      <c r="K6" t="s">
        <v>587</v>
      </c>
      <c r="L6" s="39">
        <v>0</v>
      </c>
      <c r="M6" t="s">
        <v>584</v>
      </c>
      <c r="N6">
        <v>1</v>
      </c>
      <c r="O6" t="s">
        <v>35</v>
      </c>
      <c r="P6" t="s">
        <v>35</v>
      </c>
      <c r="Q6">
        <v>7</v>
      </c>
      <c r="R6" t="s">
        <v>35</v>
      </c>
      <c r="S6" s="33"/>
      <c r="T6" s="27" t="str">
        <f>IF(NOT(AND(ISNUMBER($G6),ISNUMBER($H6))),"تواريخ غير صحيحة",IF(TODAY()&lt;$G6,"لم يبدأ",IF(TODAY()&gt;$H6,IF(IF($A6="",0,COUNTIF($O:$O,$A6))+IF($B6="",0,COUNTIFS($B:$B,$B6,$G:$G,"&gt;"&amp;$H6)-IF($G6&gt;$H6,1,0))&gt;0,"منتهٍ (أُجِّرت بعده)","منتهٍ"),"ساري")))</f>
        <v>ساري</v>
      </c>
      <c r="U6" s="28">
        <f>IF($X6="","",IF($X6&gt;10,91960,INDEX($AD6:$AM6,1,$X6)))</f>
        <v>91960</v>
      </c>
      <c r="V6" s="28">
        <f>IF($A6="","",SUMIFS('المدفوعات'!$F:$F,'المدفوعات'!$B:$B,$A6))</f>
        <v>718960</v>
      </c>
      <c r="W6" s="35">
        <v>0</v>
      </c>
      <c r="X6" s="34">
        <f>IF(OR(NOT(ISNUMBER($G6)),NOT(ISNUMBER($H6)),$AA6=""),"",IF(TODAY()&lt;$G6,1,MIN($AA6,DATEDIF($G6,TODAY(),"y")+1)))</f>
        <v>3</v>
      </c>
      <c r="Y6" s="27" t="str">
        <f>IF($B6="","",IFERROR(INDEX('الوحدات'!$B:$B,MATCH($B6,'الوحدات'!$A:$A,0)),""))</f>
        <v>P01</v>
      </c>
      <c r="Z6" s="34">
        <f>IF(ISNUMBER($H6),$H6-TODAY(),"")</f>
        <v>141</v>
      </c>
      <c r="AA6" s="34">
        <f>IF(AND(ISNUMBER($G6),ISNUMBER($H6)),IFERROR(DATEDIF($G6,$H6,"y")+1,""),"")</f>
        <v>3</v>
      </c>
      <c r="AB6" s="37" t="str">
        <f>IF(OR($X6="",$X6&gt;=$AA6),"",DATE(YEAR($G6)+$X6,MONTH($G6),DAY($G6)))</f>
        <v/>
      </c>
      <c r="AC6" s="28" t="str">
        <f>IF($AB6="","",IF($X6+1&gt;10,0,INDEX($AD6:$AM6,1,$X6+1)))</f>
        <v/>
      </c>
      <c r="AD6" s="28">
        <f>IF($AA6="","",IFERROR(VALUE(MID($AN6,SEARCH(";1:",$AN6)+3,SEARCH(";",$AN6,SEARCH(";1:",$AN6)+3)-SEARCH(";1:",$AN6)-3)),$I6))</f>
        <v>76000</v>
      </c>
      <c r="AE6" s="28">
        <f>IF(OR($AA6="",2&gt;$AA6),"",IFERROR(VALUE(MID($AN6,SEARCH(";2:",$AN6)+3,SEARCH(";",$AN6,SEARCH(";2:",$AN6)+3)-SEARCH(";2:",$AN6)-3)),ROUND($AD6*(1+$J6/100),0)))</f>
        <v>83600</v>
      </c>
      <c r="AF6" s="28">
        <f>IF(OR($AA6="",3&gt;$AA6),"",IFERROR(VALUE(MID($AN6,SEARCH(";3:",$AN6)+3,SEARCH(";",$AN6,SEARCH(";3:",$AN6)+3)-SEARCH(";3:",$AN6)-3)),ROUND($AE6*(1+$J6/100),0)))</f>
        <v>91960</v>
      </c>
      <c r="AG6" s="28" t="str">
        <f>IF(OR($AA6="",4&gt;$AA6),"",IFERROR(VALUE(MID($AN6,SEARCH(";4:",$AN6)+3,SEARCH(";",$AN6,SEARCH(";4:",$AN6)+3)-SEARCH(";4:",$AN6)-3)),ROUND($AF6*(1+$J6/100),0)))</f>
        <v/>
      </c>
      <c r="AH6" s="28" t="str">
        <f>IF(OR($AA6="",5&gt;$AA6),"",IFERROR(VALUE(MID($AN6,SEARCH(";5:",$AN6)+3,SEARCH(";",$AN6,SEARCH(";5:",$AN6)+3)-SEARCH(";5:",$AN6)-3)),ROUND($AG6*(1+$J6/100),0)))</f>
        <v/>
      </c>
      <c r="AI6" s="28" t="str">
        <f>IF(OR($AA6="",6&gt;$AA6),"",IFERROR(VALUE(MID($AN6,SEARCH(";6:",$AN6)+3,SEARCH(";",$AN6,SEARCH(";6:",$AN6)+3)-SEARCH(";6:",$AN6)-3)),ROUND($AH6*(1+$J6/100),0)))</f>
        <v/>
      </c>
      <c r="AJ6" s="28" t="str">
        <f>IF(OR($AA6="",7&gt;$AA6),"",IFERROR(VALUE(MID($AN6,SEARCH(";7:",$AN6)+3,SEARCH(";",$AN6,SEARCH(";7:",$AN6)+3)-SEARCH(";7:",$AN6)-3)),ROUND($AI6*(1+$J6/100),0)))</f>
        <v/>
      </c>
      <c r="AK6" s="28" t="str">
        <f>IF(OR($AA6="",8&gt;$AA6),"",IFERROR(VALUE(MID($AN6,SEARCH(";8:",$AN6)+3,SEARCH(";",$AN6,SEARCH(";8:",$AN6)+3)-SEARCH(";8:",$AN6)-3)),ROUND($AJ6*(1+$J6/100),0)))</f>
        <v/>
      </c>
      <c r="AL6" s="28" t="str">
        <f>IF(OR($AA6="",9&gt;$AA6),"",IFERROR(VALUE(MID($AN6,SEARCH(";9:",$AN6)+3,SEARCH(";",$AN6,SEARCH(";9:",$AN6)+3)-SEARCH(";9:",$AN6)-3)),ROUND($AK6*(1+$J6/100),0)))</f>
        <v/>
      </c>
      <c r="AM6" s="28" t="str">
        <f>IF(OR($AA6="",10&gt;$AA6),"",IFERROR(VALUE(MID($AN6,SEARCH(";10:",$AN6)+4,SEARCH(";",$AN6,SEARCH(";10:",$AN6)+4)-SEARCH(";10:",$AN6)-4)),ROUND($AL6*(1+$J6/100),0)))</f>
        <v/>
      </c>
      <c r="AN6" s="36" t="str">
        <f>";"&amp;SUBSTITUTE(SUBSTITUTE(SUBSTITUTE(SUBSTITUTE(SUBSTITUTE(SUBSTITUTE($K6," ",""),"،",";"),CHAR(10),";"),"=",":"),",",""),"٫",".")&amp;";"</f>
        <v>;2:83600;3:91960;</v>
      </c>
      <c r="AO6" s="36" t="str">
        <f>IF($T6="ساري",$B6,"")</f>
        <v>P01-F2</v>
      </c>
    </row>
    <row r="7" spans="1:41" x14ac:dyDescent="0.25">
      <c r="A7" t="s">
        <v>70</v>
      </c>
      <c r="B7" t="s">
        <v>71</v>
      </c>
      <c r="C7" t="s">
        <v>72</v>
      </c>
      <c r="D7" s="27" t="str">
        <f>IF($Y7="","",IFERROR(INDEX('المشاريع'!$B:$B,MATCH($Y7,'المشاريع'!$A:$A,0)),""))</f>
        <v>بابل</v>
      </c>
      <c r="E7" s="27" t="str">
        <f>IF($B7="","",IFERROR(INDEX('الوحدات'!$D:$D,MATCH($B7,'الوحدات'!$A:$A,0)),""))</f>
        <v>مكتب 42</v>
      </c>
      <c r="F7" s="27" t="str">
        <f>IF($C7="","",IFERROR(INDEX('العملاء'!$B:$B,MATCH($C7,'العملاء'!$A:$A,0)),""))</f>
        <v>شركة الأمل للاستشارات الهندسية</v>
      </c>
      <c r="G7" s="33">
        <v>45158</v>
      </c>
      <c r="H7" s="33">
        <v>46253</v>
      </c>
      <c r="I7" s="39">
        <v>30250</v>
      </c>
      <c r="J7">
        <v>0</v>
      </c>
      <c r="K7" t="s">
        <v>588</v>
      </c>
      <c r="L7" s="39">
        <v>0</v>
      </c>
      <c r="M7" t="s">
        <v>584</v>
      </c>
      <c r="N7">
        <v>1</v>
      </c>
      <c r="O7" t="s">
        <v>35</v>
      </c>
      <c r="P7" t="s">
        <v>35</v>
      </c>
      <c r="Q7">
        <v>8</v>
      </c>
      <c r="R7" t="s">
        <v>35</v>
      </c>
      <c r="S7" s="33"/>
      <c r="T7" s="27" t="str">
        <f>IF(NOT(AND(ISNUMBER($G7),ISNUMBER($H7))),"تواريخ غير صحيحة",IF(TODAY()&lt;$G7,"لم يبدأ",IF(TODAY()&gt;$H7,IF(IF($A7="",0,COUNTIF($O:$O,$A7))+IF($B7="",0,COUNTIFS($B:$B,$B7,$G:$G,"&gt;"&amp;$H7)-IF($G7&gt;$H7,1,0))&gt;0,"منتهٍ (أُجِّرت بعده)","منتهٍ"),"ساري")))</f>
        <v>منتهٍ</v>
      </c>
      <c r="U7" s="28">
        <f>IF($X7="","",IF($X7&gt;10,30250,INDEX($AD7:$AM7,1,$X7)))</f>
        <v>30250</v>
      </c>
      <c r="V7" s="28">
        <f>IF($A7="","",SUMIFS('المدفوعات'!$F:$F,'المدفوعات'!$B:$B,$A7))</f>
        <v>255840</v>
      </c>
      <c r="W7" s="35">
        <v>0</v>
      </c>
      <c r="X7" s="34">
        <f>IF(OR(NOT(ISNUMBER($G7)),NOT(ISNUMBER($H7)),$AA7=""),"",IF(TODAY()&lt;$G7,1,MIN($AA7,DATEDIF($G7,TODAY(),"y")+1)))</f>
        <v>3</v>
      </c>
      <c r="Y7" s="27" t="str">
        <f>IF($B7="","",IFERROR(INDEX('الوحدات'!$B:$B,MATCH($B7,'الوحدات'!$A:$A,0)),""))</f>
        <v>P01</v>
      </c>
      <c r="Z7" s="34">
        <f>IF(ISNUMBER($H7),$H7-TODAY(),"")</f>
        <v>-52</v>
      </c>
      <c r="AA7" s="34">
        <f>IF(AND(ISNUMBER($G7),ISNUMBER($H7)),IFERROR(DATEDIF($G7,$H7,"y")+1,""),"")</f>
        <v>3</v>
      </c>
      <c r="AB7" s="37" t="str">
        <f>IF(OR($X7="",$X7&gt;=$AA7),"",DATE(YEAR($G7)+$X7,MONTH($G7),DAY($G7)))</f>
        <v/>
      </c>
      <c r="AC7" s="28" t="str">
        <f>IF($AB7="","",IF($X7+1&gt;10,0,INDEX($AD7:$AM7,1,$X7+1)))</f>
        <v/>
      </c>
      <c r="AD7" s="28">
        <f>IF($AA7="","",IFERROR(VALUE(MID($AN7,SEARCH(";1:",$AN7)+3,SEARCH(";",$AN7,SEARCH(";1:",$AN7)+3)-SEARCH(";1:",$AN7)-3)),$I7))</f>
        <v>30250</v>
      </c>
      <c r="AE7" s="28">
        <f>IF(OR($AA7="",2&gt;$AA7),"",IFERROR(VALUE(MID($AN7,SEARCH(";2:",$AN7)+3,SEARCH(";",$AN7,SEARCH(";2:",$AN7)+3)-SEARCH(";2:",$AN7)-3)),ROUND($AD7*(1+$J7/100),0)))</f>
        <v>30250</v>
      </c>
      <c r="AF7" s="28">
        <f>IF(OR($AA7="",3&gt;$AA7),"",IFERROR(VALUE(MID($AN7,SEARCH(";3:",$AN7)+3,SEARCH(";",$AN7,SEARCH(";3:",$AN7)+3)-SEARCH(";3:",$AN7)-3)),ROUND($AE7*(1+$J7/100),0)))</f>
        <v>30250</v>
      </c>
      <c r="AG7" s="28" t="str">
        <f>IF(OR($AA7="",4&gt;$AA7),"",IFERROR(VALUE(MID($AN7,SEARCH(";4:",$AN7)+3,SEARCH(";",$AN7,SEARCH(";4:",$AN7)+3)-SEARCH(";4:",$AN7)-3)),ROUND($AF7*(1+$J7/100),0)))</f>
        <v/>
      </c>
      <c r="AH7" s="28" t="str">
        <f>IF(OR($AA7="",5&gt;$AA7),"",IFERROR(VALUE(MID($AN7,SEARCH(";5:",$AN7)+3,SEARCH(";",$AN7,SEARCH(";5:",$AN7)+3)-SEARCH(";5:",$AN7)-3)),ROUND($AG7*(1+$J7/100),0)))</f>
        <v/>
      </c>
      <c r="AI7" s="28" t="str">
        <f>IF(OR($AA7="",6&gt;$AA7),"",IFERROR(VALUE(MID($AN7,SEARCH(";6:",$AN7)+3,SEARCH(";",$AN7,SEARCH(";6:",$AN7)+3)-SEARCH(";6:",$AN7)-3)),ROUND($AH7*(1+$J7/100),0)))</f>
        <v/>
      </c>
      <c r="AJ7" s="28" t="str">
        <f>IF(OR($AA7="",7&gt;$AA7),"",IFERROR(VALUE(MID($AN7,SEARCH(";7:",$AN7)+3,SEARCH(";",$AN7,SEARCH(";7:",$AN7)+3)-SEARCH(";7:",$AN7)-3)),ROUND($AI7*(1+$J7/100),0)))</f>
        <v/>
      </c>
      <c r="AK7" s="28" t="str">
        <f>IF(OR($AA7="",8&gt;$AA7),"",IFERROR(VALUE(MID($AN7,SEARCH(";8:",$AN7)+3,SEARCH(";",$AN7,SEARCH(";8:",$AN7)+3)-SEARCH(";8:",$AN7)-3)),ROUND($AJ7*(1+$J7/100),0)))</f>
        <v/>
      </c>
      <c r="AL7" s="28" t="str">
        <f>IF(OR($AA7="",9&gt;$AA7),"",IFERROR(VALUE(MID($AN7,SEARCH(";9:",$AN7)+3,SEARCH(";",$AN7,SEARCH(";9:",$AN7)+3)-SEARCH(";9:",$AN7)-3)),ROUND($AK7*(1+$J7/100),0)))</f>
        <v/>
      </c>
      <c r="AM7" s="28" t="str">
        <f>IF(OR($AA7="",10&gt;$AA7),"",IFERROR(VALUE(MID($AN7,SEARCH(";10:",$AN7)+4,SEARCH(";",$AN7,SEARCH(";10:",$AN7)+4)-SEARCH(";10:",$AN7)-4)),ROUND($AL7*(1+$J7/100),0)))</f>
        <v/>
      </c>
      <c r="AN7" s="36" t="str">
        <f>";"&amp;SUBSTITUTE(SUBSTITUTE(SUBSTITUTE(SUBSTITUTE(SUBSTITUTE(SUBSTITUTE($K7," ",""),"،",";"),CHAR(10),";"),"=",":"),",",""),"٫",".")&amp;";"</f>
        <v>;3:30250;</v>
      </c>
      <c r="AO7" s="36" t="str">
        <f>IF($T7="ساري",$B7,"")</f>
        <v/>
      </c>
    </row>
    <row r="8" spans="1:41" x14ac:dyDescent="0.25">
      <c r="A8" t="s">
        <v>76</v>
      </c>
      <c r="B8" t="s">
        <v>77</v>
      </c>
      <c r="C8" t="s">
        <v>78</v>
      </c>
      <c r="D8" s="27" t="str">
        <f>IF($Y8="","",IFERROR(INDEX('المشاريع'!$B:$B,MATCH($Y8,'المشاريع'!$A:$A,0)),""))</f>
        <v>بابل</v>
      </c>
      <c r="E8" s="27" t="str">
        <f>IF($B8="","",IFERROR(INDEX('الوحدات'!$D:$D,MATCH($B8,'الوحدات'!$A:$A,0)),""))</f>
        <v>مكتب 61</v>
      </c>
      <c r="F8" s="27" t="str">
        <f>IF($C8="","",IFERROR(INDEX('العملاء'!$B:$B,MATCH($C8,'العملاء'!$A:$A,0)),""))</f>
        <v>عمرو إبراهيم فوزي</v>
      </c>
      <c r="G8" s="33">
        <v>45017</v>
      </c>
      <c r="H8" s="33">
        <v>46112</v>
      </c>
      <c r="I8" s="39">
        <v>24330</v>
      </c>
      <c r="J8">
        <v>0</v>
      </c>
      <c r="K8" t="s">
        <v>589</v>
      </c>
      <c r="L8" s="39">
        <v>0</v>
      </c>
      <c r="M8" t="s">
        <v>584</v>
      </c>
      <c r="N8">
        <v>1</v>
      </c>
      <c r="O8" t="s">
        <v>35</v>
      </c>
      <c r="P8" t="s">
        <v>35</v>
      </c>
      <c r="Q8">
        <v>9</v>
      </c>
      <c r="R8" t="s">
        <v>35</v>
      </c>
      <c r="S8" s="33"/>
      <c r="T8" s="27" t="str">
        <f>IF(NOT(AND(ISNUMBER($G8),ISNUMBER($H8))),"تواريخ غير صحيحة",IF(TODAY()&lt;$G8,"لم يبدأ",IF(TODAY()&gt;$H8,IF(IF($A8="",0,COUNTIF($O:$O,$A8))+IF($B8="",0,COUNTIFS($B:$B,$B8,$G:$G,"&gt;"&amp;$H8)-IF($G8&gt;$H8,1,0))&gt;0,"منتهٍ (أُجِّرت بعده)","منتهٍ"),"ساري")))</f>
        <v>منتهٍ</v>
      </c>
      <c r="U8" s="28">
        <f>IF($X8="","",IF($X8&gt;10,24330,INDEX($AD8:$AM8,1,$X8)))</f>
        <v>24330</v>
      </c>
      <c r="V8" s="28">
        <f>IF($A8="","",SUMIFS('المدفوعات'!$F:$F,'المدفوعات'!$B:$B,$A8))</f>
        <v>72990</v>
      </c>
      <c r="W8" s="35">
        <v>0</v>
      </c>
      <c r="X8" s="34">
        <f>IF(OR(NOT(ISNUMBER($G8)),NOT(ISNUMBER($H8)),$AA8=""),"",IF(TODAY()&lt;$G8,1,MIN($AA8,DATEDIF($G8,TODAY(),"y")+1)))</f>
        <v>3</v>
      </c>
      <c r="Y8" s="27" t="str">
        <f>IF($B8="","",IFERROR(INDEX('الوحدات'!$B:$B,MATCH($B8,'الوحدات'!$A:$A,0)),""))</f>
        <v>P01</v>
      </c>
      <c r="Z8" s="34">
        <f>IF(ISNUMBER($H8),$H8-TODAY(),"")</f>
        <v>-193</v>
      </c>
      <c r="AA8" s="34">
        <f>IF(AND(ISNUMBER($G8),ISNUMBER($H8)),IFERROR(DATEDIF($G8,$H8,"y")+1,""),"")</f>
        <v>3</v>
      </c>
      <c r="AB8" s="37" t="str">
        <f>IF(OR($X8="",$X8&gt;=$AA8),"",DATE(YEAR($G8)+$X8,MONTH($G8),DAY($G8)))</f>
        <v/>
      </c>
      <c r="AC8" s="28" t="str">
        <f>IF($AB8="","",IF($X8+1&gt;10,0,INDEX($AD8:$AM8,1,$X8+1)))</f>
        <v/>
      </c>
      <c r="AD8" s="28">
        <f>IF($AA8="","",IFERROR(VALUE(MID($AN8,SEARCH(";1:",$AN8)+3,SEARCH(";",$AN8,SEARCH(";1:",$AN8)+3)-SEARCH(";1:",$AN8)-3)),$I8))</f>
        <v>24330</v>
      </c>
      <c r="AE8" s="28">
        <f>IF(OR($AA8="",2&gt;$AA8),"",IFERROR(VALUE(MID($AN8,SEARCH(";2:",$AN8)+3,SEARCH(";",$AN8,SEARCH(";2:",$AN8)+3)-SEARCH(";2:",$AN8)-3)),ROUND($AD8*(1+$J8/100),0)))</f>
        <v>24330</v>
      </c>
      <c r="AF8" s="28">
        <f>IF(OR($AA8="",3&gt;$AA8),"",IFERROR(VALUE(MID($AN8,SEARCH(";3:",$AN8)+3,SEARCH(";",$AN8,SEARCH(";3:",$AN8)+3)-SEARCH(";3:",$AN8)-3)),ROUND($AE8*(1+$J8/100),0)))</f>
        <v>24330</v>
      </c>
      <c r="AG8" s="28" t="str">
        <f>IF(OR($AA8="",4&gt;$AA8),"",IFERROR(VALUE(MID($AN8,SEARCH(";4:",$AN8)+3,SEARCH(";",$AN8,SEARCH(";4:",$AN8)+3)-SEARCH(";4:",$AN8)-3)),ROUND($AF8*(1+$J8/100),0)))</f>
        <v/>
      </c>
      <c r="AH8" s="28" t="str">
        <f>IF(OR($AA8="",5&gt;$AA8),"",IFERROR(VALUE(MID($AN8,SEARCH(";5:",$AN8)+3,SEARCH(";",$AN8,SEARCH(";5:",$AN8)+3)-SEARCH(";5:",$AN8)-3)),ROUND($AG8*(1+$J8/100),0)))</f>
        <v/>
      </c>
      <c r="AI8" s="28" t="str">
        <f>IF(OR($AA8="",6&gt;$AA8),"",IFERROR(VALUE(MID($AN8,SEARCH(";6:",$AN8)+3,SEARCH(";",$AN8,SEARCH(";6:",$AN8)+3)-SEARCH(";6:",$AN8)-3)),ROUND($AH8*(1+$J8/100),0)))</f>
        <v/>
      </c>
      <c r="AJ8" s="28" t="str">
        <f>IF(OR($AA8="",7&gt;$AA8),"",IFERROR(VALUE(MID($AN8,SEARCH(";7:",$AN8)+3,SEARCH(";",$AN8,SEARCH(";7:",$AN8)+3)-SEARCH(";7:",$AN8)-3)),ROUND($AI8*(1+$J8/100),0)))</f>
        <v/>
      </c>
      <c r="AK8" s="28" t="str">
        <f>IF(OR($AA8="",8&gt;$AA8),"",IFERROR(VALUE(MID($AN8,SEARCH(";8:",$AN8)+3,SEARCH(";",$AN8,SEARCH(";8:",$AN8)+3)-SEARCH(";8:",$AN8)-3)),ROUND($AJ8*(1+$J8/100),0)))</f>
        <v/>
      </c>
      <c r="AL8" s="28" t="str">
        <f>IF(OR($AA8="",9&gt;$AA8),"",IFERROR(VALUE(MID($AN8,SEARCH(";9:",$AN8)+3,SEARCH(";",$AN8,SEARCH(";9:",$AN8)+3)-SEARCH(";9:",$AN8)-3)),ROUND($AK8*(1+$J8/100),0)))</f>
        <v/>
      </c>
      <c r="AM8" s="28" t="str">
        <f>IF(OR($AA8="",10&gt;$AA8),"",IFERROR(VALUE(MID($AN8,SEARCH(";10:",$AN8)+4,SEARCH(";",$AN8,SEARCH(";10:",$AN8)+4)-SEARCH(";10:",$AN8)-4)),ROUND($AL8*(1+$J8/100),0)))</f>
        <v/>
      </c>
      <c r="AN8" s="36" t="str">
        <f>";"&amp;SUBSTITUTE(SUBSTITUTE(SUBSTITUTE(SUBSTITUTE(SUBSTITUTE(SUBSTITUTE($K8," ",""),"،",";"),CHAR(10),";"),"=",":"),",",""),"٫",".")&amp;";"</f>
        <v>;3:24330;</v>
      </c>
      <c r="AO8" s="36" t="str">
        <f>IF($T8="ساري",$B8,"")</f>
        <v/>
      </c>
    </row>
    <row r="9" spans="1:41" x14ac:dyDescent="0.25">
      <c r="A9" t="s">
        <v>86</v>
      </c>
      <c r="B9" t="s">
        <v>87</v>
      </c>
      <c r="C9" t="s">
        <v>88</v>
      </c>
      <c r="D9" s="27" t="str">
        <f>IF($Y9="","",IFERROR(INDEX('المشاريع'!$B:$B,MATCH($Y9,'المشاريع'!$A:$A,0)),""))</f>
        <v>محيي الدين</v>
      </c>
      <c r="E9" s="27" t="str">
        <f>IF($B9="","",IFERROR(INDEX('الوحدات'!$D:$D,MATCH($B9,'الوحدات'!$A:$A,0)),""))</f>
        <v>ميزان 1</v>
      </c>
      <c r="F9" s="27" t="str">
        <f>IF($C9="","",IFERROR(INDEX('العملاء'!$B:$B,MATCH($C9,'العملاء'!$A:$A,0)),""))</f>
        <v>شركة المستقبل للتدريب</v>
      </c>
      <c r="G9" s="33">
        <v>45139</v>
      </c>
      <c r="H9" s="33">
        <v>46965</v>
      </c>
      <c r="I9" s="39">
        <v>35000</v>
      </c>
      <c r="J9">
        <v>10</v>
      </c>
      <c r="K9" t="s">
        <v>590</v>
      </c>
      <c r="L9" s="39">
        <v>0</v>
      </c>
      <c r="M9" t="s">
        <v>584</v>
      </c>
      <c r="N9">
        <v>1</v>
      </c>
      <c r="O9" t="s">
        <v>35</v>
      </c>
      <c r="P9" t="s">
        <v>35</v>
      </c>
      <c r="Q9">
        <v>10</v>
      </c>
      <c r="R9" t="s">
        <v>35</v>
      </c>
      <c r="S9" s="33"/>
      <c r="T9" s="27" t="str">
        <f>IF(NOT(AND(ISNUMBER($G9),ISNUMBER($H9))),"تواريخ غير صحيحة",IF(TODAY()&lt;$G9,"لم يبدأ",IF(TODAY()&gt;$H9,IF(IF($A9="",0,COUNTIF($O:$O,$A9))+IF($B9="",0,COUNTIFS($B:$B,$B9,$G:$G,"&gt;"&amp;$H9)-IF($G9&gt;$H9,1,0))&gt;0,"منتهٍ (أُجِّرت بعده)","منتهٍ"),"ساري")))</f>
        <v>ساري</v>
      </c>
      <c r="U9" s="28">
        <f>IF($X9="","",IF($X9&gt;10,46585,INDEX($AD9:$AM9,1,$X9)))</f>
        <v>46585</v>
      </c>
      <c r="V9" s="28">
        <f>IF($A9="","",SUMIFS('المدفوعات'!$F:$F,'المدفوعات'!$B:$B,$A9))</f>
        <v>343035</v>
      </c>
      <c r="W9" s="35">
        <v>0</v>
      </c>
      <c r="X9" s="34">
        <f>IF(OR(NOT(ISNUMBER($G9)),NOT(ISNUMBER($H9)),$AA9=""),"",IF(TODAY()&lt;$G9,1,MIN($AA9,DATEDIF($G9,TODAY(),"y")+1)))</f>
        <v>4</v>
      </c>
      <c r="Y9" s="27" t="str">
        <f>IF($B9="","",IFERROR(INDEX('الوحدات'!$B:$B,MATCH($B9,'الوحدات'!$A:$A,0)),""))</f>
        <v>P02</v>
      </c>
      <c r="Z9" s="34">
        <f>IF(ISNUMBER($H9),$H9-TODAY(),"")</f>
        <v>660</v>
      </c>
      <c r="AA9" s="34">
        <f>IF(AND(ISNUMBER($G9),ISNUMBER($H9)),IFERROR(DATEDIF($G9,$H9,"y")+1,""),"")</f>
        <v>5</v>
      </c>
      <c r="AB9" s="37">
        <f>IF(OR($X9="",$X9&gt;=$AA9),"",DATE(YEAR($G9)+$X9,MONTH($G9),DAY($G9)))</f>
        <v>46600</v>
      </c>
      <c r="AC9" s="28">
        <f>IF($AB9="","",IF($X9+1&gt;10,51244,INDEX($AD9:$AM9,1,$X9+1)))</f>
        <v>51244</v>
      </c>
      <c r="AD9" s="28">
        <f>IF($AA9="","",IFERROR(VALUE(MID($AN9,SEARCH(";1:",$AN9)+3,SEARCH(";",$AN9,SEARCH(";1:",$AN9)+3)-SEARCH(";1:",$AN9)-3)),$I9))</f>
        <v>35000</v>
      </c>
      <c r="AE9" s="28">
        <f>IF(OR($AA9="",2&gt;$AA9),"",IFERROR(VALUE(MID($AN9,SEARCH(";2:",$AN9)+3,SEARCH(";",$AN9,SEARCH(";2:",$AN9)+3)-SEARCH(";2:",$AN9)-3)),ROUND($AD9*(1+$J9/100),0)))</f>
        <v>38500</v>
      </c>
      <c r="AF9" s="28">
        <f>IF(OR($AA9="",3&gt;$AA9),"",IFERROR(VALUE(MID($AN9,SEARCH(";3:",$AN9)+3,SEARCH(";",$AN9,SEARCH(";3:",$AN9)+3)-SEARCH(";3:",$AN9)-3)),ROUND($AE9*(1+$J9/100),0)))</f>
        <v>42350</v>
      </c>
      <c r="AG9" s="28">
        <f>IF(OR($AA9="",4&gt;$AA9),"",IFERROR(VALUE(MID($AN9,SEARCH(";4:",$AN9)+3,SEARCH(";",$AN9,SEARCH(";4:",$AN9)+3)-SEARCH(";4:",$AN9)-3)),ROUND($AF9*(1+$J9/100),0)))</f>
        <v>46585</v>
      </c>
      <c r="AH9" s="28">
        <f>IF(OR($AA9="",5&gt;$AA9),"",IFERROR(VALUE(MID($AN9,SEARCH(";5:",$AN9)+3,SEARCH(";",$AN9,SEARCH(";5:",$AN9)+3)-SEARCH(";5:",$AN9)-3)),ROUND($AG9*(1+$J9/100),0)))</f>
        <v>51244</v>
      </c>
      <c r="AI9" s="28" t="str">
        <f>IF(OR($AA9="",6&gt;$AA9),"",IFERROR(VALUE(MID($AN9,SEARCH(";6:",$AN9)+3,SEARCH(";",$AN9,SEARCH(";6:",$AN9)+3)-SEARCH(";6:",$AN9)-3)),ROUND($AH9*(1+$J9/100),0)))</f>
        <v/>
      </c>
      <c r="AJ9" s="28" t="str">
        <f>IF(OR($AA9="",7&gt;$AA9),"",IFERROR(VALUE(MID($AN9,SEARCH(";7:",$AN9)+3,SEARCH(";",$AN9,SEARCH(";7:",$AN9)+3)-SEARCH(";7:",$AN9)-3)),ROUND($AI9*(1+$J9/100),0)))</f>
        <v/>
      </c>
      <c r="AK9" s="28" t="str">
        <f>IF(OR($AA9="",8&gt;$AA9),"",IFERROR(VALUE(MID($AN9,SEARCH(";8:",$AN9)+3,SEARCH(";",$AN9,SEARCH(";8:",$AN9)+3)-SEARCH(";8:",$AN9)-3)),ROUND($AJ9*(1+$J9/100),0)))</f>
        <v/>
      </c>
      <c r="AL9" s="28" t="str">
        <f>IF(OR($AA9="",9&gt;$AA9),"",IFERROR(VALUE(MID($AN9,SEARCH(";9:",$AN9)+3,SEARCH(";",$AN9,SEARCH(";9:",$AN9)+3)-SEARCH(";9:",$AN9)-3)),ROUND($AK9*(1+$J9/100),0)))</f>
        <v/>
      </c>
      <c r="AM9" s="28" t="str">
        <f>IF(OR($AA9="",10&gt;$AA9),"",IFERROR(VALUE(MID($AN9,SEARCH(";10:",$AN9)+4,SEARCH(";",$AN9,SEARCH(";10:",$AN9)+4)-SEARCH(";10:",$AN9)-4)),ROUND($AL9*(1+$J9/100),0)))</f>
        <v/>
      </c>
      <c r="AN9" s="36" t="str">
        <f>";"&amp;SUBSTITUTE(SUBSTITUTE(SUBSTITUTE(SUBSTITUTE(SUBSTITUTE(SUBSTITUTE($K9," ",""),"،",";"),CHAR(10),";"),"=",":"),",",""),"٫",".")&amp;";"</f>
        <v>;3:42350;4:46585;</v>
      </c>
      <c r="AO9" s="36" t="str">
        <f>IF($T9="ساري",$B9,"")</f>
        <v>P02-M1</v>
      </c>
    </row>
    <row r="10" spans="1:41" x14ac:dyDescent="0.25">
      <c r="A10" t="s">
        <v>95</v>
      </c>
      <c r="B10" t="s">
        <v>96</v>
      </c>
      <c r="C10" t="s">
        <v>97</v>
      </c>
      <c r="D10" s="27" t="str">
        <f>IF($Y10="","",IFERROR(INDEX('المشاريع'!$B:$B,MATCH($Y10,'المشاريع'!$A:$A,0)),""))</f>
        <v>محيي الدين</v>
      </c>
      <c r="E10" s="27" t="str">
        <f>IF($B10="","",IFERROR(INDEX('الوحدات'!$D:$D,MATCH($B10,'الوحدات'!$A:$A,0)),""))</f>
        <v>ميزان 2</v>
      </c>
      <c r="F10" s="27" t="str">
        <f>IF($C10="","",IFERROR(INDEX('العملاء'!$B:$B,MATCH($C10,'العملاء'!$A:$A,0)),""))</f>
        <v>شركة الياسمين للتجارة</v>
      </c>
      <c r="G10" s="33">
        <v>45242</v>
      </c>
      <c r="H10" s="33">
        <v>46337</v>
      </c>
      <c r="I10" s="39">
        <v>25410</v>
      </c>
      <c r="J10">
        <v>0</v>
      </c>
      <c r="K10" t="s">
        <v>591</v>
      </c>
      <c r="L10" s="39">
        <v>0</v>
      </c>
      <c r="M10" t="s">
        <v>584</v>
      </c>
      <c r="N10">
        <v>1</v>
      </c>
      <c r="O10" t="s">
        <v>35</v>
      </c>
      <c r="P10" t="s">
        <v>35</v>
      </c>
      <c r="Q10">
        <v>11</v>
      </c>
      <c r="R10" t="s">
        <v>35</v>
      </c>
      <c r="S10" s="33"/>
      <c r="T10" s="27" t="str">
        <f>IF(NOT(AND(ISNUMBER($G10),ISNUMBER($H10))),"تواريخ غير صحيحة",IF(TODAY()&lt;$G10,"لم يبدأ",IF(TODAY()&gt;$H10,IF(IF($A10="",0,COUNTIF($O:$O,$A10))+IF($B10="",0,COUNTIFS($B:$B,$B10,$G:$G,"&gt;"&amp;$H10)-IF($G10&gt;$H10,1,0))&gt;0,"منتهٍ (أُجِّرت بعده)","منتهٍ"),"ساري")))</f>
        <v>ساري</v>
      </c>
      <c r="U10" s="28">
        <f>IF($X10="","",IF($X10&gt;10,25410,INDEX($AD10:$AM10,1,$X10)))</f>
        <v>25410</v>
      </c>
      <c r="V10" s="28">
        <f>IF($A10="","",SUMIFS('المدفوعات'!$F:$F,'المدفوعات'!$B:$B,$A10))</f>
        <v>203280</v>
      </c>
      <c r="W10" s="35">
        <v>0</v>
      </c>
      <c r="X10" s="34">
        <f>IF(OR(NOT(ISNUMBER($G10)),NOT(ISNUMBER($H10)),$AA10=""),"",IF(TODAY()&lt;$G10,1,MIN($AA10,DATEDIF($G10,TODAY(),"y")+1)))</f>
        <v>3</v>
      </c>
      <c r="Y10" s="27" t="str">
        <f>IF($B10="","",IFERROR(INDEX('الوحدات'!$B:$B,MATCH($B10,'الوحدات'!$A:$A,0)),""))</f>
        <v>P02</v>
      </c>
      <c r="Z10" s="34">
        <f>IF(ISNUMBER($H10),$H10-TODAY(),"")</f>
        <v>32</v>
      </c>
      <c r="AA10" s="34">
        <f>IF(AND(ISNUMBER($G10),ISNUMBER($H10)),IFERROR(DATEDIF($G10,$H10,"y")+1,""),"")</f>
        <v>3</v>
      </c>
      <c r="AB10" s="37" t="str">
        <f>IF(OR($X10="",$X10&gt;=$AA10),"",DATE(YEAR($G10)+$X10,MONTH($G10),DAY($G10)))</f>
        <v/>
      </c>
      <c r="AC10" s="28" t="str">
        <f>IF($AB10="","",IF($X10+1&gt;10,0,INDEX($AD10:$AM10,1,$X10+1)))</f>
        <v/>
      </c>
      <c r="AD10" s="28">
        <f>IF($AA10="","",IFERROR(VALUE(MID($AN10,SEARCH(";1:",$AN10)+3,SEARCH(";",$AN10,SEARCH(";1:",$AN10)+3)-SEARCH(";1:",$AN10)-3)),$I10))</f>
        <v>25410</v>
      </c>
      <c r="AE10" s="28">
        <f>IF(OR($AA10="",2&gt;$AA10),"",IFERROR(VALUE(MID($AN10,SEARCH(";2:",$AN10)+3,SEARCH(";",$AN10,SEARCH(";2:",$AN10)+3)-SEARCH(";2:",$AN10)-3)),ROUND($AD10*(1+$J10/100),0)))</f>
        <v>25410</v>
      </c>
      <c r="AF10" s="28">
        <f>IF(OR($AA10="",3&gt;$AA10),"",IFERROR(VALUE(MID($AN10,SEARCH(";3:",$AN10)+3,SEARCH(";",$AN10,SEARCH(";3:",$AN10)+3)-SEARCH(";3:",$AN10)-3)),ROUND($AE10*(1+$J10/100),0)))</f>
        <v>25410</v>
      </c>
      <c r="AG10" s="28" t="str">
        <f>IF(OR($AA10="",4&gt;$AA10),"",IFERROR(VALUE(MID($AN10,SEARCH(";4:",$AN10)+3,SEARCH(";",$AN10,SEARCH(";4:",$AN10)+3)-SEARCH(";4:",$AN10)-3)),ROUND($AF10*(1+$J10/100),0)))</f>
        <v/>
      </c>
      <c r="AH10" s="28" t="str">
        <f>IF(OR($AA10="",5&gt;$AA10),"",IFERROR(VALUE(MID($AN10,SEARCH(";5:",$AN10)+3,SEARCH(";",$AN10,SEARCH(";5:",$AN10)+3)-SEARCH(";5:",$AN10)-3)),ROUND($AG10*(1+$J10/100),0)))</f>
        <v/>
      </c>
      <c r="AI10" s="28" t="str">
        <f>IF(OR($AA10="",6&gt;$AA10),"",IFERROR(VALUE(MID($AN10,SEARCH(";6:",$AN10)+3,SEARCH(";",$AN10,SEARCH(";6:",$AN10)+3)-SEARCH(";6:",$AN10)-3)),ROUND($AH10*(1+$J10/100),0)))</f>
        <v/>
      </c>
      <c r="AJ10" s="28" t="str">
        <f>IF(OR($AA10="",7&gt;$AA10),"",IFERROR(VALUE(MID($AN10,SEARCH(";7:",$AN10)+3,SEARCH(";",$AN10,SEARCH(";7:",$AN10)+3)-SEARCH(";7:",$AN10)-3)),ROUND($AI10*(1+$J10/100),0)))</f>
        <v/>
      </c>
      <c r="AK10" s="28" t="str">
        <f>IF(OR($AA10="",8&gt;$AA10),"",IFERROR(VALUE(MID($AN10,SEARCH(";8:",$AN10)+3,SEARCH(";",$AN10,SEARCH(";8:",$AN10)+3)-SEARCH(";8:",$AN10)-3)),ROUND($AJ10*(1+$J10/100),0)))</f>
        <v/>
      </c>
      <c r="AL10" s="28" t="str">
        <f>IF(OR($AA10="",9&gt;$AA10),"",IFERROR(VALUE(MID($AN10,SEARCH(";9:",$AN10)+3,SEARCH(";",$AN10,SEARCH(";9:",$AN10)+3)-SEARCH(";9:",$AN10)-3)),ROUND($AK10*(1+$J10/100),0)))</f>
        <v/>
      </c>
      <c r="AM10" s="28" t="str">
        <f>IF(OR($AA10="",10&gt;$AA10),"",IFERROR(VALUE(MID($AN10,SEARCH(";10:",$AN10)+4,SEARCH(";",$AN10,SEARCH(";10:",$AN10)+4)-SEARCH(";10:",$AN10)-4)),ROUND($AL10*(1+$J10/100),0)))</f>
        <v/>
      </c>
      <c r="AN10" s="36" t="str">
        <f>";"&amp;SUBSTITUTE(SUBSTITUTE(SUBSTITUTE(SUBSTITUTE(SUBSTITUTE(SUBSTITUTE($K10," ",""),"،",";"),CHAR(10),";"),"=",":"),",",""),"٫",".")&amp;";"</f>
        <v>;3:25410;</v>
      </c>
      <c r="AO10" s="36" t="str">
        <f>IF($T10="ساري",$B10,"")</f>
        <v>P02-M2</v>
      </c>
    </row>
    <row r="11" spans="1:41" x14ac:dyDescent="0.25">
      <c r="A11" t="s">
        <v>103</v>
      </c>
      <c r="B11" t="s">
        <v>104</v>
      </c>
      <c r="C11" t="s">
        <v>105</v>
      </c>
      <c r="D11" s="27" t="str">
        <f>IF($Y11="","",IFERROR(INDEX('المشاريع'!$B:$B,MATCH($Y11,'المشاريع'!$A:$A,0)),""))</f>
        <v>محيي الدين</v>
      </c>
      <c r="E11" s="27" t="str">
        <f>IF($B11="","",IFERROR(INDEX('الوحدات'!$D:$D,MATCH($B11,'الوحدات'!$A:$A,0)),""))</f>
        <v>202</v>
      </c>
      <c r="F11" s="27" t="str">
        <f>IF($C11="","",IFERROR(INDEX('العملاء'!$B:$B,MATCH($C11,'العملاء'!$A:$A,0)),""))</f>
        <v>شركة الأفق للاستيراد والتصدير</v>
      </c>
      <c r="G11" s="33">
        <v>45231</v>
      </c>
      <c r="H11" s="33">
        <v>46326</v>
      </c>
      <c r="I11" s="39">
        <v>46585</v>
      </c>
      <c r="J11">
        <v>0</v>
      </c>
      <c r="K11" t="s">
        <v>592</v>
      </c>
      <c r="L11" s="39">
        <v>0</v>
      </c>
      <c r="M11" t="s">
        <v>584</v>
      </c>
      <c r="N11">
        <v>1</v>
      </c>
      <c r="O11" t="s">
        <v>35</v>
      </c>
      <c r="P11" t="s">
        <v>35</v>
      </c>
      <c r="Q11">
        <v>12</v>
      </c>
      <c r="R11" t="s">
        <v>35</v>
      </c>
      <c r="S11" s="33"/>
      <c r="T11" s="27" t="str">
        <f>IF(NOT(AND(ISNUMBER($G11),ISNUMBER($H11))),"تواريخ غير صحيحة",IF(TODAY()&lt;$G11,"لم يبدأ",IF(TODAY()&gt;$H11,IF(IF($A11="",0,COUNTIF($O:$O,$A11))+IF($B11="",0,COUNTIFS($B:$B,$B11,$G:$G,"&gt;"&amp;$H11)-IF($G11&gt;$H11,1,0))&gt;0,"منتهٍ (أُجِّرت بعده)","منتهٍ"),"ساري")))</f>
        <v>ساري</v>
      </c>
      <c r="U11" s="28">
        <f>IF($X11="","",IF($X11&gt;10,46585,INDEX($AD11:$AM11,1,$X11)))</f>
        <v>46585</v>
      </c>
      <c r="V11" s="28">
        <f>IF($A11="","",SUMIFS('المدفوعات'!$F:$F,'المدفوعات'!$B:$B,$A11))</f>
        <v>372680</v>
      </c>
      <c r="W11" s="35">
        <v>0</v>
      </c>
      <c r="X11" s="34">
        <f>IF(OR(NOT(ISNUMBER($G11)),NOT(ISNUMBER($H11)),$AA11=""),"",IF(TODAY()&lt;$G11,1,MIN($AA11,DATEDIF($G11,TODAY(),"y")+1)))</f>
        <v>3</v>
      </c>
      <c r="Y11" s="27" t="str">
        <f>IF($B11="","",IFERROR(INDEX('الوحدات'!$B:$B,MATCH($B11,'الوحدات'!$A:$A,0)),""))</f>
        <v>P02</v>
      </c>
      <c r="Z11" s="34">
        <f>IF(ISNUMBER($H11),$H11-TODAY(),"")</f>
        <v>21</v>
      </c>
      <c r="AA11" s="34">
        <f>IF(AND(ISNUMBER($G11),ISNUMBER($H11)),IFERROR(DATEDIF($G11,$H11,"y")+1,""),"")</f>
        <v>3</v>
      </c>
      <c r="AB11" s="37" t="str">
        <f>IF(OR($X11="",$X11&gt;=$AA11),"",DATE(YEAR($G11)+$X11,MONTH($G11),DAY($G11)))</f>
        <v/>
      </c>
      <c r="AC11" s="28" t="str">
        <f>IF($AB11="","",IF($X11+1&gt;10,0,INDEX($AD11:$AM11,1,$X11+1)))</f>
        <v/>
      </c>
      <c r="AD11" s="28">
        <f>IF($AA11="","",IFERROR(VALUE(MID($AN11,SEARCH(";1:",$AN11)+3,SEARCH(";",$AN11,SEARCH(";1:",$AN11)+3)-SEARCH(";1:",$AN11)-3)),$I11))</f>
        <v>46585</v>
      </c>
      <c r="AE11" s="28">
        <f>IF(OR($AA11="",2&gt;$AA11),"",IFERROR(VALUE(MID($AN11,SEARCH(";2:",$AN11)+3,SEARCH(";",$AN11,SEARCH(";2:",$AN11)+3)-SEARCH(";2:",$AN11)-3)),ROUND($AD11*(1+$J11/100),0)))</f>
        <v>46585</v>
      </c>
      <c r="AF11" s="28">
        <f>IF(OR($AA11="",3&gt;$AA11),"",IFERROR(VALUE(MID($AN11,SEARCH(";3:",$AN11)+3,SEARCH(";",$AN11,SEARCH(";3:",$AN11)+3)-SEARCH(";3:",$AN11)-3)),ROUND($AE11*(1+$J11/100),0)))</f>
        <v>46585</v>
      </c>
      <c r="AG11" s="28" t="str">
        <f>IF(OR($AA11="",4&gt;$AA11),"",IFERROR(VALUE(MID($AN11,SEARCH(";4:",$AN11)+3,SEARCH(";",$AN11,SEARCH(";4:",$AN11)+3)-SEARCH(";4:",$AN11)-3)),ROUND($AF11*(1+$J11/100),0)))</f>
        <v/>
      </c>
      <c r="AH11" s="28" t="str">
        <f>IF(OR($AA11="",5&gt;$AA11),"",IFERROR(VALUE(MID($AN11,SEARCH(";5:",$AN11)+3,SEARCH(";",$AN11,SEARCH(";5:",$AN11)+3)-SEARCH(";5:",$AN11)-3)),ROUND($AG11*(1+$J11/100),0)))</f>
        <v/>
      </c>
      <c r="AI11" s="28" t="str">
        <f>IF(OR($AA11="",6&gt;$AA11),"",IFERROR(VALUE(MID($AN11,SEARCH(";6:",$AN11)+3,SEARCH(";",$AN11,SEARCH(";6:",$AN11)+3)-SEARCH(";6:",$AN11)-3)),ROUND($AH11*(1+$J11/100),0)))</f>
        <v/>
      </c>
      <c r="AJ11" s="28" t="str">
        <f>IF(OR($AA11="",7&gt;$AA11),"",IFERROR(VALUE(MID($AN11,SEARCH(";7:",$AN11)+3,SEARCH(";",$AN11,SEARCH(";7:",$AN11)+3)-SEARCH(";7:",$AN11)-3)),ROUND($AI11*(1+$J11/100),0)))</f>
        <v/>
      </c>
      <c r="AK11" s="28" t="str">
        <f>IF(OR($AA11="",8&gt;$AA11),"",IFERROR(VALUE(MID($AN11,SEARCH(";8:",$AN11)+3,SEARCH(";",$AN11,SEARCH(";8:",$AN11)+3)-SEARCH(";8:",$AN11)-3)),ROUND($AJ11*(1+$J11/100),0)))</f>
        <v/>
      </c>
      <c r="AL11" s="28" t="str">
        <f>IF(OR($AA11="",9&gt;$AA11),"",IFERROR(VALUE(MID($AN11,SEARCH(";9:",$AN11)+3,SEARCH(";",$AN11,SEARCH(";9:",$AN11)+3)-SEARCH(";9:",$AN11)-3)),ROUND($AK11*(1+$J11/100),0)))</f>
        <v/>
      </c>
      <c r="AM11" s="28" t="str">
        <f>IF(OR($AA11="",10&gt;$AA11),"",IFERROR(VALUE(MID($AN11,SEARCH(";10:",$AN11)+4,SEARCH(";",$AN11,SEARCH(";10:",$AN11)+4)-SEARCH(";10:",$AN11)-4)),ROUND($AL11*(1+$J11/100),0)))</f>
        <v/>
      </c>
      <c r="AN11" s="36" t="str">
        <f>";"&amp;SUBSTITUTE(SUBSTITUTE(SUBSTITUTE(SUBSTITUTE(SUBSTITUTE(SUBSTITUTE($K11," ",""),"،",";"),CHAR(10),";"),"=",":"),",",""),"٫",".")&amp;";"</f>
        <v>;3:46585;</v>
      </c>
      <c r="AO11" s="36" t="str">
        <f>IF($T11="ساري",$B11,"")</f>
        <v>P02-202</v>
      </c>
    </row>
    <row r="12" spans="1:41" x14ac:dyDescent="0.25">
      <c r="A12" t="s">
        <v>113</v>
      </c>
      <c r="B12" t="s">
        <v>111</v>
      </c>
      <c r="C12" t="s">
        <v>112</v>
      </c>
      <c r="D12" s="27" t="str">
        <f>IF($Y12="","",IFERROR(INDEX('المشاريع'!$B:$B,MATCH($Y12,'المشاريع'!$A:$A,0)),""))</f>
        <v>محيي الدين</v>
      </c>
      <c r="E12" s="27" t="str">
        <f>IF($B12="","",IFERROR(INDEX('الوحدات'!$D:$D,MATCH($B12,'الوحدات'!$A:$A,0)),""))</f>
        <v>301</v>
      </c>
      <c r="F12" s="27" t="str">
        <f>IF($C12="","",IFERROR(INDEX('العملاء'!$B:$B,MATCH($C12,'العملاء'!$A:$A,0)),""))</f>
        <v>شريف هشام فوزي</v>
      </c>
      <c r="G12" s="33">
        <v>46143</v>
      </c>
      <c r="H12" s="33">
        <v>46507</v>
      </c>
      <c r="I12" s="39">
        <v>37000</v>
      </c>
      <c r="J12">
        <v>0</v>
      </c>
      <c r="K12" t="s">
        <v>35</v>
      </c>
      <c r="L12" s="39">
        <v>0</v>
      </c>
      <c r="M12" t="s">
        <v>584</v>
      </c>
      <c r="N12">
        <v>1</v>
      </c>
      <c r="O12" t="s">
        <v>110</v>
      </c>
      <c r="P12" t="s">
        <v>35</v>
      </c>
      <c r="Q12">
        <v>13</v>
      </c>
      <c r="R12" t="s">
        <v>35</v>
      </c>
      <c r="S12" s="33"/>
      <c r="T12" s="27" t="str">
        <f>IF(NOT(AND(ISNUMBER($G12),ISNUMBER($H12))),"تواريخ غير صحيحة",IF(TODAY()&lt;$G12,"لم يبدأ",IF(TODAY()&gt;$H12,IF(IF($A12="",0,COUNTIF($O:$O,$A12))+IF($B12="",0,COUNTIFS($B:$B,$B12,$G:$G,"&gt;"&amp;$H12)-IF($G12&gt;$H12,1,0))&gt;0,"منتهٍ (أُجِّرت بعده)","منتهٍ"),"ساري")))</f>
        <v>ساري</v>
      </c>
      <c r="U12" s="28">
        <f>IF($X12="","",IF($X12&gt;10,37000,INDEX($AD12:$AM12,1,$X12)))</f>
        <v>37000</v>
      </c>
      <c r="V12" s="28">
        <f>IF($A12="","",SUMIFS('المدفوعات'!$F:$F,'المدفوعات'!$B:$B,$A12))</f>
        <v>148000</v>
      </c>
      <c r="W12" s="35">
        <v>0</v>
      </c>
      <c r="X12" s="34">
        <f>IF(OR(NOT(ISNUMBER($G12)),NOT(ISNUMBER($H12)),$AA12=""),"",IF(TODAY()&lt;$G12,1,MIN($AA12,DATEDIF($G12,TODAY(),"y")+1)))</f>
        <v>1</v>
      </c>
      <c r="Y12" s="27" t="str">
        <f>IF($B12="","",IFERROR(INDEX('الوحدات'!$B:$B,MATCH($B12,'الوحدات'!$A:$A,0)),""))</f>
        <v>P02</v>
      </c>
      <c r="Z12" s="34">
        <f>IF(ISNUMBER($H12),$H12-TODAY(),"")</f>
        <v>202</v>
      </c>
      <c r="AA12" s="34">
        <f>IF(AND(ISNUMBER($G12),ISNUMBER($H12)),IFERROR(DATEDIF($G12,$H12,"y")+1,""),"")</f>
        <v>1</v>
      </c>
      <c r="AB12" s="37" t="str">
        <f>IF(OR($X12="",$X12&gt;=$AA12),"",DATE(YEAR($G12)+$X12,MONTH($G12),DAY($G12)))</f>
        <v/>
      </c>
      <c r="AC12" s="28" t="str">
        <f>IF($AB12="","",IF($X12+1&gt;10,0,INDEX($AD12:$AM12,1,$X12+1)))</f>
        <v/>
      </c>
      <c r="AD12" s="28">
        <f>IF($AA12="","",IFERROR(VALUE(MID($AN12,SEARCH(";1:",$AN12)+3,SEARCH(";",$AN12,SEARCH(";1:",$AN12)+3)-SEARCH(";1:",$AN12)-3)),$I12))</f>
        <v>37000</v>
      </c>
      <c r="AE12" s="28" t="str">
        <f>IF(OR($AA12="",2&gt;$AA12),"",IFERROR(VALUE(MID($AN12,SEARCH(";2:",$AN12)+3,SEARCH(";",$AN12,SEARCH(";2:",$AN12)+3)-SEARCH(";2:",$AN12)-3)),ROUND($AD12*(1+$J12/100),0)))</f>
        <v/>
      </c>
      <c r="AF12" s="28" t="str">
        <f>IF(OR($AA12="",3&gt;$AA12),"",IFERROR(VALUE(MID($AN12,SEARCH(";3:",$AN12)+3,SEARCH(";",$AN12,SEARCH(";3:",$AN12)+3)-SEARCH(";3:",$AN12)-3)),ROUND($AE12*(1+$J12/100),0)))</f>
        <v/>
      </c>
      <c r="AG12" s="28" t="str">
        <f>IF(OR($AA12="",4&gt;$AA12),"",IFERROR(VALUE(MID($AN12,SEARCH(";4:",$AN12)+3,SEARCH(";",$AN12,SEARCH(";4:",$AN12)+3)-SEARCH(";4:",$AN12)-3)),ROUND($AF12*(1+$J12/100),0)))</f>
        <v/>
      </c>
      <c r="AH12" s="28" t="str">
        <f>IF(OR($AA12="",5&gt;$AA12),"",IFERROR(VALUE(MID($AN12,SEARCH(";5:",$AN12)+3,SEARCH(";",$AN12,SEARCH(";5:",$AN12)+3)-SEARCH(";5:",$AN12)-3)),ROUND($AG12*(1+$J12/100),0)))</f>
        <v/>
      </c>
      <c r="AI12" s="28" t="str">
        <f>IF(OR($AA12="",6&gt;$AA12),"",IFERROR(VALUE(MID($AN12,SEARCH(";6:",$AN12)+3,SEARCH(";",$AN12,SEARCH(";6:",$AN12)+3)-SEARCH(";6:",$AN12)-3)),ROUND($AH12*(1+$J12/100),0)))</f>
        <v/>
      </c>
      <c r="AJ12" s="28" t="str">
        <f>IF(OR($AA12="",7&gt;$AA12),"",IFERROR(VALUE(MID($AN12,SEARCH(";7:",$AN12)+3,SEARCH(";",$AN12,SEARCH(";7:",$AN12)+3)-SEARCH(";7:",$AN12)-3)),ROUND($AI12*(1+$J12/100),0)))</f>
        <v/>
      </c>
      <c r="AK12" s="28" t="str">
        <f>IF(OR($AA12="",8&gt;$AA12),"",IFERROR(VALUE(MID($AN12,SEARCH(";8:",$AN12)+3,SEARCH(";",$AN12,SEARCH(";8:",$AN12)+3)-SEARCH(";8:",$AN12)-3)),ROUND($AJ12*(1+$J12/100),0)))</f>
        <v/>
      </c>
      <c r="AL12" s="28" t="str">
        <f>IF(OR($AA12="",9&gt;$AA12),"",IFERROR(VALUE(MID($AN12,SEARCH(";9:",$AN12)+3,SEARCH(";",$AN12,SEARCH(";9:",$AN12)+3)-SEARCH(";9:",$AN12)-3)),ROUND($AK12*(1+$J12/100),0)))</f>
        <v/>
      </c>
      <c r="AM12" s="28" t="str">
        <f>IF(OR($AA12="",10&gt;$AA12),"",IFERROR(VALUE(MID($AN12,SEARCH(";10:",$AN12)+4,SEARCH(";",$AN12,SEARCH(";10:",$AN12)+4)-SEARCH(";10:",$AN12)-4)),ROUND($AL12*(1+$J12/100),0)))</f>
        <v/>
      </c>
      <c r="AN12" s="36" t="str">
        <f>";"&amp;SUBSTITUTE(SUBSTITUTE(SUBSTITUTE(SUBSTITUTE(SUBSTITUTE(SUBSTITUTE($K12," ",""),"،",";"),CHAR(10),";"),"=",":"),",",""),"٫",".")&amp;";"</f>
        <v>;;</v>
      </c>
      <c r="AO12" s="36" t="str">
        <f>IF($T12="ساري",$B12,"")</f>
        <v>P02-301</v>
      </c>
    </row>
    <row r="13" spans="1:41" x14ac:dyDescent="0.25">
      <c r="A13" t="s">
        <v>120</v>
      </c>
      <c r="B13" t="s">
        <v>118</v>
      </c>
      <c r="C13" t="s">
        <v>119</v>
      </c>
      <c r="D13" s="27" t="str">
        <f>IF($Y13="","",IFERROR(INDEX('المشاريع'!$B:$B,MATCH($Y13,'المشاريع'!$A:$A,0)),""))</f>
        <v>محيي الدين</v>
      </c>
      <c r="E13" s="27" t="str">
        <f>IF($B13="","",IFERROR(INDEX('الوحدات'!$D:$D,MATCH($B13,'الوحدات'!$A:$A,0)),""))</f>
        <v>302</v>
      </c>
      <c r="F13" s="27" t="str">
        <f>IF($C13="","",IFERROR(INDEX('العملاء'!$B:$B,MATCH($C13,'العملاء'!$A:$A,0)),""))</f>
        <v>د/ باسم أمير سليم</v>
      </c>
      <c r="G13" s="33">
        <v>46143</v>
      </c>
      <c r="H13" s="33">
        <v>46507</v>
      </c>
      <c r="I13" s="39">
        <v>38500</v>
      </c>
      <c r="J13">
        <v>0</v>
      </c>
      <c r="K13" t="s">
        <v>35</v>
      </c>
      <c r="L13" s="39">
        <v>0</v>
      </c>
      <c r="M13" t="s">
        <v>584</v>
      </c>
      <c r="N13">
        <v>1</v>
      </c>
      <c r="O13" t="s">
        <v>117</v>
      </c>
      <c r="P13" t="s">
        <v>35</v>
      </c>
      <c r="Q13">
        <v>14</v>
      </c>
      <c r="R13" t="s">
        <v>35</v>
      </c>
      <c r="S13" s="33"/>
      <c r="T13" s="27" t="str">
        <f>IF(NOT(AND(ISNUMBER($G13),ISNUMBER($H13))),"تواريخ غير صحيحة",IF(TODAY()&lt;$G13,"لم يبدأ",IF(TODAY()&gt;$H13,IF(IF($A13="",0,COUNTIF($O:$O,$A13))+IF($B13="",0,COUNTIFS($B:$B,$B13,$G:$G,"&gt;"&amp;$H13)-IF($G13&gt;$H13,1,0))&gt;0,"منتهٍ (أُجِّرت بعده)","منتهٍ"),"ساري")))</f>
        <v>ساري</v>
      </c>
      <c r="U13" s="28">
        <f>IF($X13="","",IF($X13&gt;10,38500,INDEX($AD13:$AM13,1,$X13)))</f>
        <v>38500</v>
      </c>
      <c r="V13" s="28">
        <f>IF($A13="","",SUMIFS('المدفوعات'!$F:$F,'المدفوعات'!$B:$B,$A13))</f>
        <v>153000</v>
      </c>
      <c r="W13" s="35">
        <v>1000</v>
      </c>
      <c r="X13" s="34">
        <f>IF(OR(NOT(ISNUMBER($G13)),NOT(ISNUMBER($H13)),$AA13=""),"",IF(TODAY()&lt;$G13,1,MIN($AA13,DATEDIF($G13,TODAY(),"y")+1)))</f>
        <v>1</v>
      </c>
      <c r="Y13" s="27" t="str">
        <f>IF($B13="","",IFERROR(INDEX('الوحدات'!$B:$B,MATCH($B13,'الوحدات'!$A:$A,0)),""))</f>
        <v>P02</v>
      </c>
      <c r="Z13" s="34">
        <f>IF(ISNUMBER($H13),$H13-TODAY(),"")</f>
        <v>202</v>
      </c>
      <c r="AA13" s="34">
        <f>IF(AND(ISNUMBER($G13),ISNUMBER($H13)),IFERROR(DATEDIF($G13,$H13,"y")+1,""),"")</f>
        <v>1</v>
      </c>
      <c r="AB13" s="37" t="str">
        <f>IF(OR($X13="",$X13&gt;=$AA13),"",DATE(YEAR($G13)+$X13,MONTH($G13),DAY($G13)))</f>
        <v/>
      </c>
      <c r="AC13" s="28" t="str">
        <f>IF($AB13="","",IF($X13+1&gt;10,0,INDEX($AD13:$AM13,1,$X13+1)))</f>
        <v/>
      </c>
      <c r="AD13" s="28">
        <f>IF($AA13="","",IFERROR(VALUE(MID($AN13,SEARCH(";1:",$AN13)+3,SEARCH(";",$AN13,SEARCH(";1:",$AN13)+3)-SEARCH(";1:",$AN13)-3)),$I13))</f>
        <v>38500</v>
      </c>
      <c r="AE13" s="28" t="str">
        <f>IF(OR($AA13="",2&gt;$AA13),"",IFERROR(VALUE(MID($AN13,SEARCH(";2:",$AN13)+3,SEARCH(";",$AN13,SEARCH(";2:",$AN13)+3)-SEARCH(";2:",$AN13)-3)),ROUND($AD13*(1+$J13/100),0)))</f>
        <v/>
      </c>
      <c r="AF13" s="28" t="str">
        <f>IF(OR($AA13="",3&gt;$AA13),"",IFERROR(VALUE(MID($AN13,SEARCH(";3:",$AN13)+3,SEARCH(";",$AN13,SEARCH(";3:",$AN13)+3)-SEARCH(";3:",$AN13)-3)),ROUND($AE13*(1+$J13/100),0)))</f>
        <v/>
      </c>
      <c r="AG13" s="28" t="str">
        <f>IF(OR($AA13="",4&gt;$AA13),"",IFERROR(VALUE(MID($AN13,SEARCH(";4:",$AN13)+3,SEARCH(";",$AN13,SEARCH(";4:",$AN13)+3)-SEARCH(";4:",$AN13)-3)),ROUND($AF13*(1+$J13/100),0)))</f>
        <v/>
      </c>
      <c r="AH13" s="28" t="str">
        <f>IF(OR($AA13="",5&gt;$AA13),"",IFERROR(VALUE(MID($AN13,SEARCH(";5:",$AN13)+3,SEARCH(";",$AN13,SEARCH(";5:",$AN13)+3)-SEARCH(";5:",$AN13)-3)),ROUND($AG13*(1+$J13/100),0)))</f>
        <v/>
      </c>
      <c r="AI13" s="28" t="str">
        <f>IF(OR($AA13="",6&gt;$AA13),"",IFERROR(VALUE(MID($AN13,SEARCH(";6:",$AN13)+3,SEARCH(";",$AN13,SEARCH(";6:",$AN13)+3)-SEARCH(";6:",$AN13)-3)),ROUND($AH13*(1+$J13/100),0)))</f>
        <v/>
      </c>
      <c r="AJ13" s="28" t="str">
        <f>IF(OR($AA13="",7&gt;$AA13),"",IFERROR(VALUE(MID($AN13,SEARCH(";7:",$AN13)+3,SEARCH(";",$AN13,SEARCH(";7:",$AN13)+3)-SEARCH(";7:",$AN13)-3)),ROUND($AI13*(1+$J13/100),0)))</f>
        <v/>
      </c>
      <c r="AK13" s="28" t="str">
        <f>IF(OR($AA13="",8&gt;$AA13),"",IFERROR(VALUE(MID($AN13,SEARCH(";8:",$AN13)+3,SEARCH(";",$AN13,SEARCH(";8:",$AN13)+3)-SEARCH(";8:",$AN13)-3)),ROUND($AJ13*(1+$J13/100),0)))</f>
        <v/>
      </c>
      <c r="AL13" s="28" t="str">
        <f>IF(OR($AA13="",9&gt;$AA13),"",IFERROR(VALUE(MID($AN13,SEARCH(";9:",$AN13)+3,SEARCH(";",$AN13,SEARCH(";9:",$AN13)+3)-SEARCH(";9:",$AN13)-3)),ROUND($AK13*(1+$J13/100),0)))</f>
        <v/>
      </c>
      <c r="AM13" s="28" t="str">
        <f>IF(OR($AA13="",10&gt;$AA13),"",IFERROR(VALUE(MID($AN13,SEARCH(";10:",$AN13)+4,SEARCH(";",$AN13,SEARCH(";10:",$AN13)+4)-SEARCH(";10:",$AN13)-4)),ROUND($AL13*(1+$J13/100),0)))</f>
        <v/>
      </c>
      <c r="AN13" s="36" t="str">
        <f>";"&amp;SUBSTITUTE(SUBSTITUTE(SUBSTITUTE(SUBSTITUTE(SUBSTITUTE(SUBSTITUTE($K13," ",""),"،",";"),CHAR(10),";"),"=",":"),",",""),"٫",".")&amp;";"</f>
        <v>;;</v>
      </c>
      <c r="AO13" s="36" t="str">
        <f>IF($T13="ساري",$B13,"")</f>
        <v>P02-302</v>
      </c>
    </row>
    <row r="14" spans="1:41" x14ac:dyDescent="0.25">
      <c r="A14" t="s">
        <v>126</v>
      </c>
      <c r="B14" t="s">
        <v>127</v>
      </c>
      <c r="C14" t="s">
        <v>128</v>
      </c>
      <c r="D14" s="27" t="str">
        <f>IF($Y14="","",IFERROR(INDEX('المشاريع'!$B:$B,MATCH($Y14,'المشاريع'!$A:$A,0)),""))</f>
        <v>محيي الدين</v>
      </c>
      <c r="E14" s="27" t="str">
        <f>IF($B14="","",IFERROR(INDEX('الوحدات'!$D:$D,MATCH($B14,'الوحدات'!$A:$A,0)),""))</f>
        <v>303</v>
      </c>
      <c r="F14" s="27" t="str">
        <f>IF($C14="","",IFERROR(INDEX('العملاء'!$B:$B,MATCH($C14,'العملاء'!$A:$A,0)),""))</f>
        <v>شركة الصفوة للإنتاج الفني</v>
      </c>
      <c r="G14" s="33">
        <v>45870</v>
      </c>
      <c r="H14" s="33">
        <v>46965</v>
      </c>
      <c r="I14" s="39">
        <v>43000</v>
      </c>
      <c r="J14">
        <v>15</v>
      </c>
      <c r="K14" t="s">
        <v>593</v>
      </c>
      <c r="L14" s="39">
        <v>0</v>
      </c>
      <c r="M14" t="s">
        <v>584</v>
      </c>
      <c r="N14">
        <v>1</v>
      </c>
      <c r="O14" t="s">
        <v>35</v>
      </c>
      <c r="P14" t="s">
        <v>35</v>
      </c>
      <c r="Q14">
        <v>15</v>
      </c>
      <c r="R14" t="s">
        <v>35</v>
      </c>
      <c r="S14" s="33"/>
      <c r="T14" s="27" t="str">
        <f>IF(NOT(AND(ISNUMBER($G14),ISNUMBER($H14))),"تواريخ غير صحيحة",IF(TODAY()&lt;$G14,"لم يبدأ",IF(TODAY()&gt;$H14,IF(IF($A14="",0,COUNTIF($O:$O,$A14))+IF($B14="",0,COUNTIFS($B:$B,$B14,$G:$G,"&gt;"&amp;$H14)-IF($G14&gt;$H14,1,0))&gt;0,"منتهٍ (أُجِّرت بعده)","منتهٍ"),"ساري")))</f>
        <v>ساري</v>
      </c>
      <c r="U14" s="28">
        <f>IF($X14="","",IF($X14&gt;10,49450,INDEX($AD14:$AM14,1,$X14)))</f>
        <v>49450</v>
      </c>
      <c r="V14" s="28">
        <f>IF($A14="","",SUMIFS('المدفوعات'!$F:$F,'المدفوعات'!$B:$B,$A14))</f>
        <v>350450</v>
      </c>
      <c r="W14" s="35">
        <v>0</v>
      </c>
      <c r="X14" s="34">
        <f>IF(OR(NOT(ISNUMBER($G14)),NOT(ISNUMBER($H14)),$AA14=""),"",IF(TODAY()&lt;$G14,1,MIN($AA14,DATEDIF($G14,TODAY(),"y")+1)))</f>
        <v>2</v>
      </c>
      <c r="Y14" s="27" t="str">
        <f>IF($B14="","",IFERROR(INDEX('الوحدات'!$B:$B,MATCH($B14,'الوحدات'!$A:$A,0)),""))</f>
        <v>P02</v>
      </c>
      <c r="Z14" s="34">
        <f>IF(ISNUMBER($H14),$H14-TODAY(),"")</f>
        <v>660</v>
      </c>
      <c r="AA14" s="34">
        <f>IF(AND(ISNUMBER($G14),ISNUMBER($H14)),IFERROR(DATEDIF($G14,$H14,"y")+1,""),"")</f>
        <v>3</v>
      </c>
      <c r="AB14" s="37">
        <f>IF(OR($X14="",$X14&gt;=$AA14),"",DATE(YEAR($G14)+$X14,MONTH($G14),DAY($G14)))</f>
        <v>46600</v>
      </c>
      <c r="AC14" s="28">
        <f>IF($AB14="","",IF($X14+1&gt;10,56867,INDEX($AD14:$AM14,1,$X14+1)))</f>
        <v>56867</v>
      </c>
      <c r="AD14" s="28">
        <f>IF($AA14="","",IFERROR(VALUE(MID($AN14,SEARCH(";1:",$AN14)+3,SEARCH(";",$AN14,SEARCH(";1:",$AN14)+3)-SEARCH(";1:",$AN14)-3)),$I14))</f>
        <v>43000</v>
      </c>
      <c r="AE14" s="28">
        <f>IF(OR($AA14="",2&gt;$AA14),"",IFERROR(VALUE(MID($AN14,SEARCH(";2:",$AN14)+3,SEARCH(";",$AN14,SEARCH(";2:",$AN14)+3)-SEARCH(";2:",$AN14)-3)),ROUND($AD14*(1+$J14/100),0)))</f>
        <v>49450</v>
      </c>
      <c r="AF14" s="28">
        <f>IF(OR($AA14="",3&gt;$AA14),"",IFERROR(VALUE(MID($AN14,SEARCH(";3:",$AN14)+3,SEARCH(";",$AN14,SEARCH(";3:",$AN14)+3)-SEARCH(";3:",$AN14)-3)),ROUND($AE14*(1+$J14/100),0)))</f>
        <v>56867</v>
      </c>
      <c r="AG14" s="28" t="str">
        <f>IF(OR($AA14="",4&gt;$AA14),"",IFERROR(VALUE(MID($AN14,SEARCH(";4:",$AN14)+3,SEARCH(";",$AN14,SEARCH(";4:",$AN14)+3)-SEARCH(";4:",$AN14)-3)),ROUND($AF14*(1+$J14/100),0)))</f>
        <v/>
      </c>
      <c r="AH14" s="28" t="str">
        <f>IF(OR($AA14="",5&gt;$AA14),"",IFERROR(VALUE(MID($AN14,SEARCH(";5:",$AN14)+3,SEARCH(";",$AN14,SEARCH(";5:",$AN14)+3)-SEARCH(";5:",$AN14)-3)),ROUND($AG14*(1+$J14/100),0)))</f>
        <v/>
      </c>
      <c r="AI14" s="28" t="str">
        <f>IF(OR($AA14="",6&gt;$AA14),"",IFERROR(VALUE(MID($AN14,SEARCH(";6:",$AN14)+3,SEARCH(";",$AN14,SEARCH(";6:",$AN14)+3)-SEARCH(";6:",$AN14)-3)),ROUND($AH14*(1+$J14/100),0)))</f>
        <v/>
      </c>
      <c r="AJ14" s="28" t="str">
        <f>IF(OR($AA14="",7&gt;$AA14),"",IFERROR(VALUE(MID($AN14,SEARCH(";7:",$AN14)+3,SEARCH(";",$AN14,SEARCH(";7:",$AN14)+3)-SEARCH(";7:",$AN14)-3)),ROUND($AI14*(1+$J14/100),0)))</f>
        <v/>
      </c>
      <c r="AK14" s="28" t="str">
        <f>IF(OR($AA14="",8&gt;$AA14),"",IFERROR(VALUE(MID($AN14,SEARCH(";8:",$AN14)+3,SEARCH(";",$AN14,SEARCH(";8:",$AN14)+3)-SEARCH(";8:",$AN14)-3)),ROUND($AJ14*(1+$J14/100),0)))</f>
        <v/>
      </c>
      <c r="AL14" s="28" t="str">
        <f>IF(OR($AA14="",9&gt;$AA14),"",IFERROR(VALUE(MID($AN14,SEARCH(";9:",$AN14)+3,SEARCH(";",$AN14,SEARCH(";9:",$AN14)+3)-SEARCH(";9:",$AN14)-3)),ROUND($AK14*(1+$J14/100),0)))</f>
        <v/>
      </c>
      <c r="AM14" s="28" t="str">
        <f>IF(OR($AA14="",10&gt;$AA14),"",IFERROR(VALUE(MID($AN14,SEARCH(";10:",$AN14)+4,SEARCH(";",$AN14,SEARCH(";10:",$AN14)+4)-SEARCH(";10:",$AN14)-4)),ROUND($AL14*(1+$J14/100),0)))</f>
        <v/>
      </c>
      <c r="AN14" s="36" t="str">
        <f>";"&amp;SUBSTITUTE(SUBSTITUTE(SUBSTITUTE(SUBSTITUTE(SUBSTITUTE(SUBSTITUTE($K14," ",""),"،",";"),CHAR(10),";"),"=",":"),",",""),"٫",".")&amp;";"</f>
        <v>;2:49450;</v>
      </c>
      <c r="AO14" s="36" t="str">
        <f>IF($T14="ساري",$B14,"")</f>
        <v>P02-303</v>
      </c>
    </row>
    <row r="15" spans="1:41" x14ac:dyDescent="0.25">
      <c r="A15" t="s">
        <v>130</v>
      </c>
      <c r="B15" t="s">
        <v>131</v>
      </c>
      <c r="C15" t="s">
        <v>128</v>
      </c>
      <c r="D15" s="27" t="str">
        <f>IF($Y15="","",IFERROR(INDEX('المشاريع'!$B:$B,MATCH($Y15,'المشاريع'!$A:$A,0)),""))</f>
        <v>محيي الدين</v>
      </c>
      <c r="E15" s="27" t="str">
        <f>IF($B15="","",IFERROR(INDEX('الوحدات'!$D:$D,MATCH($B15,'الوحدات'!$A:$A,0)),""))</f>
        <v>304</v>
      </c>
      <c r="F15" s="27" t="str">
        <f>IF($C15="","",IFERROR(INDEX('العملاء'!$B:$B,MATCH($C15,'العملاء'!$A:$A,0)),""))</f>
        <v>شركة الصفوة للإنتاج الفني</v>
      </c>
      <c r="G15" s="33">
        <v>45474</v>
      </c>
      <c r="H15" s="33">
        <v>46568</v>
      </c>
      <c r="I15" s="39">
        <v>23000</v>
      </c>
      <c r="J15">
        <v>10</v>
      </c>
      <c r="K15" t="s">
        <v>594</v>
      </c>
      <c r="L15" s="39">
        <v>0</v>
      </c>
      <c r="M15" t="s">
        <v>584</v>
      </c>
      <c r="N15">
        <v>1</v>
      </c>
      <c r="O15" t="s">
        <v>35</v>
      </c>
      <c r="P15" t="s">
        <v>35</v>
      </c>
      <c r="Q15">
        <v>16</v>
      </c>
      <c r="R15" t="s">
        <v>35</v>
      </c>
      <c r="S15" s="33"/>
      <c r="T15" s="27" t="str">
        <f>IF(NOT(AND(ISNUMBER($G15),ISNUMBER($H15))),"تواريخ غير صحيحة",IF(TODAY()&lt;$G15,"لم يبدأ",IF(TODAY()&gt;$H15,IF(IF($A15="",0,COUNTIF($O:$O,$A15))+IF($B15="",0,COUNTIFS($B:$B,$B15,$G:$G,"&gt;"&amp;$H15)-IF($G15&gt;$H15,1,0))&gt;0,"منتهٍ (أُجِّرت بعده)","منتهٍ"),"ساري")))</f>
        <v>ساري</v>
      </c>
      <c r="U15" s="28">
        <f>IF($X15="","",IF($X15&gt;10,27830,INDEX($AD15:$AM15,1,$X15)))</f>
        <v>27830</v>
      </c>
      <c r="V15" s="28">
        <f>IF($A15="","",SUMIFS('المدفوعات'!$F:$F,'المدفوعات'!$B:$B,$A15))</f>
        <v>207460</v>
      </c>
      <c r="W15" s="35">
        <v>0</v>
      </c>
      <c r="X15" s="34">
        <f>IF(OR(NOT(ISNUMBER($G15)),NOT(ISNUMBER($H15)),$AA15=""),"",IF(TODAY()&lt;$G15,1,MIN($AA15,DATEDIF($G15,TODAY(),"y")+1)))</f>
        <v>3</v>
      </c>
      <c r="Y15" s="27" t="str">
        <f>IF($B15="","",IFERROR(INDEX('الوحدات'!$B:$B,MATCH($B15,'الوحدات'!$A:$A,0)),""))</f>
        <v>P02</v>
      </c>
      <c r="Z15" s="34">
        <f>IF(ISNUMBER($H15),$H15-TODAY(),"")</f>
        <v>263</v>
      </c>
      <c r="AA15" s="34">
        <f>IF(AND(ISNUMBER($G15),ISNUMBER($H15)),IFERROR(DATEDIF($G15,$H15,"y")+1,""),"")</f>
        <v>3</v>
      </c>
      <c r="AB15" s="37" t="str">
        <f>IF(OR($X15="",$X15&gt;=$AA15),"",DATE(YEAR($G15)+$X15,MONTH($G15),DAY($G15)))</f>
        <v/>
      </c>
      <c r="AC15" s="28" t="str">
        <f>IF($AB15="","",IF($X15+1&gt;10,0,INDEX($AD15:$AM15,1,$X15+1)))</f>
        <v/>
      </c>
      <c r="AD15" s="28">
        <f>IF($AA15="","",IFERROR(VALUE(MID($AN15,SEARCH(";1:",$AN15)+3,SEARCH(";",$AN15,SEARCH(";1:",$AN15)+3)-SEARCH(";1:",$AN15)-3)),$I15))</f>
        <v>23000</v>
      </c>
      <c r="AE15" s="28">
        <f>IF(OR($AA15="",2&gt;$AA15),"",IFERROR(VALUE(MID($AN15,SEARCH(";2:",$AN15)+3,SEARCH(";",$AN15,SEARCH(";2:",$AN15)+3)-SEARCH(";2:",$AN15)-3)),ROUND($AD15*(1+$J15/100),0)))</f>
        <v>25300</v>
      </c>
      <c r="AF15" s="28">
        <f>IF(OR($AA15="",3&gt;$AA15),"",IFERROR(VALUE(MID($AN15,SEARCH(";3:",$AN15)+3,SEARCH(";",$AN15,SEARCH(";3:",$AN15)+3)-SEARCH(";3:",$AN15)-3)),ROUND($AE15*(1+$J15/100),0)))</f>
        <v>27830</v>
      </c>
      <c r="AG15" s="28" t="str">
        <f>IF(OR($AA15="",4&gt;$AA15),"",IFERROR(VALUE(MID($AN15,SEARCH(";4:",$AN15)+3,SEARCH(";",$AN15,SEARCH(";4:",$AN15)+3)-SEARCH(";4:",$AN15)-3)),ROUND($AF15*(1+$J15/100),0)))</f>
        <v/>
      </c>
      <c r="AH15" s="28" t="str">
        <f>IF(OR($AA15="",5&gt;$AA15),"",IFERROR(VALUE(MID($AN15,SEARCH(";5:",$AN15)+3,SEARCH(";",$AN15,SEARCH(";5:",$AN15)+3)-SEARCH(";5:",$AN15)-3)),ROUND($AG15*(1+$J15/100),0)))</f>
        <v/>
      </c>
      <c r="AI15" s="28" t="str">
        <f>IF(OR($AA15="",6&gt;$AA15),"",IFERROR(VALUE(MID($AN15,SEARCH(";6:",$AN15)+3,SEARCH(";",$AN15,SEARCH(";6:",$AN15)+3)-SEARCH(";6:",$AN15)-3)),ROUND($AH15*(1+$J15/100),0)))</f>
        <v/>
      </c>
      <c r="AJ15" s="28" t="str">
        <f>IF(OR($AA15="",7&gt;$AA15),"",IFERROR(VALUE(MID($AN15,SEARCH(";7:",$AN15)+3,SEARCH(";",$AN15,SEARCH(";7:",$AN15)+3)-SEARCH(";7:",$AN15)-3)),ROUND($AI15*(1+$J15/100),0)))</f>
        <v/>
      </c>
      <c r="AK15" s="28" t="str">
        <f>IF(OR($AA15="",8&gt;$AA15),"",IFERROR(VALUE(MID($AN15,SEARCH(";8:",$AN15)+3,SEARCH(";",$AN15,SEARCH(";8:",$AN15)+3)-SEARCH(";8:",$AN15)-3)),ROUND($AJ15*(1+$J15/100),0)))</f>
        <v/>
      </c>
      <c r="AL15" s="28" t="str">
        <f>IF(OR($AA15="",9&gt;$AA15),"",IFERROR(VALUE(MID($AN15,SEARCH(";9:",$AN15)+3,SEARCH(";",$AN15,SEARCH(";9:",$AN15)+3)-SEARCH(";9:",$AN15)-3)),ROUND($AK15*(1+$J15/100),0)))</f>
        <v/>
      </c>
      <c r="AM15" s="28" t="str">
        <f>IF(OR($AA15="",10&gt;$AA15),"",IFERROR(VALUE(MID($AN15,SEARCH(";10:",$AN15)+4,SEARCH(";",$AN15,SEARCH(";10:",$AN15)+4)-SEARCH(";10:",$AN15)-4)),ROUND($AL15*(1+$J15/100),0)))</f>
        <v/>
      </c>
      <c r="AN15" s="36" t="str">
        <f>";"&amp;SUBSTITUTE(SUBSTITUTE(SUBSTITUTE(SUBSTITUTE(SUBSTITUTE(SUBSTITUTE($K15," ",""),"،",";"),CHAR(10),";"),"=",":"),",",""),"٫",".")&amp;";"</f>
        <v>;2:25300;3:27830;</v>
      </c>
      <c r="AO15" s="36" t="str">
        <f>IF($T15="ساري",$B15,"")</f>
        <v>P02-304</v>
      </c>
    </row>
    <row r="16" spans="1:41" x14ac:dyDescent="0.25">
      <c r="A16" t="s">
        <v>136</v>
      </c>
      <c r="B16" t="s">
        <v>137</v>
      </c>
      <c r="C16" t="s">
        <v>138</v>
      </c>
      <c r="D16" s="27" t="str">
        <f>IF($Y16="","",IFERROR(INDEX('المشاريع'!$B:$B,MATCH($Y16,'المشاريع'!$A:$A,0)),""))</f>
        <v>محيي الدين</v>
      </c>
      <c r="E16" s="27" t="str">
        <f>IF($B16="","",IFERROR(INDEX('الوحدات'!$D:$D,MATCH($B16,'الوحدات'!$A:$A,0)),""))</f>
        <v>401</v>
      </c>
      <c r="F16" s="27" t="str">
        <f>IF($C16="","",IFERROR(INDEX('العملاء'!$B:$B,MATCH($C16,'العملاء'!$A:$A,0)),""))</f>
        <v>د/ يوسف حسن مكرم</v>
      </c>
      <c r="G16" s="33">
        <v>45668</v>
      </c>
      <c r="H16" s="33">
        <v>46397</v>
      </c>
      <c r="I16" s="39">
        <v>37665</v>
      </c>
      <c r="J16">
        <v>0</v>
      </c>
      <c r="K16" t="s">
        <v>595</v>
      </c>
      <c r="L16" s="39">
        <v>0</v>
      </c>
      <c r="M16" t="s">
        <v>584</v>
      </c>
      <c r="N16">
        <v>1</v>
      </c>
      <c r="O16" t="s">
        <v>35</v>
      </c>
      <c r="P16" t="s">
        <v>35</v>
      </c>
      <c r="Q16">
        <v>17</v>
      </c>
      <c r="R16" t="s">
        <v>35</v>
      </c>
      <c r="S16" s="33"/>
      <c r="T16" s="27" t="str">
        <f>IF(NOT(AND(ISNUMBER($G16),ISNUMBER($H16))),"تواريخ غير صحيحة",IF(TODAY()&lt;$G16,"لم يبدأ",IF(TODAY()&gt;$H16,IF(IF($A16="",0,COUNTIF($O:$O,$A16))+IF($B16="",0,COUNTIFS($B:$B,$B16,$G:$G,"&gt;"&amp;$H16)-IF($G16&gt;$H16,1,0))&gt;0,"منتهٍ (أُجِّرت بعده)","منتهٍ"),"ساري")))</f>
        <v>ساري</v>
      </c>
      <c r="U16" s="28">
        <f>IF($X16="","",IF($X16&gt;10,37665,INDEX($AD16:$AM16,1,$X16)))</f>
        <v>37665</v>
      </c>
      <c r="V16" s="28">
        <f>IF($A16="","",SUMIFS('المدفوعات'!$F:$F,'المدفوعات'!$B:$B,$A16))</f>
        <v>299680</v>
      </c>
      <c r="W16" s="35">
        <v>1640</v>
      </c>
      <c r="X16" s="34">
        <f>IF(OR(NOT(ISNUMBER($G16)),NOT(ISNUMBER($H16)),$AA16=""),"",IF(TODAY()&lt;$G16,1,MIN($AA16,DATEDIF($G16,TODAY(),"y")+1)))</f>
        <v>2</v>
      </c>
      <c r="Y16" s="27" t="str">
        <f>IF($B16="","",IFERROR(INDEX('الوحدات'!$B:$B,MATCH($B16,'الوحدات'!$A:$A,0)),""))</f>
        <v>P02</v>
      </c>
      <c r="Z16" s="34">
        <f>IF(ISNUMBER($H16),$H16-TODAY(),"")</f>
        <v>92</v>
      </c>
      <c r="AA16" s="34">
        <f>IF(AND(ISNUMBER($G16),ISNUMBER($H16)),IFERROR(DATEDIF($G16,$H16,"y")+1,""),"")</f>
        <v>2</v>
      </c>
      <c r="AB16" s="37" t="str">
        <f>IF(OR($X16="",$X16&gt;=$AA16),"",DATE(YEAR($G16)+$X16,MONTH($G16),DAY($G16)))</f>
        <v/>
      </c>
      <c r="AC16" s="28" t="str">
        <f>IF($AB16="","",IF($X16+1&gt;10,0,INDEX($AD16:$AM16,1,$X16+1)))</f>
        <v/>
      </c>
      <c r="AD16" s="28">
        <f>IF($AA16="","",IFERROR(VALUE(MID($AN16,SEARCH(";1:",$AN16)+3,SEARCH(";",$AN16,SEARCH(";1:",$AN16)+3)-SEARCH(";1:",$AN16)-3)),$I16))</f>
        <v>37665</v>
      </c>
      <c r="AE16" s="28">
        <f>IF(OR($AA16="",2&gt;$AA16),"",IFERROR(VALUE(MID($AN16,SEARCH(";2:",$AN16)+3,SEARCH(";",$AN16,SEARCH(";2:",$AN16)+3)-SEARCH(";2:",$AN16)-3)),ROUND($AD16*(1+$J16/100),0)))</f>
        <v>37665</v>
      </c>
      <c r="AF16" s="28" t="str">
        <f>IF(OR($AA16="",3&gt;$AA16),"",IFERROR(VALUE(MID($AN16,SEARCH(";3:",$AN16)+3,SEARCH(";",$AN16,SEARCH(";3:",$AN16)+3)-SEARCH(";3:",$AN16)-3)),ROUND($AE16*(1+$J16/100),0)))</f>
        <v/>
      </c>
      <c r="AG16" s="28" t="str">
        <f>IF(OR($AA16="",4&gt;$AA16),"",IFERROR(VALUE(MID($AN16,SEARCH(";4:",$AN16)+3,SEARCH(";",$AN16,SEARCH(";4:",$AN16)+3)-SEARCH(";4:",$AN16)-3)),ROUND($AF16*(1+$J16/100),0)))</f>
        <v/>
      </c>
      <c r="AH16" s="28" t="str">
        <f>IF(OR($AA16="",5&gt;$AA16),"",IFERROR(VALUE(MID($AN16,SEARCH(";5:",$AN16)+3,SEARCH(";",$AN16,SEARCH(";5:",$AN16)+3)-SEARCH(";5:",$AN16)-3)),ROUND($AG16*(1+$J16/100),0)))</f>
        <v/>
      </c>
      <c r="AI16" s="28" t="str">
        <f>IF(OR($AA16="",6&gt;$AA16),"",IFERROR(VALUE(MID($AN16,SEARCH(";6:",$AN16)+3,SEARCH(";",$AN16,SEARCH(";6:",$AN16)+3)-SEARCH(";6:",$AN16)-3)),ROUND($AH16*(1+$J16/100),0)))</f>
        <v/>
      </c>
      <c r="AJ16" s="28" t="str">
        <f>IF(OR($AA16="",7&gt;$AA16),"",IFERROR(VALUE(MID($AN16,SEARCH(";7:",$AN16)+3,SEARCH(";",$AN16,SEARCH(";7:",$AN16)+3)-SEARCH(";7:",$AN16)-3)),ROUND($AI16*(1+$J16/100),0)))</f>
        <v/>
      </c>
      <c r="AK16" s="28" t="str">
        <f>IF(OR($AA16="",8&gt;$AA16),"",IFERROR(VALUE(MID($AN16,SEARCH(";8:",$AN16)+3,SEARCH(";",$AN16,SEARCH(";8:",$AN16)+3)-SEARCH(";8:",$AN16)-3)),ROUND($AJ16*(1+$J16/100),0)))</f>
        <v/>
      </c>
      <c r="AL16" s="28" t="str">
        <f>IF(OR($AA16="",9&gt;$AA16),"",IFERROR(VALUE(MID($AN16,SEARCH(";9:",$AN16)+3,SEARCH(";",$AN16,SEARCH(";9:",$AN16)+3)-SEARCH(";9:",$AN16)-3)),ROUND($AK16*(1+$J16/100),0)))</f>
        <v/>
      </c>
      <c r="AM16" s="28" t="str">
        <f>IF(OR($AA16="",10&gt;$AA16),"",IFERROR(VALUE(MID($AN16,SEARCH(";10:",$AN16)+4,SEARCH(";",$AN16,SEARCH(";10:",$AN16)+4)-SEARCH(";10:",$AN16)-4)),ROUND($AL16*(1+$J16/100),0)))</f>
        <v/>
      </c>
      <c r="AN16" s="36" t="str">
        <f>";"&amp;SUBSTITUTE(SUBSTITUTE(SUBSTITUTE(SUBSTITUTE(SUBSTITUTE(SUBSTITUTE($K16," ",""),"،",";"),CHAR(10),";"),"=",":"),",",""),"٫",".")&amp;";"</f>
        <v>;2:37665;</v>
      </c>
      <c r="AO16" s="36" t="str">
        <f>IF($T16="ساري",$B16,"")</f>
        <v>P02-401</v>
      </c>
    </row>
    <row r="17" spans="1:41" x14ac:dyDescent="0.25">
      <c r="A17" t="s">
        <v>143</v>
      </c>
      <c r="B17" t="s">
        <v>144</v>
      </c>
      <c r="C17" t="s">
        <v>145</v>
      </c>
      <c r="D17" s="27" t="str">
        <f>IF($Y17="","",IFERROR(INDEX('المشاريع'!$B:$B,MATCH($Y17,'المشاريع'!$A:$A,0)),""))</f>
        <v>محيي الدين</v>
      </c>
      <c r="E17" s="27" t="str">
        <f>IF($B17="","",IFERROR(INDEX('الوحدات'!$D:$D,MATCH($B17,'الوحدات'!$A:$A,0)),""))</f>
        <v>404</v>
      </c>
      <c r="F17" s="27" t="str">
        <f>IF($C17="","",IFERROR(INDEX('العملاء'!$B:$B,MATCH($C17,'العملاء'!$A:$A,0)),""))</f>
        <v>د/ فادي سعيد منصور</v>
      </c>
      <c r="G17" s="33">
        <v>45292</v>
      </c>
      <c r="H17" s="33">
        <v>46387</v>
      </c>
      <c r="I17" s="39">
        <v>30250</v>
      </c>
      <c r="J17">
        <v>0</v>
      </c>
      <c r="K17" t="s">
        <v>588</v>
      </c>
      <c r="L17" s="39">
        <v>0</v>
      </c>
      <c r="M17" t="s">
        <v>584</v>
      </c>
      <c r="N17">
        <v>1</v>
      </c>
      <c r="O17" t="s">
        <v>35</v>
      </c>
      <c r="P17" t="s">
        <v>35</v>
      </c>
      <c r="Q17">
        <v>18</v>
      </c>
      <c r="R17" t="s">
        <v>35</v>
      </c>
      <c r="S17" s="33"/>
      <c r="T17" s="27" t="str">
        <f>IF(NOT(AND(ISNUMBER($G17),ISNUMBER($H17))),"تواريخ غير صحيحة",IF(TODAY()&lt;$G17,"لم يبدأ",IF(TODAY()&gt;$H17,IF(IF($A17="",0,COUNTIF($O:$O,$A17))+IF($B17="",0,COUNTIFS($B:$B,$B17,$G:$G,"&gt;"&amp;$H17)-IF($G17&gt;$H17,1,0))&gt;0,"منتهٍ (أُجِّرت بعده)","منتهٍ"),"ساري")))</f>
        <v>ساري</v>
      </c>
      <c r="U17" s="28">
        <f>IF($X17="","",IF($X17&gt;10,30250,INDEX($AD17:$AM17,1,$X17)))</f>
        <v>30250</v>
      </c>
      <c r="V17" s="28">
        <f>IF($A17="","",SUMIFS('المدفوعات'!$F:$F,'المدفوعات'!$B:$B,$A17))</f>
        <v>242000</v>
      </c>
      <c r="W17" s="35">
        <v>0</v>
      </c>
      <c r="X17" s="34">
        <f>IF(OR(NOT(ISNUMBER($G17)),NOT(ISNUMBER($H17)),$AA17=""),"",IF(TODAY()&lt;$G17,1,MIN($AA17,DATEDIF($G17,TODAY(),"y")+1)))</f>
        <v>3</v>
      </c>
      <c r="Y17" s="27" t="str">
        <f>IF($B17="","",IFERROR(INDEX('الوحدات'!$B:$B,MATCH($B17,'الوحدات'!$A:$A,0)),""))</f>
        <v>P02</v>
      </c>
      <c r="Z17" s="34">
        <f>IF(ISNUMBER($H17),$H17-TODAY(),"")</f>
        <v>82</v>
      </c>
      <c r="AA17" s="34">
        <f>IF(AND(ISNUMBER($G17),ISNUMBER($H17)),IFERROR(DATEDIF($G17,$H17,"y")+1,""),"")</f>
        <v>3</v>
      </c>
      <c r="AB17" s="37" t="str">
        <f>IF(OR($X17="",$X17&gt;=$AA17),"",DATE(YEAR($G17)+$X17,MONTH($G17),DAY($G17)))</f>
        <v/>
      </c>
      <c r="AC17" s="28" t="str">
        <f>IF($AB17="","",IF($X17+1&gt;10,0,INDEX($AD17:$AM17,1,$X17+1)))</f>
        <v/>
      </c>
      <c r="AD17" s="28">
        <f>IF($AA17="","",IFERROR(VALUE(MID($AN17,SEARCH(";1:",$AN17)+3,SEARCH(";",$AN17,SEARCH(";1:",$AN17)+3)-SEARCH(";1:",$AN17)-3)),$I17))</f>
        <v>30250</v>
      </c>
      <c r="AE17" s="28">
        <f>IF(OR($AA17="",2&gt;$AA17),"",IFERROR(VALUE(MID($AN17,SEARCH(";2:",$AN17)+3,SEARCH(";",$AN17,SEARCH(";2:",$AN17)+3)-SEARCH(";2:",$AN17)-3)),ROUND($AD17*(1+$J17/100),0)))</f>
        <v>30250</v>
      </c>
      <c r="AF17" s="28">
        <f>IF(OR($AA17="",3&gt;$AA17),"",IFERROR(VALUE(MID($AN17,SEARCH(";3:",$AN17)+3,SEARCH(";",$AN17,SEARCH(";3:",$AN17)+3)-SEARCH(";3:",$AN17)-3)),ROUND($AE17*(1+$J17/100),0)))</f>
        <v>30250</v>
      </c>
      <c r="AG17" s="28" t="str">
        <f>IF(OR($AA17="",4&gt;$AA17),"",IFERROR(VALUE(MID($AN17,SEARCH(";4:",$AN17)+3,SEARCH(";",$AN17,SEARCH(";4:",$AN17)+3)-SEARCH(";4:",$AN17)-3)),ROUND($AF17*(1+$J17/100),0)))</f>
        <v/>
      </c>
      <c r="AH17" s="28" t="str">
        <f>IF(OR($AA17="",5&gt;$AA17),"",IFERROR(VALUE(MID($AN17,SEARCH(";5:",$AN17)+3,SEARCH(";",$AN17,SEARCH(";5:",$AN17)+3)-SEARCH(";5:",$AN17)-3)),ROUND($AG17*(1+$J17/100),0)))</f>
        <v/>
      </c>
      <c r="AI17" s="28" t="str">
        <f>IF(OR($AA17="",6&gt;$AA17),"",IFERROR(VALUE(MID($AN17,SEARCH(";6:",$AN17)+3,SEARCH(";",$AN17,SEARCH(";6:",$AN17)+3)-SEARCH(";6:",$AN17)-3)),ROUND($AH17*(1+$J17/100),0)))</f>
        <v/>
      </c>
      <c r="AJ17" s="28" t="str">
        <f>IF(OR($AA17="",7&gt;$AA17),"",IFERROR(VALUE(MID($AN17,SEARCH(";7:",$AN17)+3,SEARCH(";",$AN17,SEARCH(";7:",$AN17)+3)-SEARCH(";7:",$AN17)-3)),ROUND($AI17*(1+$J17/100),0)))</f>
        <v/>
      </c>
      <c r="AK17" s="28" t="str">
        <f>IF(OR($AA17="",8&gt;$AA17),"",IFERROR(VALUE(MID($AN17,SEARCH(";8:",$AN17)+3,SEARCH(";",$AN17,SEARCH(";8:",$AN17)+3)-SEARCH(";8:",$AN17)-3)),ROUND($AJ17*(1+$J17/100),0)))</f>
        <v/>
      </c>
      <c r="AL17" s="28" t="str">
        <f>IF(OR($AA17="",9&gt;$AA17),"",IFERROR(VALUE(MID($AN17,SEARCH(";9:",$AN17)+3,SEARCH(";",$AN17,SEARCH(";9:",$AN17)+3)-SEARCH(";9:",$AN17)-3)),ROUND($AK17*(1+$J17/100),0)))</f>
        <v/>
      </c>
      <c r="AM17" s="28" t="str">
        <f>IF(OR($AA17="",10&gt;$AA17),"",IFERROR(VALUE(MID($AN17,SEARCH(";10:",$AN17)+4,SEARCH(";",$AN17,SEARCH(";10:",$AN17)+4)-SEARCH(";10:",$AN17)-4)),ROUND($AL17*(1+$J17/100),0)))</f>
        <v/>
      </c>
      <c r="AN17" s="36" t="str">
        <f>";"&amp;SUBSTITUTE(SUBSTITUTE(SUBSTITUTE(SUBSTITUTE(SUBSTITUTE(SUBSTITUTE($K17," ",""),"،",";"),CHAR(10),";"),"=",":"),",",""),"٫",".")&amp;";"</f>
        <v>;3:30250;</v>
      </c>
      <c r="AO17" s="36" t="str">
        <f>IF($T17="ساري",$B17,"")</f>
        <v>P02-404</v>
      </c>
    </row>
    <row r="18" spans="1:41" x14ac:dyDescent="0.25">
      <c r="A18" t="s">
        <v>149</v>
      </c>
      <c r="B18" t="s">
        <v>150</v>
      </c>
      <c r="C18" t="s">
        <v>151</v>
      </c>
      <c r="D18" s="27" t="str">
        <f>IF($Y18="","",IFERROR(INDEX('المشاريع'!$B:$B,MATCH($Y18,'المشاريع'!$A:$A,0)),""))</f>
        <v>محيي الدين</v>
      </c>
      <c r="E18" s="27" t="str">
        <f>IF($B18="","",IFERROR(INDEX('الوحدات'!$D:$D,MATCH($B18,'الوحدات'!$A:$A,0)),""))</f>
        <v>502</v>
      </c>
      <c r="F18" s="27" t="str">
        <f>IF($C18="","",IFERROR(INDEX('العملاء'!$B:$B,MATCH($C18,'العملاء'!$A:$A,0)),""))</f>
        <v>د/ رضوى خالد عبد الرحمن</v>
      </c>
      <c r="G18" s="33">
        <v>45170</v>
      </c>
      <c r="H18" s="33">
        <v>46265</v>
      </c>
      <c r="I18" s="39">
        <v>19060</v>
      </c>
      <c r="J18">
        <v>0</v>
      </c>
      <c r="K18" t="s">
        <v>596</v>
      </c>
      <c r="L18" s="39">
        <v>0</v>
      </c>
      <c r="M18" t="s">
        <v>584</v>
      </c>
      <c r="N18">
        <v>1</v>
      </c>
      <c r="O18" t="s">
        <v>35</v>
      </c>
      <c r="P18" t="s">
        <v>35</v>
      </c>
      <c r="Q18">
        <v>19</v>
      </c>
      <c r="R18" t="s">
        <v>35</v>
      </c>
      <c r="S18" s="33"/>
      <c r="T18" s="27" t="str">
        <f>IF(NOT(AND(ISNUMBER($G18),ISNUMBER($H18))),"تواريخ غير صحيحة",IF(TODAY()&lt;$G18,"لم يبدأ",IF(TODAY()&gt;$H18,IF(IF($A18="",0,COUNTIF($O:$O,$A18))+IF($B18="",0,COUNTIFS($B:$B,$B18,$G:$G,"&gt;"&amp;$H18)-IF($G18&gt;$H18,1,0))&gt;0,"منتهٍ (أُجِّرت بعده)","منتهٍ"),"ساري")))</f>
        <v>منتهٍ</v>
      </c>
      <c r="U18" s="28">
        <f>IF($X18="","",IF($X18&gt;10,19060,INDEX($AD18:$AM18,1,$X18)))</f>
        <v>19060</v>
      </c>
      <c r="V18" s="28">
        <f>IF($A18="","",SUMIFS('المدفوعات'!$F:$F,'المدفوعات'!$B:$B,$A18))</f>
        <v>152480</v>
      </c>
      <c r="W18" s="35">
        <v>0</v>
      </c>
      <c r="X18" s="34">
        <f>IF(OR(NOT(ISNUMBER($G18)),NOT(ISNUMBER($H18)),$AA18=""),"",IF(TODAY()&lt;$G18,1,MIN($AA18,DATEDIF($G18,TODAY(),"y")+1)))</f>
        <v>3</v>
      </c>
      <c r="Y18" s="27" t="str">
        <f>IF($B18="","",IFERROR(INDEX('الوحدات'!$B:$B,MATCH($B18,'الوحدات'!$A:$A,0)),""))</f>
        <v>P02</v>
      </c>
      <c r="Z18" s="34">
        <f>IF(ISNUMBER($H18),$H18-TODAY(),"")</f>
        <v>-40</v>
      </c>
      <c r="AA18" s="34">
        <f>IF(AND(ISNUMBER($G18),ISNUMBER($H18)),IFERROR(DATEDIF($G18,$H18,"y")+1,""),"")</f>
        <v>3</v>
      </c>
      <c r="AB18" s="37" t="str">
        <f>IF(OR($X18="",$X18&gt;=$AA18),"",DATE(YEAR($G18)+$X18,MONTH($G18),DAY($G18)))</f>
        <v/>
      </c>
      <c r="AC18" s="28" t="str">
        <f>IF($AB18="","",IF($X18+1&gt;10,0,INDEX($AD18:$AM18,1,$X18+1)))</f>
        <v/>
      </c>
      <c r="AD18" s="28">
        <f>IF($AA18="","",IFERROR(VALUE(MID($AN18,SEARCH(";1:",$AN18)+3,SEARCH(";",$AN18,SEARCH(";1:",$AN18)+3)-SEARCH(";1:",$AN18)-3)),$I18))</f>
        <v>19060</v>
      </c>
      <c r="AE18" s="28">
        <f>IF(OR($AA18="",2&gt;$AA18),"",IFERROR(VALUE(MID($AN18,SEARCH(";2:",$AN18)+3,SEARCH(";",$AN18,SEARCH(";2:",$AN18)+3)-SEARCH(";2:",$AN18)-3)),ROUND($AD18*(1+$J18/100),0)))</f>
        <v>19060</v>
      </c>
      <c r="AF18" s="28">
        <f>IF(OR($AA18="",3&gt;$AA18),"",IFERROR(VALUE(MID($AN18,SEARCH(";3:",$AN18)+3,SEARCH(";",$AN18,SEARCH(";3:",$AN18)+3)-SEARCH(";3:",$AN18)-3)),ROUND($AE18*(1+$J18/100),0)))</f>
        <v>19060</v>
      </c>
      <c r="AG18" s="28" t="str">
        <f>IF(OR($AA18="",4&gt;$AA18),"",IFERROR(VALUE(MID($AN18,SEARCH(";4:",$AN18)+3,SEARCH(";",$AN18,SEARCH(";4:",$AN18)+3)-SEARCH(";4:",$AN18)-3)),ROUND($AF18*(1+$J18/100),0)))</f>
        <v/>
      </c>
      <c r="AH18" s="28" t="str">
        <f>IF(OR($AA18="",5&gt;$AA18),"",IFERROR(VALUE(MID($AN18,SEARCH(";5:",$AN18)+3,SEARCH(";",$AN18,SEARCH(";5:",$AN18)+3)-SEARCH(";5:",$AN18)-3)),ROUND($AG18*(1+$J18/100),0)))</f>
        <v/>
      </c>
      <c r="AI18" s="28" t="str">
        <f>IF(OR($AA18="",6&gt;$AA18),"",IFERROR(VALUE(MID($AN18,SEARCH(";6:",$AN18)+3,SEARCH(";",$AN18,SEARCH(";6:",$AN18)+3)-SEARCH(";6:",$AN18)-3)),ROUND($AH18*(1+$J18/100),0)))</f>
        <v/>
      </c>
      <c r="AJ18" s="28" t="str">
        <f>IF(OR($AA18="",7&gt;$AA18),"",IFERROR(VALUE(MID($AN18,SEARCH(";7:",$AN18)+3,SEARCH(";",$AN18,SEARCH(";7:",$AN18)+3)-SEARCH(";7:",$AN18)-3)),ROUND($AI18*(1+$J18/100),0)))</f>
        <v/>
      </c>
      <c r="AK18" s="28" t="str">
        <f>IF(OR($AA18="",8&gt;$AA18),"",IFERROR(VALUE(MID($AN18,SEARCH(";8:",$AN18)+3,SEARCH(";",$AN18,SEARCH(";8:",$AN18)+3)-SEARCH(";8:",$AN18)-3)),ROUND($AJ18*(1+$J18/100),0)))</f>
        <v/>
      </c>
      <c r="AL18" s="28" t="str">
        <f>IF(OR($AA18="",9&gt;$AA18),"",IFERROR(VALUE(MID($AN18,SEARCH(";9:",$AN18)+3,SEARCH(";",$AN18,SEARCH(";9:",$AN18)+3)-SEARCH(";9:",$AN18)-3)),ROUND($AK18*(1+$J18/100),0)))</f>
        <v/>
      </c>
      <c r="AM18" s="28" t="str">
        <f>IF(OR($AA18="",10&gt;$AA18),"",IFERROR(VALUE(MID($AN18,SEARCH(";10:",$AN18)+4,SEARCH(";",$AN18,SEARCH(";10:",$AN18)+4)-SEARCH(";10:",$AN18)-4)),ROUND($AL18*(1+$J18/100),0)))</f>
        <v/>
      </c>
      <c r="AN18" s="36" t="str">
        <f>";"&amp;SUBSTITUTE(SUBSTITUTE(SUBSTITUTE(SUBSTITUTE(SUBSTITUTE(SUBSTITUTE($K18," ",""),"،",";"),CHAR(10),";"),"=",":"),",",""),"٫",".")&amp;";"</f>
        <v>;3:19060;</v>
      </c>
      <c r="AO18" s="36" t="str">
        <f>IF($T18="ساري",$B18,"")</f>
        <v/>
      </c>
    </row>
    <row r="19" spans="1:41" x14ac:dyDescent="0.25">
      <c r="A19" t="s">
        <v>156</v>
      </c>
      <c r="B19" t="s">
        <v>157</v>
      </c>
      <c r="C19" t="s">
        <v>158</v>
      </c>
      <c r="D19" s="27" t="str">
        <f>IF($Y19="","",IFERROR(INDEX('المشاريع'!$B:$B,MATCH($Y19,'المشاريع'!$A:$A,0)),""))</f>
        <v>محيي الدين</v>
      </c>
      <c r="E19" s="27" t="str">
        <f>IF($B19="","",IFERROR(INDEX('الوحدات'!$D:$D,MATCH($B19,'الوحدات'!$A:$A,0)),""))</f>
        <v>503</v>
      </c>
      <c r="F19" s="27" t="str">
        <f>IF($C19="","",IFERROR(INDEX('العملاء'!$B:$B,MATCH($C19,'العملاء'!$A:$A,0)),""))</f>
        <v>د/ آية أيمن بدوي</v>
      </c>
      <c r="G19" s="33">
        <v>45200</v>
      </c>
      <c r="H19" s="33">
        <v>46295</v>
      </c>
      <c r="I19" s="39">
        <v>20570</v>
      </c>
      <c r="J19">
        <v>0</v>
      </c>
      <c r="K19" t="s">
        <v>597</v>
      </c>
      <c r="L19" s="39">
        <v>0</v>
      </c>
      <c r="M19" t="s">
        <v>584</v>
      </c>
      <c r="N19">
        <v>1</v>
      </c>
      <c r="O19" t="s">
        <v>35</v>
      </c>
      <c r="P19" t="s">
        <v>35</v>
      </c>
      <c r="Q19">
        <v>20</v>
      </c>
      <c r="R19" t="s">
        <v>35</v>
      </c>
      <c r="S19" s="33"/>
      <c r="T19" s="27" t="str">
        <f>IF(NOT(AND(ISNUMBER($G19),ISNUMBER($H19))),"تواريخ غير صحيحة",IF(TODAY()&lt;$G19,"لم يبدأ",IF(TODAY()&gt;$H19,IF(IF($A19="",0,COUNTIF($O:$O,$A19))+IF($B19="",0,COUNTIFS($B:$B,$B19,$G:$G,"&gt;"&amp;$H19)-IF($G19&gt;$H19,1,0))&gt;0,"منتهٍ (أُجِّرت بعده)","منتهٍ"),"ساري")))</f>
        <v>منتهٍ</v>
      </c>
      <c r="U19" s="28">
        <f>IF($X19="","",IF($X19&gt;10,20570,INDEX($AD19:$AM19,1,$X19)))</f>
        <v>20570</v>
      </c>
      <c r="V19" s="28">
        <f>IF($A19="","",SUMIFS('المدفوعات'!$F:$F,'المدفوعات'!$B:$B,$A19))</f>
        <v>164560</v>
      </c>
      <c r="W19" s="35">
        <v>0</v>
      </c>
      <c r="X19" s="34">
        <f>IF(OR(NOT(ISNUMBER($G19)),NOT(ISNUMBER($H19)),$AA19=""),"",IF(TODAY()&lt;$G19,1,MIN($AA19,DATEDIF($G19,TODAY(),"y")+1)))</f>
        <v>3</v>
      </c>
      <c r="Y19" s="27" t="str">
        <f>IF($B19="","",IFERROR(INDEX('الوحدات'!$B:$B,MATCH($B19,'الوحدات'!$A:$A,0)),""))</f>
        <v>P02</v>
      </c>
      <c r="Z19" s="34">
        <f>IF(ISNUMBER($H19),$H19-TODAY(),"")</f>
        <v>-10</v>
      </c>
      <c r="AA19" s="34">
        <f>IF(AND(ISNUMBER($G19),ISNUMBER($H19)),IFERROR(DATEDIF($G19,$H19,"y")+1,""),"")</f>
        <v>3</v>
      </c>
      <c r="AB19" s="37" t="str">
        <f>IF(OR($X19="",$X19&gt;=$AA19),"",DATE(YEAR($G19)+$X19,MONTH($G19),DAY($G19)))</f>
        <v/>
      </c>
      <c r="AC19" s="28" t="str">
        <f>IF($AB19="","",IF($X19+1&gt;10,0,INDEX($AD19:$AM19,1,$X19+1)))</f>
        <v/>
      </c>
      <c r="AD19" s="28">
        <f>IF($AA19="","",IFERROR(VALUE(MID($AN19,SEARCH(";1:",$AN19)+3,SEARCH(";",$AN19,SEARCH(";1:",$AN19)+3)-SEARCH(";1:",$AN19)-3)),$I19))</f>
        <v>20570</v>
      </c>
      <c r="AE19" s="28">
        <f>IF(OR($AA19="",2&gt;$AA19),"",IFERROR(VALUE(MID($AN19,SEARCH(";2:",$AN19)+3,SEARCH(";",$AN19,SEARCH(";2:",$AN19)+3)-SEARCH(";2:",$AN19)-3)),ROUND($AD19*(1+$J19/100),0)))</f>
        <v>20570</v>
      </c>
      <c r="AF19" s="28">
        <f>IF(OR($AA19="",3&gt;$AA19),"",IFERROR(VALUE(MID($AN19,SEARCH(";3:",$AN19)+3,SEARCH(";",$AN19,SEARCH(";3:",$AN19)+3)-SEARCH(";3:",$AN19)-3)),ROUND($AE19*(1+$J19/100),0)))</f>
        <v>20570</v>
      </c>
      <c r="AG19" s="28" t="str">
        <f>IF(OR($AA19="",4&gt;$AA19),"",IFERROR(VALUE(MID($AN19,SEARCH(";4:",$AN19)+3,SEARCH(";",$AN19,SEARCH(";4:",$AN19)+3)-SEARCH(";4:",$AN19)-3)),ROUND($AF19*(1+$J19/100),0)))</f>
        <v/>
      </c>
      <c r="AH19" s="28" t="str">
        <f>IF(OR($AA19="",5&gt;$AA19),"",IFERROR(VALUE(MID($AN19,SEARCH(";5:",$AN19)+3,SEARCH(";",$AN19,SEARCH(";5:",$AN19)+3)-SEARCH(";5:",$AN19)-3)),ROUND($AG19*(1+$J19/100),0)))</f>
        <v/>
      </c>
      <c r="AI19" s="28" t="str">
        <f>IF(OR($AA19="",6&gt;$AA19),"",IFERROR(VALUE(MID($AN19,SEARCH(";6:",$AN19)+3,SEARCH(";",$AN19,SEARCH(";6:",$AN19)+3)-SEARCH(";6:",$AN19)-3)),ROUND($AH19*(1+$J19/100),0)))</f>
        <v/>
      </c>
      <c r="AJ19" s="28" t="str">
        <f>IF(OR($AA19="",7&gt;$AA19),"",IFERROR(VALUE(MID($AN19,SEARCH(";7:",$AN19)+3,SEARCH(";",$AN19,SEARCH(";7:",$AN19)+3)-SEARCH(";7:",$AN19)-3)),ROUND($AI19*(1+$J19/100),0)))</f>
        <v/>
      </c>
      <c r="AK19" s="28" t="str">
        <f>IF(OR($AA19="",8&gt;$AA19),"",IFERROR(VALUE(MID($AN19,SEARCH(";8:",$AN19)+3,SEARCH(";",$AN19,SEARCH(";8:",$AN19)+3)-SEARCH(";8:",$AN19)-3)),ROUND($AJ19*(1+$J19/100),0)))</f>
        <v/>
      </c>
      <c r="AL19" s="28" t="str">
        <f>IF(OR($AA19="",9&gt;$AA19),"",IFERROR(VALUE(MID($AN19,SEARCH(";9:",$AN19)+3,SEARCH(";",$AN19,SEARCH(";9:",$AN19)+3)-SEARCH(";9:",$AN19)-3)),ROUND($AK19*(1+$J19/100),0)))</f>
        <v/>
      </c>
      <c r="AM19" s="28" t="str">
        <f>IF(OR($AA19="",10&gt;$AA19),"",IFERROR(VALUE(MID($AN19,SEARCH(";10:",$AN19)+4,SEARCH(";",$AN19,SEARCH(";10:",$AN19)+4)-SEARCH(";10:",$AN19)-4)),ROUND($AL19*(1+$J19/100),0)))</f>
        <v/>
      </c>
      <c r="AN19" s="36" t="str">
        <f>";"&amp;SUBSTITUTE(SUBSTITUTE(SUBSTITUTE(SUBSTITUTE(SUBSTITUTE(SUBSTITUTE($K19," ",""),"،",";"),CHAR(10),";"),"=",":"),",",""),"٫",".")&amp;";"</f>
        <v>;3:20570;</v>
      </c>
      <c r="AO19" s="36" t="str">
        <f>IF($T19="ساري",$B19,"")</f>
        <v/>
      </c>
    </row>
    <row r="20" spans="1:41" x14ac:dyDescent="0.25">
      <c r="A20" t="s">
        <v>162</v>
      </c>
      <c r="B20" t="s">
        <v>163</v>
      </c>
      <c r="C20" t="s">
        <v>164</v>
      </c>
      <c r="D20" s="27" t="str">
        <f>IF($Y20="","",IFERROR(INDEX('المشاريع'!$B:$B,MATCH($Y20,'المشاريع'!$A:$A,0)),""))</f>
        <v>محيي الدين</v>
      </c>
      <c r="E20" s="27" t="str">
        <f>IF($B20="","",IFERROR(INDEX('الوحدات'!$D:$D,MATCH($B20,'الوحدات'!$A:$A,0)),""))</f>
        <v>504</v>
      </c>
      <c r="F20" s="27" t="str">
        <f>IF($C20="","",IFERROR(INDEX('العملاء'!$B:$B,MATCH($C20,'العملاء'!$A:$A,0)),""))</f>
        <v>محمد سعيد عبد الرحمن</v>
      </c>
      <c r="G20" s="33">
        <v>45231</v>
      </c>
      <c r="H20" s="33">
        <v>46326</v>
      </c>
      <c r="I20" s="39">
        <v>25410</v>
      </c>
      <c r="J20">
        <v>0</v>
      </c>
      <c r="K20" t="s">
        <v>591</v>
      </c>
      <c r="L20" s="39">
        <v>0</v>
      </c>
      <c r="M20" t="s">
        <v>584</v>
      </c>
      <c r="N20">
        <v>1</v>
      </c>
      <c r="O20" t="s">
        <v>35</v>
      </c>
      <c r="P20" t="s">
        <v>35</v>
      </c>
      <c r="Q20">
        <v>21</v>
      </c>
      <c r="R20" t="s">
        <v>35</v>
      </c>
      <c r="S20" s="33"/>
      <c r="T20" s="27" t="str">
        <f>IF(NOT(AND(ISNUMBER($G20),ISNUMBER($H20))),"تواريخ غير صحيحة",IF(TODAY()&lt;$G20,"لم يبدأ",IF(TODAY()&gt;$H20,IF(IF($A20="",0,COUNTIF($O:$O,$A20))+IF($B20="",0,COUNTIFS($B:$B,$B20,$G:$G,"&gt;"&amp;$H20)-IF($G20&gt;$H20,1,0))&gt;0,"منتهٍ (أُجِّرت بعده)","منتهٍ"),"ساري")))</f>
        <v>ساري</v>
      </c>
      <c r="U20" s="28">
        <f>IF($X20="","",IF($X20&gt;10,25410,INDEX($AD20:$AM20,1,$X20)))</f>
        <v>25410</v>
      </c>
      <c r="V20" s="28">
        <f>IF($A20="","",SUMIFS('المدفوعات'!$F:$F,'المدفوعات'!$B:$B,$A20))</f>
        <v>203280</v>
      </c>
      <c r="W20" s="35">
        <v>0</v>
      </c>
      <c r="X20" s="34">
        <f>IF(OR(NOT(ISNUMBER($G20)),NOT(ISNUMBER($H20)),$AA20=""),"",IF(TODAY()&lt;$G20,1,MIN($AA20,DATEDIF($G20,TODAY(),"y")+1)))</f>
        <v>3</v>
      </c>
      <c r="Y20" s="27" t="str">
        <f>IF($B20="","",IFERROR(INDEX('الوحدات'!$B:$B,MATCH($B20,'الوحدات'!$A:$A,0)),""))</f>
        <v>P02</v>
      </c>
      <c r="Z20" s="34">
        <f>IF(ISNUMBER($H20),$H20-TODAY(),"")</f>
        <v>21</v>
      </c>
      <c r="AA20" s="34">
        <f>IF(AND(ISNUMBER($G20),ISNUMBER($H20)),IFERROR(DATEDIF($G20,$H20,"y")+1,""),"")</f>
        <v>3</v>
      </c>
      <c r="AB20" s="37" t="str">
        <f>IF(OR($X20="",$X20&gt;=$AA20),"",DATE(YEAR($G20)+$X20,MONTH($G20),DAY($G20)))</f>
        <v/>
      </c>
      <c r="AC20" s="28" t="str">
        <f>IF($AB20="","",IF($X20+1&gt;10,0,INDEX($AD20:$AM20,1,$X20+1)))</f>
        <v/>
      </c>
      <c r="AD20" s="28">
        <f>IF($AA20="","",IFERROR(VALUE(MID($AN20,SEARCH(";1:",$AN20)+3,SEARCH(";",$AN20,SEARCH(";1:",$AN20)+3)-SEARCH(";1:",$AN20)-3)),$I20))</f>
        <v>25410</v>
      </c>
      <c r="AE20" s="28">
        <f>IF(OR($AA20="",2&gt;$AA20),"",IFERROR(VALUE(MID($AN20,SEARCH(";2:",$AN20)+3,SEARCH(";",$AN20,SEARCH(";2:",$AN20)+3)-SEARCH(";2:",$AN20)-3)),ROUND($AD20*(1+$J20/100),0)))</f>
        <v>25410</v>
      </c>
      <c r="AF20" s="28">
        <f>IF(OR($AA20="",3&gt;$AA20),"",IFERROR(VALUE(MID($AN20,SEARCH(";3:",$AN20)+3,SEARCH(";",$AN20,SEARCH(";3:",$AN20)+3)-SEARCH(";3:",$AN20)-3)),ROUND($AE20*(1+$J20/100),0)))</f>
        <v>25410</v>
      </c>
      <c r="AG20" s="28" t="str">
        <f>IF(OR($AA20="",4&gt;$AA20),"",IFERROR(VALUE(MID($AN20,SEARCH(";4:",$AN20)+3,SEARCH(";",$AN20,SEARCH(";4:",$AN20)+3)-SEARCH(";4:",$AN20)-3)),ROUND($AF20*(1+$J20/100),0)))</f>
        <v/>
      </c>
      <c r="AH20" s="28" t="str">
        <f>IF(OR($AA20="",5&gt;$AA20),"",IFERROR(VALUE(MID($AN20,SEARCH(";5:",$AN20)+3,SEARCH(";",$AN20,SEARCH(";5:",$AN20)+3)-SEARCH(";5:",$AN20)-3)),ROUND($AG20*(1+$J20/100),0)))</f>
        <v/>
      </c>
      <c r="AI20" s="28" t="str">
        <f>IF(OR($AA20="",6&gt;$AA20),"",IFERROR(VALUE(MID($AN20,SEARCH(";6:",$AN20)+3,SEARCH(";",$AN20,SEARCH(";6:",$AN20)+3)-SEARCH(";6:",$AN20)-3)),ROUND($AH20*(1+$J20/100),0)))</f>
        <v/>
      </c>
      <c r="AJ20" s="28" t="str">
        <f>IF(OR($AA20="",7&gt;$AA20),"",IFERROR(VALUE(MID($AN20,SEARCH(";7:",$AN20)+3,SEARCH(";",$AN20,SEARCH(";7:",$AN20)+3)-SEARCH(";7:",$AN20)-3)),ROUND($AI20*(1+$J20/100),0)))</f>
        <v/>
      </c>
      <c r="AK20" s="28" t="str">
        <f>IF(OR($AA20="",8&gt;$AA20),"",IFERROR(VALUE(MID($AN20,SEARCH(";8:",$AN20)+3,SEARCH(";",$AN20,SEARCH(";8:",$AN20)+3)-SEARCH(";8:",$AN20)-3)),ROUND($AJ20*(1+$J20/100),0)))</f>
        <v/>
      </c>
      <c r="AL20" s="28" t="str">
        <f>IF(OR($AA20="",9&gt;$AA20),"",IFERROR(VALUE(MID($AN20,SEARCH(";9:",$AN20)+3,SEARCH(";",$AN20,SEARCH(";9:",$AN20)+3)-SEARCH(";9:",$AN20)-3)),ROUND($AK20*(1+$J20/100),0)))</f>
        <v/>
      </c>
      <c r="AM20" s="28" t="str">
        <f>IF(OR($AA20="",10&gt;$AA20),"",IFERROR(VALUE(MID($AN20,SEARCH(";10:",$AN20)+4,SEARCH(";",$AN20,SEARCH(";10:",$AN20)+4)-SEARCH(";10:",$AN20)-4)),ROUND($AL20*(1+$J20/100),0)))</f>
        <v/>
      </c>
      <c r="AN20" s="36" t="str">
        <f>";"&amp;SUBSTITUTE(SUBSTITUTE(SUBSTITUTE(SUBSTITUTE(SUBSTITUTE(SUBSTITUTE($K20," ",""),"،",";"),CHAR(10),";"),"=",":"),",",""),"٫",".")&amp;";"</f>
        <v>;3:25410;</v>
      </c>
      <c r="AO20" s="36" t="str">
        <f>IF($T20="ساري",$B20,"")</f>
        <v>P02-504</v>
      </c>
    </row>
    <row r="21" spans="1:41" x14ac:dyDescent="0.25">
      <c r="A21" t="s">
        <v>171</v>
      </c>
      <c r="B21" t="s">
        <v>172</v>
      </c>
      <c r="C21" t="s">
        <v>173</v>
      </c>
      <c r="D21" s="27" t="str">
        <f>IF($Y21="","",IFERROR(INDEX('المشاريع'!$B:$B,MATCH($Y21,'المشاريع'!$A:$A,0)),""))</f>
        <v>ابو بكر</v>
      </c>
      <c r="E21" s="27" t="str">
        <f>IF($B21="","",IFERROR(INDEX('الوحدات'!$D:$D,MATCH($B21,'الوحدات'!$A:$A,0)),""))</f>
        <v>ميزان 1</v>
      </c>
      <c r="F21" s="27" t="str">
        <f>IF($C21="","",IFERROR(INDEX('العملاء'!$B:$B,MATCH($C21,'العملاء'!$A:$A,0)),""))</f>
        <v>شركة الأمل للإنتاج الفني</v>
      </c>
      <c r="G21" s="33">
        <v>45505</v>
      </c>
      <c r="H21" s="33">
        <v>46599</v>
      </c>
      <c r="I21" s="39">
        <v>37000</v>
      </c>
      <c r="J21">
        <v>10</v>
      </c>
      <c r="K21" t="s">
        <v>598</v>
      </c>
      <c r="L21" s="39">
        <v>0</v>
      </c>
      <c r="M21" t="s">
        <v>584</v>
      </c>
      <c r="N21">
        <v>1</v>
      </c>
      <c r="O21" t="s">
        <v>35</v>
      </c>
      <c r="P21" t="s">
        <v>35</v>
      </c>
      <c r="Q21">
        <v>22</v>
      </c>
      <c r="R21" t="s">
        <v>35</v>
      </c>
      <c r="S21" s="33"/>
      <c r="T21" s="27" t="str">
        <f>IF(NOT(AND(ISNUMBER($G21),ISNUMBER($H21))),"تواريخ غير صحيحة",IF(TODAY()&lt;$G21,"لم يبدأ",IF(TODAY()&gt;$H21,IF(IF($A21="",0,COUNTIF($O:$O,$A21))+IF($B21="",0,COUNTIFS($B:$B,$B21,$G:$G,"&gt;"&amp;$H21)-IF($G21&gt;$H21,1,0))&gt;0,"منتهٍ (أُجِّرت بعده)","منتهٍ"),"ساري")))</f>
        <v>ساري</v>
      </c>
      <c r="U21" s="28">
        <f>IF($X21="","",IF($X21&gt;10,44770,INDEX($AD21:$AM21,1,$X21)))</f>
        <v>44770</v>
      </c>
      <c r="V21" s="28">
        <f>IF($A21="","",SUMIFS('المدفوعات'!$F:$F,'المدفوعات'!$B:$B,$A21))</f>
        <v>329670</v>
      </c>
      <c r="W21" s="35">
        <v>0</v>
      </c>
      <c r="X21" s="34">
        <f>IF(OR(NOT(ISNUMBER($G21)),NOT(ISNUMBER($H21)),$AA21=""),"",IF(TODAY()&lt;$G21,1,MIN($AA21,DATEDIF($G21,TODAY(),"y")+1)))</f>
        <v>3</v>
      </c>
      <c r="Y21" s="27" t="str">
        <f>IF($B21="","",IFERROR(INDEX('الوحدات'!$B:$B,MATCH($B21,'الوحدات'!$A:$A,0)),""))</f>
        <v>P03</v>
      </c>
      <c r="Z21" s="34">
        <f>IF(ISNUMBER($H21),$H21-TODAY(),"")</f>
        <v>294</v>
      </c>
      <c r="AA21" s="34">
        <f>IF(AND(ISNUMBER($G21),ISNUMBER($H21)),IFERROR(DATEDIF($G21,$H21,"y")+1,""),"")</f>
        <v>3</v>
      </c>
      <c r="AB21" s="37" t="str">
        <f>IF(OR($X21="",$X21&gt;=$AA21),"",DATE(YEAR($G21)+$X21,MONTH($G21),DAY($G21)))</f>
        <v/>
      </c>
      <c r="AC21" s="28" t="str">
        <f>IF($AB21="","",IF($X21+1&gt;10,0,INDEX($AD21:$AM21,1,$X21+1)))</f>
        <v/>
      </c>
      <c r="AD21" s="28">
        <f>IF($AA21="","",IFERROR(VALUE(MID($AN21,SEARCH(";1:",$AN21)+3,SEARCH(";",$AN21,SEARCH(";1:",$AN21)+3)-SEARCH(";1:",$AN21)-3)),$I21))</f>
        <v>37000</v>
      </c>
      <c r="AE21" s="28">
        <f>IF(OR($AA21="",2&gt;$AA21),"",IFERROR(VALUE(MID($AN21,SEARCH(";2:",$AN21)+3,SEARCH(";",$AN21,SEARCH(";2:",$AN21)+3)-SEARCH(";2:",$AN21)-3)),ROUND($AD21*(1+$J21/100),0)))</f>
        <v>40700</v>
      </c>
      <c r="AF21" s="28">
        <f>IF(OR($AA21="",3&gt;$AA21),"",IFERROR(VALUE(MID($AN21,SEARCH(";3:",$AN21)+3,SEARCH(";",$AN21,SEARCH(";3:",$AN21)+3)-SEARCH(";3:",$AN21)-3)),ROUND($AE21*(1+$J21/100),0)))</f>
        <v>44770</v>
      </c>
      <c r="AG21" s="28" t="str">
        <f>IF(OR($AA21="",4&gt;$AA21),"",IFERROR(VALUE(MID($AN21,SEARCH(";4:",$AN21)+3,SEARCH(";",$AN21,SEARCH(";4:",$AN21)+3)-SEARCH(";4:",$AN21)-3)),ROUND($AF21*(1+$J21/100),0)))</f>
        <v/>
      </c>
      <c r="AH21" s="28" t="str">
        <f>IF(OR($AA21="",5&gt;$AA21),"",IFERROR(VALUE(MID($AN21,SEARCH(";5:",$AN21)+3,SEARCH(";",$AN21,SEARCH(";5:",$AN21)+3)-SEARCH(";5:",$AN21)-3)),ROUND($AG21*(1+$J21/100),0)))</f>
        <v/>
      </c>
      <c r="AI21" s="28" t="str">
        <f>IF(OR($AA21="",6&gt;$AA21),"",IFERROR(VALUE(MID($AN21,SEARCH(";6:",$AN21)+3,SEARCH(";",$AN21,SEARCH(";6:",$AN21)+3)-SEARCH(";6:",$AN21)-3)),ROUND($AH21*(1+$J21/100),0)))</f>
        <v/>
      </c>
      <c r="AJ21" s="28" t="str">
        <f>IF(OR($AA21="",7&gt;$AA21),"",IFERROR(VALUE(MID($AN21,SEARCH(";7:",$AN21)+3,SEARCH(";",$AN21,SEARCH(";7:",$AN21)+3)-SEARCH(";7:",$AN21)-3)),ROUND($AI21*(1+$J21/100),0)))</f>
        <v/>
      </c>
      <c r="AK21" s="28" t="str">
        <f>IF(OR($AA21="",8&gt;$AA21),"",IFERROR(VALUE(MID($AN21,SEARCH(";8:",$AN21)+3,SEARCH(";",$AN21,SEARCH(";8:",$AN21)+3)-SEARCH(";8:",$AN21)-3)),ROUND($AJ21*(1+$J21/100),0)))</f>
        <v/>
      </c>
      <c r="AL21" s="28" t="str">
        <f>IF(OR($AA21="",9&gt;$AA21),"",IFERROR(VALUE(MID($AN21,SEARCH(";9:",$AN21)+3,SEARCH(";",$AN21,SEARCH(";9:",$AN21)+3)-SEARCH(";9:",$AN21)-3)),ROUND($AK21*(1+$J21/100),0)))</f>
        <v/>
      </c>
      <c r="AM21" s="28" t="str">
        <f>IF(OR($AA21="",10&gt;$AA21),"",IFERROR(VALUE(MID($AN21,SEARCH(";10:",$AN21)+4,SEARCH(";",$AN21,SEARCH(";10:",$AN21)+4)-SEARCH(";10:",$AN21)-4)),ROUND($AL21*(1+$J21/100),0)))</f>
        <v/>
      </c>
      <c r="AN21" s="36" t="str">
        <f>";"&amp;SUBSTITUTE(SUBSTITUTE(SUBSTITUTE(SUBSTITUTE(SUBSTITUTE(SUBSTITUTE($K21," ",""),"،",";"),CHAR(10),";"),"=",":"),",",""),"٫",".")&amp;";"</f>
        <v>;2:40700;3:44770;</v>
      </c>
      <c r="AO21" s="36" t="str">
        <f>IF($T21="ساري",$B21,"")</f>
        <v>P03-M1</v>
      </c>
    </row>
    <row r="22" spans="1:41" x14ac:dyDescent="0.25">
      <c r="A22" t="s">
        <v>177</v>
      </c>
      <c r="B22" t="s">
        <v>178</v>
      </c>
      <c r="C22" t="s">
        <v>179</v>
      </c>
      <c r="D22" s="27" t="str">
        <f>IF($Y22="","",IFERROR(INDEX('المشاريع'!$B:$B,MATCH($Y22,'المشاريع'!$A:$A,0)),""))</f>
        <v>ابو بكر</v>
      </c>
      <c r="E22" s="27" t="str">
        <f>IF($B22="","",IFERROR(INDEX('الوحدات'!$D:$D,MATCH($B22,'الوحدات'!$A:$A,0)),""))</f>
        <v>ميزان 2</v>
      </c>
      <c r="F22" s="27" t="str">
        <f>IF($C22="","",IFERROR(INDEX('العملاء'!$B:$B,MATCH($C22,'العملاء'!$A:$A,0)),""))</f>
        <v>شركة النور للاستشارات الهندسية</v>
      </c>
      <c r="G22" s="33">
        <v>45505</v>
      </c>
      <c r="H22" s="33">
        <v>46599</v>
      </c>
      <c r="I22" s="39">
        <v>37000</v>
      </c>
      <c r="J22">
        <v>10</v>
      </c>
      <c r="K22" t="s">
        <v>598</v>
      </c>
      <c r="L22" s="39">
        <v>0</v>
      </c>
      <c r="M22" t="s">
        <v>584</v>
      </c>
      <c r="N22">
        <v>1</v>
      </c>
      <c r="O22" t="s">
        <v>35</v>
      </c>
      <c r="P22" t="s">
        <v>35</v>
      </c>
      <c r="Q22">
        <v>23</v>
      </c>
      <c r="R22" t="s">
        <v>35</v>
      </c>
      <c r="S22" s="33"/>
      <c r="T22" s="27" t="str">
        <f>IF(NOT(AND(ISNUMBER($G22),ISNUMBER($H22))),"تواريخ غير صحيحة",IF(TODAY()&lt;$G22,"لم يبدأ",IF(TODAY()&gt;$H22,IF(IF($A22="",0,COUNTIF($O:$O,$A22))+IF($B22="",0,COUNTIFS($B:$B,$B22,$G:$G,"&gt;"&amp;$H22)-IF($G22&gt;$H22,1,0))&gt;0,"منتهٍ (أُجِّرت بعده)","منتهٍ"),"ساري")))</f>
        <v>ساري</v>
      </c>
      <c r="U22" s="28">
        <f>IF($X22="","",IF($X22&gt;10,44770,INDEX($AD22:$AM22,1,$X22)))</f>
        <v>44770</v>
      </c>
      <c r="V22" s="28">
        <f>IF($A22="","",SUMIFS('المدفوعات'!$F:$F,'المدفوعات'!$B:$B,$A22))</f>
        <v>329670</v>
      </c>
      <c r="W22" s="35">
        <v>0</v>
      </c>
      <c r="X22" s="34">
        <f>IF(OR(NOT(ISNUMBER($G22)),NOT(ISNUMBER($H22)),$AA22=""),"",IF(TODAY()&lt;$G22,1,MIN($AA22,DATEDIF($G22,TODAY(),"y")+1)))</f>
        <v>3</v>
      </c>
      <c r="Y22" s="27" t="str">
        <f>IF($B22="","",IFERROR(INDEX('الوحدات'!$B:$B,MATCH($B22,'الوحدات'!$A:$A,0)),""))</f>
        <v>P03</v>
      </c>
      <c r="Z22" s="34">
        <f>IF(ISNUMBER($H22),$H22-TODAY(),"")</f>
        <v>294</v>
      </c>
      <c r="AA22" s="34">
        <f>IF(AND(ISNUMBER($G22),ISNUMBER($H22)),IFERROR(DATEDIF($G22,$H22,"y")+1,""),"")</f>
        <v>3</v>
      </c>
      <c r="AB22" s="37" t="str">
        <f>IF(OR($X22="",$X22&gt;=$AA22),"",DATE(YEAR($G22)+$X22,MONTH($G22),DAY($G22)))</f>
        <v/>
      </c>
      <c r="AC22" s="28" t="str">
        <f>IF($AB22="","",IF($X22+1&gt;10,0,INDEX($AD22:$AM22,1,$X22+1)))</f>
        <v/>
      </c>
      <c r="AD22" s="28">
        <f>IF($AA22="","",IFERROR(VALUE(MID($AN22,SEARCH(";1:",$AN22)+3,SEARCH(";",$AN22,SEARCH(";1:",$AN22)+3)-SEARCH(";1:",$AN22)-3)),$I22))</f>
        <v>37000</v>
      </c>
      <c r="AE22" s="28">
        <f>IF(OR($AA22="",2&gt;$AA22),"",IFERROR(VALUE(MID($AN22,SEARCH(";2:",$AN22)+3,SEARCH(";",$AN22,SEARCH(";2:",$AN22)+3)-SEARCH(";2:",$AN22)-3)),ROUND($AD22*(1+$J22/100),0)))</f>
        <v>40700</v>
      </c>
      <c r="AF22" s="28">
        <f>IF(OR($AA22="",3&gt;$AA22),"",IFERROR(VALUE(MID($AN22,SEARCH(";3:",$AN22)+3,SEARCH(";",$AN22,SEARCH(";3:",$AN22)+3)-SEARCH(";3:",$AN22)-3)),ROUND($AE22*(1+$J22/100),0)))</f>
        <v>44770</v>
      </c>
      <c r="AG22" s="28" t="str">
        <f>IF(OR($AA22="",4&gt;$AA22),"",IFERROR(VALUE(MID($AN22,SEARCH(";4:",$AN22)+3,SEARCH(";",$AN22,SEARCH(";4:",$AN22)+3)-SEARCH(";4:",$AN22)-3)),ROUND($AF22*(1+$J22/100),0)))</f>
        <v/>
      </c>
      <c r="AH22" s="28" t="str">
        <f>IF(OR($AA22="",5&gt;$AA22),"",IFERROR(VALUE(MID($AN22,SEARCH(";5:",$AN22)+3,SEARCH(";",$AN22,SEARCH(";5:",$AN22)+3)-SEARCH(";5:",$AN22)-3)),ROUND($AG22*(1+$J22/100),0)))</f>
        <v/>
      </c>
      <c r="AI22" s="28" t="str">
        <f>IF(OR($AA22="",6&gt;$AA22),"",IFERROR(VALUE(MID($AN22,SEARCH(";6:",$AN22)+3,SEARCH(";",$AN22,SEARCH(";6:",$AN22)+3)-SEARCH(";6:",$AN22)-3)),ROUND($AH22*(1+$J22/100),0)))</f>
        <v/>
      </c>
      <c r="AJ22" s="28" t="str">
        <f>IF(OR($AA22="",7&gt;$AA22),"",IFERROR(VALUE(MID($AN22,SEARCH(";7:",$AN22)+3,SEARCH(";",$AN22,SEARCH(";7:",$AN22)+3)-SEARCH(";7:",$AN22)-3)),ROUND($AI22*(1+$J22/100),0)))</f>
        <v/>
      </c>
      <c r="AK22" s="28" t="str">
        <f>IF(OR($AA22="",8&gt;$AA22),"",IFERROR(VALUE(MID($AN22,SEARCH(";8:",$AN22)+3,SEARCH(";",$AN22,SEARCH(";8:",$AN22)+3)-SEARCH(";8:",$AN22)-3)),ROUND($AJ22*(1+$J22/100),0)))</f>
        <v/>
      </c>
      <c r="AL22" s="28" t="str">
        <f>IF(OR($AA22="",9&gt;$AA22),"",IFERROR(VALUE(MID($AN22,SEARCH(";9:",$AN22)+3,SEARCH(";",$AN22,SEARCH(";9:",$AN22)+3)-SEARCH(";9:",$AN22)-3)),ROUND($AK22*(1+$J22/100),0)))</f>
        <v/>
      </c>
      <c r="AM22" s="28" t="str">
        <f>IF(OR($AA22="",10&gt;$AA22),"",IFERROR(VALUE(MID($AN22,SEARCH(";10:",$AN22)+4,SEARCH(";",$AN22,SEARCH(";10:",$AN22)+4)-SEARCH(";10:",$AN22)-4)),ROUND($AL22*(1+$J22/100),0)))</f>
        <v/>
      </c>
      <c r="AN22" s="36" t="str">
        <f>";"&amp;SUBSTITUTE(SUBSTITUTE(SUBSTITUTE(SUBSTITUTE(SUBSTITUTE(SUBSTITUTE($K22," ",""),"،",";"),CHAR(10),";"),"=",":"),",",""),"٫",".")&amp;";"</f>
        <v>;2:40700;3:44770;</v>
      </c>
      <c r="AO22" s="36" t="str">
        <f>IF($T22="ساري",$B22,"")</f>
        <v>P03-M2</v>
      </c>
    </row>
    <row r="23" spans="1:41" x14ac:dyDescent="0.25">
      <c r="A23" t="s">
        <v>186</v>
      </c>
      <c r="B23" t="s">
        <v>184</v>
      </c>
      <c r="C23" t="s">
        <v>185</v>
      </c>
      <c r="D23" s="27" t="str">
        <f>IF($Y23="","",IFERROR(INDEX('المشاريع'!$B:$B,MATCH($Y23,'المشاريع'!$A:$A,0)),""))</f>
        <v>ابو بكر</v>
      </c>
      <c r="E23" s="27" t="str">
        <f>IF($B23="","",IFERROR(INDEX('الوحدات'!$D:$D,MATCH($B23,'الوحدات'!$A:$A,0)),""))</f>
        <v>102</v>
      </c>
      <c r="F23" s="27" t="str">
        <f>IF($C23="","",IFERROR(INDEX('العملاء'!$B:$B,MATCH($C23,'العملاء'!$A:$A,0)),""))</f>
        <v>عادل عمر مكرم</v>
      </c>
      <c r="G23" s="33">
        <v>46204</v>
      </c>
      <c r="H23" s="33">
        <v>46568</v>
      </c>
      <c r="I23" s="39">
        <v>20000</v>
      </c>
      <c r="J23">
        <v>0</v>
      </c>
      <c r="K23" t="s">
        <v>35</v>
      </c>
      <c r="L23" s="39">
        <v>0</v>
      </c>
      <c r="M23" t="s">
        <v>584</v>
      </c>
      <c r="N23">
        <v>1</v>
      </c>
      <c r="O23" t="s">
        <v>183</v>
      </c>
      <c r="P23" t="s">
        <v>35</v>
      </c>
      <c r="Q23">
        <v>24</v>
      </c>
      <c r="R23" t="s">
        <v>35</v>
      </c>
      <c r="S23" s="33"/>
      <c r="T23" s="27" t="str">
        <f>IF(NOT(AND(ISNUMBER($G23),ISNUMBER($H23))),"تواريخ غير صحيحة",IF(TODAY()&lt;$G23,"لم يبدأ",IF(TODAY()&gt;$H23,IF(IF($A23="",0,COUNTIF($O:$O,$A23))+IF($B23="",0,COUNTIFS($B:$B,$B23,$G:$G,"&gt;"&amp;$H23)-IF($G23&gt;$H23,1,0))&gt;0,"منتهٍ (أُجِّرت بعده)","منتهٍ"),"ساري")))</f>
        <v>ساري</v>
      </c>
      <c r="U23" s="28">
        <f>IF($X23="","",IF($X23&gt;10,20000,INDEX($AD23:$AM23,1,$X23)))</f>
        <v>20000</v>
      </c>
      <c r="V23" s="28">
        <f>IF($A23="","",SUMIFS('المدفوعات'!$F:$F,'المدفوعات'!$B:$B,$A23))</f>
        <v>40000</v>
      </c>
      <c r="W23" s="35">
        <v>0</v>
      </c>
      <c r="X23" s="34">
        <f>IF(OR(NOT(ISNUMBER($G23)),NOT(ISNUMBER($H23)),$AA23=""),"",IF(TODAY()&lt;$G23,1,MIN($AA23,DATEDIF($G23,TODAY(),"y")+1)))</f>
        <v>1</v>
      </c>
      <c r="Y23" s="27" t="str">
        <f>IF($B23="","",IFERROR(INDEX('الوحدات'!$B:$B,MATCH($B23,'الوحدات'!$A:$A,0)),""))</f>
        <v>P03</v>
      </c>
      <c r="Z23" s="34">
        <f>IF(ISNUMBER($H23),$H23-TODAY(),"")</f>
        <v>263</v>
      </c>
      <c r="AA23" s="34">
        <f>IF(AND(ISNUMBER($G23),ISNUMBER($H23)),IFERROR(DATEDIF($G23,$H23,"y")+1,""),"")</f>
        <v>1</v>
      </c>
      <c r="AB23" s="37" t="str">
        <f>IF(OR($X23="",$X23&gt;=$AA23),"",DATE(YEAR($G23)+$X23,MONTH($G23),DAY($G23)))</f>
        <v/>
      </c>
      <c r="AC23" s="28" t="str">
        <f>IF($AB23="","",IF($X23+1&gt;10,0,INDEX($AD23:$AM23,1,$X23+1)))</f>
        <v/>
      </c>
      <c r="AD23" s="28">
        <f>IF($AA23="","",IFERROR(VALUE(MID($AN23,SEARCH(";1:",$AN23)+3,SEARCH(";",$AN23,SEARCH(";1:",$AN23)+3)-SEARCH(";1:",$AN23)-3)),$I23))</f>
        <v>20000</v>
      </c>
      <c r="AE23" s="28" t="str">
        <f>IF(OR($AA23="",2&gt;$AA23),"",IFERROR(VALUE(MID($AN23,SEARCH(";2:",$AN23)+3,SEARCH(";",$AN23,SEARCH(";2:",$AN23)+3)-SEARCH(";2:",$AN23)-3)),ROUND($AD23*(1+$J23/100),0)))</f>
        <v/>
      </c>
      <c r="AF23" s="28" t="str">
        <f>IF(OR($AA23="",3&gt;$AA23),"",IFERROR(VALUE(MID($AN23,SEARCH(";3:",$AN23)+3,SEARCH(";",$AN23,SEARCH(";3:",$AN23)+3)-SEARCH(";3:",$AN23)-3)),ROUND($AE23*(1+$J23/100),0)))</f>
        <v/>
      </c>
      <c r="AG23" s="28" t="str">
        <f>IF(OR($AA23="",4&gt;$AA23),"",IFERROR(VALUE(MID($AN23,SEARCH(";4:",$AN23)+3,SEARCH(";",$AN23,SEARCH(";4:",$AN23)+3)-SEARCH(";4:",$AN23)-3)),ROUND($AF23*(1+$J23/100),0)))</f>
        <v/>
      </c>
      <c r="AH23" s="28" t="str">
        <f>IF(OR($AA23="",5&gt;$AA23),"",IFERROR(VALUE(MID($AN23,SEARCH(";5:",$AN23)+3,SEARCH(";",$AN23,SEARCH(";5:",$AN23)+3)-SEARCH(";5:",$AN23)-3)),ROUND($AG23*(1+$J23/100),0)))</f>
        <v/>
      </c>
      <c r="AI23" s="28" t="str">
        <f>IF(OR($AA23="",6&gt;$AA23),"",IFERROR(VALUE(MID($AN23,SEARCH(";6:",$AN23)+3,SEARCH(";",$AN23,SEARCH(";6:",$AN23)+3)-SEARCH(";6:",$AN23)-3)),ROUND($AH23*(1+$J23/100),0)))</f>
        <v/>
      </c>
      <c r="AJ23" s="28" t="str">
        <f>IF(OR($AA23="",7&gt;$AA23),"",IFERROR(VALUE(MID($AN23,SEARCH(";7:",$AN23)+3,SEARCH(";",$AN23,SEARCH(";7:",$AN23)+3)-SEARCH(";7:",$AN23)-3)),ROUND($AI23*(1+$J23/100),0)))</f>
        <v/>
      </c>
      <c r="AK23" s="28" t="str">
        <f>IF(OR($AA23="",8&gt;$AA23),"",IFERROR(VALUE(MID($AN23,SEARCH(";8:",$AN23)+3,SEARCH(";",$AN23,SEARCH(";8:",$AN23)+3)-SEARCH(";8:",$AN23)-3)),ROUND($AJ23*(1+$J23/100),0)))</f>
        <v/>
      </c>
      <c r="AL23" s="28" t="str">
        <f>IF(OR($AA23="",9&gt;$AA23),"",IFERROR(VALUE(MID($AN23,SEARCH(";9:",$AN23)+3,SEARCH(";",$AN23,SEARCH(";9:",$AN23)+3)-SEARCH(";9:",$AN23)-3)),ROUND($AK23*(1+$J23/100),0)))</f>
        <v/>
      </c>
      <c r="AM23" s="28" t="str">
        <f>IF(OR($AA23="",10&gt;$AA23),"",IFERROR(VALUE(MID($AN23,SEARCH(";10:",$AN23)+4,SEARCH(";",$AN23,SEARCH(";10:",$AN23)+4)-SEARCH(";10:",$AN23)-4)),ROUND($AL23*(1+$J23/100),0)))</f>
        <v/>
      </c>
      <c r="AN23" s="36" t="str">
        <f>";"&amp;SUBSTITUTE(SUBSTITUTE(SUBSTITUTE(SUBSTITUTE(SUBSTITUTE(SUBSTITUTE($K23," ",""),"،",";"),CHAR(10),";"),"=",":"),",",""),"٫",".")&amp;";"</f>
        <v>;;</v>
      </c>
      <c r="AO23" s="36" t="str">
        <f>IF($T23="ساري",$B23,"")</f>
        <v>P03-102</v>
      </c>
    </row>
    <row r="24" spans="1:41" x14ac:dyDescent="0.25">
      <c r="A24" t="s">
        <v>190</v>
      </c>
      <c r="B24" t="s">
        <v>191</v>
      </c>
      <c r="C24" t="s">
        <v>192</v>
      </c>
      <c r="D24" s="27" t="str">
        <f>IF($Y24="","",IFERROR(INDEX('المشاريع'!$B:$B,MATCH($Y24,'المشاريع'!$A:$A,0)),""))</f>
        <v>ابو بكر</v>
      </c>
      <c r="E24" s="27" t="str">
        <f>IF($B24="","",IFERROR(INDEX('الوحدات'!$D:$D,MATCH($B24,'الوحدات'!$A:$A,0)),""))</f>
        <v>103</v>
      </c>
      <c r="F24" s="27" t="str">
        <f>IF($C24="","",IFERROR(INDEX('العملاء'!$B:$B,MATCH($C24,'العملاء'!$A:$A,0)),""))</f>
        <v>تامر علي بدوي</v>
      </c>
      <c r="G24" s="33">
        <v>45992</v>
      </c>
      <c r="H24" s="33">
        <v>46356</v>
      </c>
      <c r="I24" s="39">
        <v>7000</v>
      </c>
      <c r="J24">
        <v>0</v>
      </c>
      <c r="K24" t="s">
        <v>35</v>
      </c>
      <c r="L24" s="39">
        <v>0</v>
      </c>
      <c r="M24" t="s">
        <v>584</v>
      </c>
      <c r="N24">
        <v>1</v>
      </c>
      <c r="O24" t="s">
        <v>35</v>
      </c>
      <c r="P24" t="s">
        <v>35</v>
      </c>
      <c r="Q24">
        <v>25</v>
      </c>
      <c r="R24" t="s">
        <v>35</v>
      </c>
      <c r="S24" s="33"/>
      <c r="T24" s="27" t="str">
        <f>IF(NOT(AND(ISNUMBER($G24),ISNUMBER($H24))),"تواريخ غير صحيحة",IF(TODAY()&lt;$G24,"لم يبدأ",IF(TODAY()&gt;$H24,IF(IF($A24="",0,COUNTIF($O:$O,$A24))+IF($B24="",0,COUNTIFS($B:$B,$B24,$G:$G,"&gt;"&amp;$H24)-IF($G24&gt;$H24,1,0))&gt;0,"منتهٍ (أُجِّرت بعده)","منتهٍ"),"ساري")))</f>
        <v>ساري</v>
      </c>
      <c r="U24" s="28">
        <f>IF($X24="","",IF($X24&gt;10,7000,INDEX($AD24:$AM24,1,$X24)))</f>
        <v>7000</v>
      </c>
      <c r="V24" s="28">
        <f>IF($A24="","",SUMIFS('المدفوعات'!$F:$F,'المدفوعات'!$B:$B,$A24))</f>
        <v>56000</v>
      </c>
      <c r="W24" s="35">
        <v>0</v>
      </c>
      <c r="X24" s="34">
        <f>IF(OR(NOT(ISNUMBER($G24)),NOT(ISNUMBER($H24)),$AA24=""),"",IF(TODAY()&lt;$G24,1,MIN($AA24,DATEDIF($G24,TODAY(),"y")+1)))</f>
        <v>1</v>
      </c>
      <c r="Y24" s="27" t="str">
        <f>IF($B24="","",IFERROR(INDEX('الوحدات'!$B:$B,MATCH($B24,'الوحدات'!$A:$A,0)),""))</f>
        <v>P03</v>
      </c>
      <c r="Z24" s="34">
        <f>IF(ISNUMBER($H24),$H24-TODAY(),"")</f>
        <v>51</v>
      </c>
      <c r="AA24" s="34">
        <f>IF(AND(ISNUMBER($G24),ISNUMBER($H24)),IFERROR(DATEDIF($G24,$H24,"y")+1,""),"")</f>
        <v>1</v>
      </c>
      <c r="AB24" s="37" t="str">
        <f>IF(OR($X24="",$X24&gt;=$AA24),"",DATE(YEAR($G24)+$X24,MONTH($G24),DAY($G24)))</f>
        <v/>
      </c>
      <c r="AC24" s="28" t="str">
        <f>IF($AB24="","",IF($X24+1&gt;10,0,INDEX($AD24:$AM24,1,$X24+1)))</f>
        <v/>
      </c>
      <c r="AD24" s="28">
        <f>IF($AA24="","",IFERROR(VALUE(MID($AN24,SEARCH(";1:",$AN24)+3,SEARCH(";",$AN24,SEARCH(";1:",$AN24)+3)-SEARCH(";1:",$AN24)-3)),$I24))</f>
        <v>7000</v>
      </c>
      <c r="AE24" s="28" t="str">
        <f>IF(OR($AA24="",2&gt;$AA24),"",IFERROR(VALUE(MID($AN24,SEARCH(";2:",$AN24)+3,SEARCH(";",$AN24,SEARCH(";2:",$AN24)+3)-SEARCH(";2:",$AN24)-3)),ROUND($AD24*(1+$J24/100),0)))</f>
        <v/>
      </c>
      <c r="AF24" s="28" t="str">
        <f>IF(OR($AA24="",3&gt;$AA24),"",IFERROR(VALUE(MID($AN24,SEARCH(";3:",$AN24)+3,SEARCH(";",$AN24,SEARCH(";3:",$AN24)+3)-SEARCH(";3:",$AN24)-3)),ROUND($AE24*(1+$J24/100),0)))</f>
        <v/>
      </c>
      <c r="AG24" s="28" t="str">
        <f>IF(OR($AA24="",4&gt;$AA24),"",IFERROR(VALUE(MID($AN24,SEARCH(";4:",$AN24)+3,SEARCH(";",$AN24,SEARCH(";4:",$AN24)+3)-SEARCH(";4:",$AN24)-3)),ROUND($AF24*(1+$J24/100),0)))</f>
        <v/>
      </c>
      <c r="AH24" s="28" t="str">
        <f>IF(OR($AA24="",5&gt;$AA24),"",IFERROR(VALUE(MID($AN24,SEARCH(";5:",$AN24)+3,SEARCH(";",$AN24,SEARCH(";5:",$AN24)+3)-SEARCH(";5:",$AN24)-3)),ROUND($AG24*(1+$J24/100),0)))</f>
        <v/>
      </c>
      <c r="AI24" s="28" t="str">
        <f>IF(OR($AA24="",6&gt;$AA24),"",IFERROR(VALUE(MID($AN24,SEARCH(";6:",$AN24)+3,SEARCH(";",$AN24,SEARCH(";6:",$AN24)+3)-SEARCH(";6:",$AN24)-3)),ROUND($AH24*(1+$J24/100),0)))</f>
        <v/>
      </c>
      <c r="AJ24" s="28" t="str">
        <f>IF(OR($AA24="",7&gt;$AA24),"",IFERROR(VALUE(MID($AN24,SEARCH(";7:",$AN24)+3,SEARCH(";",$AN24,SEARCH(";7:",$AN24)+3)-SEARCH(";7:",$AN24)-3)),ROUND($AI24*(1+$J24/100),0)))</f>
        <v/>
      </c>
      <c r="AK24" s="28" t="str">
        <f>IF(OR($AA24="",8&gt;$AA24),"",IFERROR(VALUE(MID($AN24,SEARCH(";8:",$AN24)+3,SEARCH(";",$AN24,SEARCH(";8:",$AN24)+3)-SEARCH(";8:",$AN24)-3)),ROUND($AJ24*(1+$J24/100),0)))</f>
        <v/>
      </c>
      <c r="AL24" s="28" t="str">
        <f>IF(OR($AA24="",9&gt;$AA24),"",IFERROR(VALUE(MID($AN24,SEARCH(";9:",$AN24)+3,SEARCH(";",$AN24,SEARCH(";9:",$AN24)+3)-SEARCH(";9:",$AN24)-3)),ROUND($AK24*(1+$J24/100),0)))</f>
        <v/>
      </c>
      <c r="AM24" s="28" t="str">
        <f>IF(OR($AA24="",10&gt;$AA24),"",IFERROR(VALUE(MID($AN24,SEARCH(";10:",$AN24)+4,SEARCH(";",$AN24,SEARCH(";10:",$AN24)+4)-SEARCH(";10:",$AN24)-4)),ROUND($AL24*(1+$J24/100),0)))</f>
        <v/>
      </c>
      <c r="AN24" s="36" t="str">
        <f>";"&amp;SUBSTITUTE(SUBSTITUTE(SUBSTITUTE(SUBSTITUTE(SUBSTITUTE(SUBSTITUTE($K24," ",""),"،",";"),CHAR(10),";"),"=",":"),",",""),"٫",".")&amp;";"</f>
        <v>;;</v>
      </c>
      <c r="AO24" s="36" t="str">
        <f>IF($T24="ساري",$B24,"")</f>
        <v>P03-103</v>
      </c>
    </row>
    <row r="25" spans="1:41" x14ac:dyDescent="0.25">
      <c r="A25" t="s">
        <v>199</v>
      </c>
      <c r="B25" t="s">
        <v>197</v>
      </c>
      <c r="C25" t="s">
        <v>198</v>
      </c>
      <c r="D25" s="27" t="str">
        <f>IF($Y25="","",IFERROR(INDEX('المشاريع'!$B:$B,MATCH($Y25,'المشاريع'!$A:$A,0)),""))</f>
        <v>ابو بكر</v>
      </c>
      <c r="E25" s="27" t="str">
        <f>IF($B25="","",IFERROR(INDEX('الوحدات'!$D:$D,MATCH($B25,'الوحدات'!$A:$A,0)),""))</f>
        <v>104</v>
      </c>
      <c r="F25" s="27" t="str">
        <f>IF($C25="","",IFERROR(INDEX('العملاء'!$B:$B,MATCH($C25,'العملاء'!$A:$A,0)),""))</f>
        <v>مروان محمود حسنين</v>
      </c>
      <c r="G25" s="33">
        <v>46204</v>
      </c>
      <c r="H25" s="33">
        <v>46568</v>
      </c>
      <c r="I25" s="39">
        <v>15000</v>
      </c>
      <c r="J25">
        <v>0</v>
      </c>
      <c r="K25" t="s">
        <v>35</v>
      </c>
      <c r="L25" s="39">
        <v>0</v>
      </c>
      <c r="M25" t="s">
        <v>584</v>
      </c>
      <c r="N25">
        <v>1</v>
      </c>
      <c r="O25" t="s">
        <v>196</v>
      </c>
      <c r="P25" t="s">
        <v>35</v>
      </c>
      <c r="Q25">
        <v>26</v>
      </c>
      <c r="R25" t="s">
        <v>35</v>
      </c>
      <c r="S25" s="33"/>
      <c r="T25" s="27" t="str">
        <f>IF(NOT(AND(ISNUMBER($G25),ISNUMBER($H25))),"تواريخ غير صحيحة",IF(TODAY()&lt;$G25,"لم يبدأ",IF(TODAY()&gt;$H25,IF(IF($A25="",0,COUNTIF($O:$O,$A25))+IF($B25="",0,COUNTIFS($B:$B,$B25,$G:$G,"&gt;"&amp;$H25)-IF($G25&gt;$H25,1,0))&gt;0,"منتهٍ (أُجِّرت بعده)","منتهٍ"),"ساري")))</f>
        <v>ساري</v>
      </c>
      <c r="U25" s="28">
        <f>IF($X25="","",IF($X25&gt;10,15000,INDEX($AD25:$AM25,1,$X25)))</f>
        <v>15000</v>
      </c>
      <c r="V25" s="28">
        <f>IF($A25="","",SUMIFS('المدفوعات'!$F:$F,'المدفوعات'!$B:$B,$A25))</f>
        <v>30000</v>
      </c>
      <c r="W25" s="35">
        <v>0</v>
      </c>
      <c r="X25" s="34">
        <f>IF(OR(NOT(ISNUMBER($G25)),NOT(ISNUMBER($H25)),$AA25=""),"",IF(TODAY()&lt;$G25,1,MIN($AA25,DATEDIF($G25,TODAY(),"y")+1)))</f>
        <v>1</v>
      </c>
      <c r="Y25" s="27" t="str">
        <f>IF($B25="","",IFERROR(INDEX('الوحدات'!$B:$B,MATCH($B25,'الوحدات'!$A:$A,0)),""))</f>
        <v>P03</v>
      </c>
      <c r="Z25" s="34">
        <f>IF(ISNUMBER($H25),$H25-TODAY(),"")</f>
        <v>263</v>
      </c>
      <c r="AA25" s="34">
        <f>IF(AND(ISNUMBER($G25),ISNUMBER($H25)),IFERROR(DATEDIF($G25,$H25,"y")+1,""),"")</f>
        <v>1</v>
      </c>
      <c r="AB25" s="37" t="str">
        <f>IF(OR($X25="",$X25&gt;=$AA25),"",DATE(YEAR($G25)+$X25,MONTH($G25),DAY($G25)))</f>
        <v/>
      </c>
      <c r="AC25" s="28" t="str">
        <f>IF($AB25="","",IF($X25+1&gt;10,0,INDEX($AD25:$AM25,1,$X25+1)))</f>
        <v/>
      </c>
      <c r="AD25" s="28">
        <f>IF($AA25="","",IFERROR(VALUE(MID($AN25,SEARCH(";1:",$AN25)+3,SEARCH(";",$AN25,SEARCH(";1:",$AN25)+3)-SEARCH(";1:",$AN25)-3)),$I25))</f>
        <v>15000</v>
      </c>
      <c r="AE25" s="28" t="str">
        <f>IF(OR($AA25="",2&gt;$AA25),"",IFERROR(VALUE(MID($AN25,SEARCH(";2:",$AN25)+3,SEARCH(";",$AN25,SEARCH(";2:",$AN25)+3)-SEARCH(";2:",$AN25)-3)),ROUND($AD25*(1+$J25/100),0)))</f>
        <v/>
      </c>
      <c r="AF25" s="28" t="str">
        <f>IF(OR($AA25="",3&gt;$AA25),"",IFERROR(VALUE(MID($AN25,SEARCH(";3:",$AN25)+3,SEARCH(";",$AN25,SEARCH(";3:",$AN25)+3)-SEARCH(";3:",$AN25)-3)),ROUND($AE25*(1+$J25/100),0)))</f>
        <v/>
      </c>
      <c r="AG25" s="28" t="str">
        <f>IF(OR($AA25="",4&gt;$AA25),"",IFERROR(VALUE(MID($AN25,SEARCH(";4:",$AN25)+3,SEARCH(";",$AN25,SEARCH(";4:",$AN25)+3)-SEARCH(";4:",$AN25)-3)),ROUND($AF25*(1+$J25/100),0)))</f>
        <v/>
      </c>
      <c r="AH25" s="28" t="str">
        <f>IF(OR($AA25="",5&gt;$AA25),"",IFERROR(VALUE(MID($AN25,SEARCH(";5:",$AN25)+3,SEARCH(";",$AN25,SEARCH(";5:",$AN25)+3)-SEARCH(";5:",$AN25)-3)),ROUND($AG25*(1+$J25/100),0)))</f>
        <v/>
      </c>
      <c r="AI25" s="28" t="str">
        <f>IF(OR($AA25="",6&gt;$AA25),"",IFERROR(VALUE(MID($AN25,SEARCH(";6:",$AN25)+3,SEARCH(";",$AN25,SEARCH(";6:",$AN25)+3)-SEARCH(";6:",$AN25)-3)),ROUND($AH25*(1+$J25/100),0)))</f>
        <v/>
      </c>
      <c r="AJ25" s="28" t="str">
        <f>IF(OR($AA25="",7&gt;$AA25),"",IFERROR(VALUE(MID($AN25,SEARCH(";7:",$AN25)+3,SEARCH(";",$AN25,SEARCH(";7:",$AN25)+3)-SEARCH(";7:",$AN25)-3)),ROUND($AI25*(1+$J25/100),0)))</f>
        <v/>
      </c>
      <c r="AK25" s="28" t="str">
        <f>IF(OR($AA25="",8&gt;$AA25),"",IFERROR(VALUE(MID($AN25,SEARCH(";8:",$AN25)+3,SEARCH(";",$AN25,SEARCH(";8:",$AN25)+3)-SEARCH(";8:",$AN25)-3)),ROUND($AJ25*(1+$J25/100),0)))</f>
        <v/>
      </c>
      <c r="AL25" s="28" t="str">
        <f>IF(OR($AA25="",9&gt;$AA25),"",IFERROR(VALUE(MID($AN25,SEARCH(";9:",$AN25)+3,SEARCH(";",$AN25,SEARCH(";9:",$AN25)+3)-SEARCH(";9:",$AN25)-3)),ROUND($AK25*(1+$J25/100),0)))</f>
        <v/>
      </c>
      <c r="AM25" s="28" t="str">
        <f>IF(OR($AA25="",10&gt;$AA25),"",IFERROR(VALUE(MID($AN25,SEARCH(";10:",$AN25)+4,SEARCH(";",$AN25,SEARCH(";10:",$AN25)+4)-SEARCH(";10:",$AN25)-4)),ROUND($AL25*(1+$J25/100),0)))</f>
        <v/>
      </c>
      <c r="AN25" s="36" t="str">
        <f>";"&amp;SUBSTITUTE(SUBSTITUTE(SUBSTITUTE(SUBSTITUTE(SUBSTITUTE(SUBSTITUTE($K25," ",""),"،",";"),CHAR(10),";"),"=",":"),",",""),"٫",".")&amp;";"</f>
        <v>;;</v>
      </c>
      <c r="AO25" s="36" t="str">
        <f>IF($T25="ساري",$B25,"")</f>
        <v>P03-104</v>
      </c>
    </row>
    <row r="26" spans="1:41" x14ac:dyDescent="0.25">
      <c r="A26" t="s">
        <v>203</v>
      </c>
      <c r="B26" t="s">
        <v>202</v>
      </c>
      <c r="C26" t="s">
        <v>185</v>
      </c>
      <c r="D26" s="27" t="str">
        <f>IF($Y26="","",IFERROR(INDEX('المشاريع'!$B:$B,MATCH($Y26,'المشاريع'!$A:$A,0)),""))</f>
        <v>ابو بكر</v>
      </c>
      <c r="E26" s="27" t="str">
        <f>IF($B26="","",IFERROR(INDEX('الوحدات'!$D:$D,MATCH($B26,'الوحدات'!$A:$A,0)),""))</f>
        <v>105</v>
      </c>
      <c r="F26" s="27" t="str">
        <f>IF($C26="","",IFERROR(INDEX('العملاء'!$B:$B,MATCH($C26,'العملاء'!$A:$A,0)),""))</f>
        <v>عادل عمر مكرم</v>
      </c>
      <c r="G26" s="33">
        <v>46204</v>
      </c>
      <c r="H26" s="33">
        <v>46568</v>
      </c>
      <c r="I26" s="39">
        <v>15000</v>
      </c>
      <c r="J26">
        <v>0</v>
      </c>
      <c r="K26" t="s">
        <v>35</v>
      </c>
      <c r="L26" s="39">
        <v>0</v>
      </c>
      <c r="M26" t="s">
        <v>584</v>
      </c>
      <c r="N26">
        <v>1</v>
      </c>
      <c r="O26" t="s">
        <v>201</v>
      </c>
      <c r="P26" t="s">
        <v>35</v>
      </c>
      <c r="Q26">
        <v>27</v>
      </c>
      <c r="R26" t="s">
        <v>35</v>
      </c>
      <c r="S26" s="33"/>
      <c r="T26" s="27" t="str">
        <f>IF(NOT(AND(ISNUMBER($G26),ISNUMBER($H26))),"تواريخ غير صحيحة",IF(TODAY()&lt;$G26,"لم يبدأ",IF(TODAY()&gt;$H26,IF(IF($A26="",0,COUNTIF($O:$O,$A26))+IF($B26="",0,COUNTIFS($B:$B,$B26,$G:$G,"&gt;"&amp;$H26)-IF($G26&gt;$H26,1,0))&gt;0,"منتهٍ (أُجِّرت بعده)","منتهٍ"),"ساري")))</f>
        <v>ساري</v>
      </c>
      <c r="U26" s="28">
        <f>IF($X26="","",IF($X26&gt;10,15000,INDEX($AD26:$AM26,1,$X26)))</f>
        <v>15000</v>
      </c>
      <c r="V26" s="28">
        <f>IF($A26="","",SUMIFS('المدفوعات'!$F:$F,'المدفوعات'!$B:$B,$A26))</f>
        <v>16000</v>
      </c>
      <c r="W26" s="35">
        <v>14000</v>
      </c>
      <c r="X26" s="34">
        <f>IF(OR(NOT(ISNUMBER($G26)),NOT(ISNUMBER($H26)),$AA26=""),"",IF(TODAY()&lt;$G26,1,MIN($AA26,DATEDIF($G26,TODAY(),"y")+1)))</f>
        <v>1</v>
      </c>
      <c r="Y26" s="27" t="str">
        <f>IF($B26="","",IFERROR(INDEX('الوحدات'!$B:$B,MATCH($B26,'الوحدات'!$A:$A,0)),""))</f>
        <v>P03</v>
      </c>
      <c r="Z26" s="34">
        <f>IF(ISNUMBER($H26),$H26-TODAY(),"")</f>
        <v>263</v>
      </c>
      <c r="AA26" s="34">
        <f>IF(AND(ISNUMBER($G26),ISNUMBER($H26)),IFERROR(DATEDIF($G26,$H26,"y")+1,""),"")</f>
        <v>1</v>
      </c>
      <c r="AB26" s="37" t="str">
        <f>IF(OR($X26="",$X26&gt;=$AA26),"",DATE(YEAR($G26)+$X26,MONTH($G26),DAY($G26)))</f>
        <v/>
      </c>
      <c r="AC26" s="28" t="str">
        <f>IF($AB26="","",IF($X26+1&gt;10,0,INDEX($AD26:$AM26,1,$X26+1)))</f>
        <v/>
      </c>
      <c r="AD26" s="28">
        <f>IF($AA26="","",IFERROR(VALUE(MID($AN26,SEARCH(";1:",$AN26)+3,SEARCH(";",$AN26,SEARCH(";1:",$AN26)+3)-SEARCH(";1:",$AN26)-3)),$I26))</f>
        <v>15000</v>
      </c>
      <c r="AE26" s="28" t="str">
        <f>IF(OR($AA26="",2&gt;$AA26),"",IFERROR(VALUE(MID($AN26,SEARCH(";2:",$AN26)+3,SEARCH(";",$AN26,SEARCH(";2:",$AN26)+3)-SEARCH(";2:",$AN26)-3)),ROUND($AD26*(1+$J26/100),0)))</f>
        <v/>
      </c>
      <c r="AF26" s="28" t="str">
        <f>IF(OR($AA26="",3&gt;$AA26),"",IFERROR(VALUE(MID($AN26,SEARCH(";3:",$AN26)+3,SEARCH(";",$AN26,SEARCH(";3:",$AN26)+3)-SEARCH(";3:",$AN26)-3)),ROUND($AE26*(1+$J26/100),0)))</f>
        <v/>
      </c>
      <c r="AG26" s="28" t="str">
        <f>IF(OR($AA26="",4&gt;$AA26),"",IFERROR(VALUE(MID($AN26,SEARCH(";4:",$AN26)+3,SEARCH(";",$AN26,SEARCH(";4:",$AN26)+3)-SEARCH(";4:",$AN26)-3)),ROUND($AF26*(1+$J26/100),0)))</f>
        <v/>
      </c>
      <c r="AH26" s="28" t="str">
        <f>IF(OR($AA26="",5&gt;$AA26),"",IFERROR(VALUE(MID($AN26,SEARCH(";5:",$AN26)+3,SEARCH(";",$AN26,SEARCH(";5:",$AN26)+3)-SEARCH(";5:",$AN26)-3)),ROUND($AG26*(1+$J26/100),0)))</f>
        <v/>
      </c>
      <c r="AI26" s="28" t="str">
        <f>IF(OR($AA26="",6&gt;$AA26),"",IFERROR(VALUE(MID($AN26,SEARCH(";6:",$AN26)+3,SEARCH(";",$AN26,SEARCH(";6:",$AN26)+3)-SEARCH(";6:",$AN26)-3)),ROUND($AH26*(1+$J26/100),0)))</f>
        <v/>
      </c>
      <c r="AJ26" s="28" t="str">
        <f>IF(OR($AA26="",7&gt;$AA26),"",IFERROR(VALUE(MID($AN26,SEARCH(";7:",$AN26)+3,SEARCH(";",$AN26,SEARCH(";7:",$AN26)+3)-SEARCH(";7:",$AN26)-3)),ROUND($AI26*(1+$J26/100),0)))</f>
        <v/>
      </c>
      <c r="AK26" s="28" t="str">
        <f>IF(OR($AA26="",8&gt;$AA26),"",IFERROR(VALUE(MID($AN26,SEARCH(";8:",$AN26)+3,SEARCH(";",$AN26,SEARCH(";8:",$AN26)+3)-SEARCH(";8:",$AN26)-3)),ROUND($AJ26*(1+$J26/100),0)))</f>
        <v/>
      </c>
      <c r="AL26" s="28" t="str">
        <f>IF(OR($AA26="",9&gt;$AA26),"",IFERROR(VALUE(MID($AN26,SEARCH(";9:",$AN26)+3,SEARCH(";",$AN26,SEARCH(";9:",$AN26)+3)-SEARCH(";9:",$AN26)-3)),ROUND($AK26*(1+$J26/100),0)))</f>
        <v/>
      </c>
      <c r="AM26" s="28" t="str">
        <f>IF(OR($AA26="",10&gt;$AA26),"",IFERROR(VALUE(MID($AN26,SEARCH(";10:",$AN26)+4,SEARCH(";",$AN26,SEARCH(";10:",$AN26)+4)-SEARCH(";10:",$AN26)-4)),ROUND($AL26*(1+$J26/100),0)))</f>
        <v/>
      </c>
      <c r="AN26" s="36" t="str">
        <f>";"&amp;SUBSTITUTE(SUBSTITUTE(SUBSTITUTE(SUBSTITUTE(SUBSTITUTE(SUBSTITUTE($K26," ",""),"،",";"),CHAR(10),";"),"=",":"),",",""),"٫",".")&amp;";"</f>
        <v>;;</v>
      </c>
      <c r="AO26" s="36" t="str">
        <f>IF($T26="ساري",$B26,"")</f>
        <v>P03-105</v>
      </c>
    </row>
    <row r="27" spans="1:41" x14ac:dyDescent="0.25">
      <c r="A27" t="s">
        <v>207</v>
      </c>
      <c r="B27" t="s">
        <v>208</v>
      </c>
      <c r="C27" t="s">
        <v>209</v>
      </c>
      <c r="D27" s="27" t="str">
        <f>IF($Y27="","",IFERROR(INDEX('المشاريع'!$B:$B,MATCH($Y27,'المشاريع'!$A:$A,0)),""))</f>
        <v>ابو بكر</v>
      </c>
      <c r="E27" s="27" t="str">
        <f>IF($B27="","",IFERROR(INDEX('الوحدات'!$D:$D,MATCH($B27,'الوحدات'!$A:$A,0)),""))</f>
        <v>106</v>
      </c>
      <c r="F27" s="27" t="str">
        <f>IF($C27="","",IFERROR(INDEX('العملاء'!$B:$B,MATCH($C27,'العملاء'!$A:$A,0)),""))</f>
        <v>حسين أمير بدوي</v>
      </c>
      <c r="G27" s="33">
        <v>45992</v>
      </c>
      <c r="H27" s="33">
        <v>46356</v>
      </c>
      <c r="I27" s="39">
        <v>7000</v>
      </c>
      <c r="J27">
        <v>0</v>
      </c>
      <c r="K27" t="s">
        <v>35</v>
      </c>
      <c r="L27" s="39">
        <v>0</v>
      </c>
      <c r="M27" t="s">
        <v>584</v>
      </c>
      <c r="N27">
        <v>1</v>
      </c>
      <c r="O27" t="s">
        <v>35</v>
      </c>
      <c r="P27" t="s">
        <v>35</v>
      </c>
      <c r="Q27">
        <v>28</v>
      </c>
      <c r="R27" t="s">
        <v>35</v>
      </c>
      <c r="S27" s="33"/>
      <c r="T27" s="27" t="str">
        <f>IF(NOT(AND(ISNUMBER($G27),ISNUMBER($H27))),"تواريخ غير صحيحة",IF(TODAY()&lt;$G27,"لم يبدأ",IF(TODAY()&gt;$H27,IF(IF($A27="",0,COUNTIF($O:$O,$A27))+IF($B27="",0,COUNTIFS($B:$B,$B27,$G:$G,"&gt;"&amp;$H27)-IF($G27&gt;$H27,1,0))&gt;0,"منتهٍ (أُجِّرت بعده)","منتهٍ"),"ساري")))</f>
        <v>ساري</v>
      </c>
      <c r="U27" s="28">
        <f>IF($X27="","",IF($X27&gt;10,7000,INDEX($AD27:$AM27,1,$X27)))</f>
        <v>7000</v>
      </c>
      <c r="V27" s="28">
        <f>IF($A27="","",SUMIFS('المدفوعات'!$F:$F,'المدفوعات'!$B:$B,$A27))</f>
        <v>56000</v>
      </c>
      <c r="W27" s="35">
        <v>0</v>
      </c>
      <c r="X27" s="34">
        <f>IF(OR(NOT(ISNUMBER($G27)),NOT(ISNUMBER($H27)),$AA27=""),"",IF(TODAY()&lt;$G27,1,MIN($AA27,DATEDIF($G27,TODAY(),"y")+1)))</f>
        <v>1</v>
      </c>
      <c r="Y27" s="27" t="str">
        <f>IF($B27="","",IFERROR(INDEX('الوحدات'!$B:$B,MATCH($B27,'الوحدات'!$A:$A,0)),""))</f>
        <v>P03</v>
      </c>
      <c r="Z27" s="34">
        <f>IF(ISNUMBER($H27),$H27-TODAY(),"")</f>
        <v>51</v>
      </c>
      <c r="AA27" s="34">
        <f>IF(AND(ISNUMBER($G27),ISNUMBER($H27)),IFERROR(DATEDIF($G27,$H27,"y")+1,""),"")</f>
        <v>1</v>
      </c>
      <c r="AB27" s="37" t="str">
        <f>IF(OR($X27="",$X27&gt;=$AA27),"",DATE(YEAR($G27)+$X27,MONTH($G27),DAY($G27)))</f>
        <v/>
      </c>
      <c r="AC27" s="28" t="str">
        <f>IF($AB27="","",IF($X27+1&gt;10,0,INDEX($AD27:$AM27,1,$X27+1)))</f>
        <v/>
      </c>
      <c r="AD27" s="28">
        <f>IF($AA27="","",IFERROR(VALUE(MID($AN27,SEARCH(";1:",$AN27)+3,SEARCH(";",$AN27,SEARCH(";1:",$AN27)+3)-SEARCH(";1:",$AN27)-3)),$I27))</f>
        <v>7000</v>
      </c>
      <c r="AE27" s="28" t="str">
        <f>IF(OR($AA27="",2&gt;$AA27),"",IFERROR(VALUE(MID($AN27,SEARCH(";2:",$AN27)+3,SEARCH(";",$AN27,SEARCH(";2:",$AN27)+3)-SEARCH(";2:",$AN27)-3)),ROUND($AD27*(1+$J27/100),0)))</f>
        <v/>
      </c>
      <c r="AF27" s="28" t="str">
        <f>IF(OR($AA27="",3&gt;$AA27),"",IFERROR(VALUE(MID($AN27,SEARCH(";3:",$AN27)+3,SEARCH(";",$AN27,SEARCH(";3:",$AN27)+3)-SEARCH(";3:",$AN27)-3)),ROUND($AE27*(1+$J27/100),0)))</f>
        <v/>
      </c>
      <c r="AG27" s="28" t="str">
        <f>IF(OR($AA27="",4&gt;$AA27),"",IFERROR(VALUE(MID($AN27,SEARCH(";4:",$AN27)+3,SEARCH(";",$AN27,SEARCH(";4:",$AN27)+3)-SEARCH(";4:",$AN27)-3)),ROUND($AF27*(1+$J27/100),0)))</f>
        <v/>
      </c>
      <c r="AH27" s="28" t="str">
        <f>IF(OR($AA27="",5&gt;$AA27),"",IFERROR(VALUE(MID($AN27,SEARCH(";5:",$AN27)+3,SEARCH(";",$AN27,SEARCH(";5:",$AN27)+3)-SEARCH(";5:",$AN27)-3)),ROUND($AG27*(1+$J27/100),0)))</f>
        <v/>
      </c>
      <c r="AI27" s="28" t="str">
        <f>IF(OR($AA27="",6&gt;$AA27),"",IFERROR(VALUE(MID($AN27,SEARCH(";6:",$AN27)+3,SEARCH(";",$AN27,SEARCH(";6:",$AN27)+3)-SEARCH(";6:",$AN27)-3)),ROUND($AH27*(1+$J27/100),0)))</f>
        <v/>
      </c>
      <c r="AJ27" s="28" t="str">
        <f>IF(OR($AA27="",7&gt;$AA27),"",IFERROR(VALUE(MID($AN27,SEARCH(";7:",$AN27)+3,SEARCH(";",$AN27,SEARCH(";7:",$AN27)+3)-SEARCH(";7:",$AN27)-3)),ROUND($AI27*(1+$J27/100),0)))</f>
        <v/>
      </c>
      <c r="AK27" s="28" t="str">
        <f>IF(OR($AA27="",8&gt;$AA27),"",IFERROR(VALUE(MID($AN27,SEARCH(";8:",$AN27)+3,SEARCH(";",$AN27,SEARCH(";8:",$AN27)+3)-SEARCH(";8:",$AN27)-3)),ROUND($AJ27*(1+$J27/100),0)))</f>
        <v/>
      </c>
      <c r="AL27" s="28" t="str">
        <f>IF(OR($AA27="",9&gt;$AA27),"",IFERROR(VALUE(MID($AN27,SEARCH(";9:",$AN27)+3,SEARCH(";",$AN27,SEARCH(";9:",$AN27)+3)-SEARCH(";9:",$AN27)-3)),ROUND($AK27*(1+$J27/100),0)))</f>
        <v/>
      </c>
      <c r="AM27" s="28" t="str">
        <f>IF(OR($AA27="",10&gt;$AA27),"",IFERROR(VALUE(MID($AN27,SEARCH(";10:",$AN27)+4,SEARCH(";",$AN27,SEARCH(";10:",$AN27)+4)-SEARCH(";10:",$AN27)-4)),ROUND($AL27*(1+$J27/100),0)))</f>
        <v/>
      </c>
      <c r="AN27" s="36" t="str">
        <f>";"&amp;SUBSTITUTE(SUBSTITUTE(SUBSTITUTE(SUBSTITUTE(SUBSTITUTE(SUBSTITUTE($K27," ",""),"،",";"),CHAR(10),";"),"=",":"),",",""),"٫",".")&amp;";"</f>
        <v>;;</v>
      </c>
      <c r="AO27" s="36" t="str">
        <f>IF($T27="ساري",$B27,"")</f>
        <v>P03-106</v>
      </c>
    </row>
    <row r="28" spans="1:41" x14ac:dyDescent="0.25">
      <c r="A28" t="s">
        <v>213</v>
      </c>
      <c r="B28" t="s">
        <v>212</v>
      </c>
      <c r="C28" t="s">
        <v>209</v>
      </c>
      <c r="D28" s="27" t="str">
        <f>IF($Y28="","",IFERROR(INDEX('المشاريع'!$B:$B,MATCH($Y28,'المشاريع'!$A:$A,0)),""))</f>
        <v>ابو بكر</v>
      </c>
      <c r="E28" s="27" t="str">
        <f>IF($B28="","",IFERROR(INDEX('الوحدات'!$D:$D,MATCH($B28,'الوحدات'!$A:$A,0)),""))</f>
        <v>107</v>
      </c>
      <c r="F28" s="27" t="str">
        <f>IF($C28="","",IFERROR(INDEX('العملاء'!$B:$B,MATCH($C28,'العملاء'!$A:$A,0)),""))</f>
        <v>حسين أمير بدوي</v>
      </c>
      <c r="G28" s="33">
        <v>46204</v>
      </c>
      <c r="H28" s="33">
        <v>46568</v>
      </c>
      <c r="I28" s="39">
        <v>8000</v>
      </c>
      <c r="J28">
        <v>0</v>
      </c>
      <c r="K28" t="s">
        <v>35</v>
      </c>
      <c r="L28" s="39">
        <v>0</v>
      </c>
      <c r="M28" t="s">
        <v>584</v>
      </c>
      <c r="N28">
        <v>1</v>
      </c>
      <c r="O28" t="s">
        <v>211</v>
      </c>
      <c r="P28" t="s">
        <v>35</v>
      </c>
      <c r="Q28">
        <v>29</v>
      </c>
      <c r="R28" t="s">
        <v>35</v>
      </c>
      <c r="S28" s="33"/>
      <c r="T28" s="27" t="str">
        <f>IF(NOT(AND(ISNUMBER($G28),ISNUMBER($H28))),"تواريخ غير صحيحة",IF(TODAY()&lt;$G28,"لم يبدأ",IF(TODAY()&gt;$H28,IF(IF($A28="",0,COUNTIF($O:$O,$A28))+IF($B28="",0,COUNTIFS($B:$B,$B28,$G:$G,"&gt;"&amp;$H28)-IF($G28&gt;$H28,1,0))&gt;0,"منتهٍ (أُجِّرت بعده)","منتهٍ"),"ساري")))</f>
        <v>ساري</v>
      </c>
      <c r="U28" s="28">
        <f>IF($X28="","",IF($X28&gt;10,8000,INDEX($AD28:$AM28,1,$X28)))</f>
        <v>8000</v>
      </c>
      <c r="V28" s="28">
        <f>IF($A28="","",SUMIFS('المدفوعات'!$F:$F,'المدفوعات'!$B:$B,$A28))</f>
        <v>16000</v>
      </c>
      <c r="W28" s="35">
        <v>0</v>
      </c>
      <c r="X28" s="34">
        <f>IF(OR(NOT(ISNUMBER($G28)),NOT(ISNUMBER($H28)),$AA28=""),"",IF(TODAY()&lt;$G28,1,MIN($AA28,DATEDIF($G28,TODAY(),"y")+1)))</f>
        <v>1</v>
      </c>
      <c r="Y28" s="27" t="str">
        <f>IF($B28="","",IFERROR(INDEX('الوحدات'!$B:$B,MATCH($B28,'الوحدات'!$A:$A,0)),""))</f>
        <v>P03</v>
      </c>
      <c r="Z28" s="34">
        <f>IF(ISNUMBER($H28),$H28-TODAY(),"")</f>
        <v>263</v>
      </c>
      <c r="AA28" s="34">
        <f>IF(AND(ISNUMBER($G28),ISNUMBER($H28)),IFERROR(DATEDIF($G28,$H28,"y")+1,""),"")</f>
        <v>1</v>
      </c>
      <c r="AB28" s="37" t="str">
        <f>IF(OR($X28="",$X28&gt;=$AA28),"",DATE(YEAR($G28)+$X28,MONTH($G28),DAY($G28)))</f>
        <v/>
      </c>
      <c r="AC28" s="28" t="str">
        <f>IF($AB28="","",IF($X28+1&gt;10,0,INDEX($AD28:$AM28,1,$X28+1)))</f>
        <v/>
      </c>
      <c r="AD28" s="28">
        <f>IF($AA28="","",IFERROR(VALUE(MID($AN28,SEARCH(";1:",$AN28)+3,SEARCH(";",$AN28,SEARCH(";1:",$AN28)+3)-SEARCH(";1:",$AN28)-3)),$I28))</f>
        <v>8000</v>
      </c>
      <c r="AE28" s="28" t="str">
        <f>IF(OR($AA28="",2&gt;$AA28),"",IFERROR(VALUE(MID($AN28,SEARCH(";2:",$AN28)+3,SEARCH(";",$AN28,SEARCH(";2:",$AN28)+3)-SEARCH(";2:",$AN28)-3)),ROUND($AD28*(1+$J28/100),0)))</f>
        <v/>
      </c>
      <c r="AF28" s="28" t="str">
        <f>IF(OR($AA28="",3&gt;$AA28),"",IFERROR(VALUE(MID($AN28,SEARCH(";3:",$AN28)+3,SEARCH(";",$AN28,SEARCH(";3:",$AN28)+3)-SEARCH(";3:",$AN28)-3)),ROUND($AE28*(1+$J28/100),0)))</f>
        <v/>
      </c>
      <c r="AG28" s="28" t="str">
        <f>IF(OR($AA28="",4&gt;$AA28),"",IFERROR(VALUE(MID($AN28,SEARCH(";4:",$AN28)+3,SEARCH(";",$AN28,SEARCH(";4:",$AN28)+3)-SEARCH(";4:",$AN28)-3)),ROUND($AF28*(1+$J28/100),0)))</f>
        <v/>
      </c>
      <c r="AH28" s="28" t="str">
        <f>IF(OR($AA28="",5&gt;$AA28),"",IFERROR(VALUE(MID($AN28,SEARCH(";5:",$AN28)+3,SEARCH(";",$AN28,SEARCH(";5:",$AN28)+3)-SEARCH(";5:",$AN28)-3)),ROUND($AG28*(1+$J28/100),0)))</f>
        <v/>
      </c>
      <c r="AI28" s="28" t="str">
        <f>IF(OR($AA28="",6&gt;$AA28),"",IFERROR(VALUE(MID($AN28,SEARCH(";6:",$AN28)+3,SEARCH(";",$AN28,SEARCH(";6:",$AN28)+3)-SEARCH(";6:",$AN28)-3)),ROUND($AH28*(1+$J28/100),0)))</f>
        <v/>
      </c>
      <c r="AJ28" s="28" t="str">
        <f>IF(OR($AA28="",7&gt;$AA28),"",IFERROR(VALUE(MID($AN28,SEARCH(";7:",$AN28)+3,SEARCH(";",$AN28,SEARCH(";7:",$AN28)+3)-SEARCH(";7:",$AN28)-3)),ROUND($AI28*(1+$J28/100),0)))</f>
        <v/>
      </c>
      <c r="AK28" s="28" t="str">
        <f>IF(OR($AA28="",8&gt;$AA28),"",IFERROR(VALUE(MID($AN28,SEARCH(";8:",$AN28)+3,SEARCH(";",$AN28,SEARCH(";8:",$AN28)+3)-SEARCH(";8:",$AN28)-3)),ROUND($AJ28*(1+$J28/100),0)))</f>
        <v/>
      </c>
      <c r="AL28" s="28" t="str">
        <f>IF(OR($AA28="",9&gt;$AA28),"",IFERROR(VALUE(MID($AN28,SEARCH(";9:",$AN28)+3,SEARCH(";",$AN28,SEARCH(";9:",$AN28)+3)-SEARCH(";9:",$AN28)-3)),ROUND($AK28*(1+$J28/100),0)))</f>
        <v/>
      </c>
      <c r="AM28" s="28" t="str">
        <f>IF(OR($AA28="",10&gt;$AA28),"",IFERROR(VALUE(MID($AN28,SEARCH(";10:",$AN28)+4,SEARCH(";",$AN28,SEARCH(";10:",$AN28)+4)-SEARCH(";10:",$AN28)-4)),ROUND($AL28*(1+$J28/100),0)))</f>
        <v/>
      </c>
      <c r="AN28" s="36" t="str">
        <f>";"&amp;SUBSTITUTE(SUBSTITUTE(SUBSTITUTE(SUBSTITUTE(SUBSTITUTE(SUBSTITUTE($K28," ",""),"،",";"),CHAR(10),";"),"=",":"),",",""),"٫",".")&amp;";"</f>
        <v>;;</v>
      </c>
      <c r="AO28" s="36" t="str">
        <f>IF($T28="ساري",$B28,"")</f>
        <v>P03-107</v>
      </c>
    </row>
    <row r="29" spans="1:41" x14ac:dyDescent="0.25">
      <c r="A29" t="s">
        <v>217</v>
      </c>
      <c r="B29" t="s">
        <v>216</v>
      </c>
      <c r="C29" t="s">
        <v>209</v>
      </c>
      <c r="D29" s="27" t="str">
        <f>IF($Y29="","",IFERROR(INDEX('المشاريع'!$B:$B,MATCH($Y29,'المشاريع'!$A:$A,0)),""))</f>
        <v>ابو بكر</v>
      </c>
      <c r="E29" s="27" t="str">
        <f>IF($B29="","",IFERROR(INDEX('الوحدات'!$D:$D,MATCH($B29,'الوحدات'!$A:$A,0)),""))</f>
        <v>108</v>
      </c>
      <c r="F29" s="27" t="str">
        <f>IF($C29="","",IFERROR(INDEX('العملاء'!$B:$B,MATCH($C29,'العملاء'!$A:$A,0)),""))</f>
        <v>حسين أمير بدوي</v>
      </c>
      <c r="G29" s="33">
        <v>46204</v>
      </c>
      <c r="H29" s="33">
        <v>46568</v>
      </c>
      <c r="I29" s="39">
        <v>8000</v>
      </c>
      <c r="J29">
        <v>0</v>
      </c>
      <c r="K29" t="s">
        <v>35</v>
      </c>
      <c r="L29" s="39">
        <v>0</v>
      </c>
      <c r="M29" t="s">
        <v>584</v>
      </c>
      <c r="N29">
        <v>1</v>
      </c>
      <c r="O29" t="s">
        <v>215</v>
      </c>
      <c r="P29" t="s">
        <v>35</v>
      </c>
      <c r="Q29">
        <v>30</v>
      </c>
      <c r="R29" t="s">
        <v>35</v>
      </c>
      <c r="S29" s="33"/>
      <c r="T29" s="27" t="str">
        <f>IF(NOT(AND(ISNUMBER($G29),ISNUMBER($H29))),"تواريخ غير صحيحة",IF(TODAY()&lt;$G29,"لم يبدأ",IF(TODAY()&gt;$H29,IF(IF($A29="",0,COUNTIF($O:$O,$A29))+IF($B29="",0,COUNTIFS($B:$B,$B29,$G:$G,"&gt;"&amp;$H29)-IF($G29&gt;$H29,1,0))&gt;0,"منتهٍ (أُجِّرت بعده)","منتهٍ"),"ساري")))</f>
        <v>ساري</v>
      </c>
      <c r="U29" s="28">
        <f>IF($X29="","",IF($X29&gt;10,8000,INDEX($AD29:$AM29,1,$X29)))</f>
        <v>8000</v>
      </c>
      <c r="V29" s="28">
        <f>IF($A29="","",SUMIFS('المدفوعات'!$F:$F,'المدفوعات'!$B:$B,$A29))</f>
        <v>16000</v>
      </c>
      <c r="W29" s="35">
        <v>0</v>
      </c>
      <c r="X29" s="34">
        <f>IF(OR(NOT(ISNUMBER($G29)),NOT(ISNUMBER($H29)),$AA29=""),"",IF(TODAY()&lt;$G29,1,MIN($AA29,DATEDIF($G29,TODAY(),"y")+1)))</f>
        <v>1</v>
      </c>
      <c r="Y29" s="27" t="str">
        <f>IF($B29="","",IFERROR(INDEX('الوحدات'!$B:$B,MATCH($B29,'الوحدات'!$A:$A,0)),""))</f>
        <v>P03</v>
      </c>
      <c r="Z29" s="34">
        <f>IF(ISNUMBER($H29),$H29-TODAY(),"")</f>
        <v>263</v>
      </c>
      <c r="AA29" s="34">
        <f>IF(AND(ISNUMBER($G29),ISNUMBER($H29)),IFERROR(DATEDIF($G29,$H29,"y")+1,""),"")</f>
        <v>1</v>
      </c>
      <c r="AB29" s="37" t="str">
        <f>IF(OR($X29="",$X29&gt;=$AA29),"",DATE(YEAR($G29)+$X29,MONTH($G29),DAY($G29)))</f>
        <v/>
      </c>
      <c r="AC29" s="28" t="str">
        <f>IF($AB29="","",IF($X29+1&gt;10,0,INDEX($AD29:$AM29,1,$X29+1)))</f>
        <v/>
      </c>
      <c r="AD29" s="28">
        <f>IF($AA29="","",IFERROR(VALUE(MID($AN29,SEARCH(";1:",$AN29)+3,SEARCH(";",$AN29,SEARCH(";1:",$AN29)+3)-SEARCH(";1:",$AN29)-3)),$I29))</f>
        <v>8000</v>
      </c>
      <c r="AE29" s="28" t="str">
        <f>IF(OR($AA29="",2&gt;$AA29),"",IFERROR(VALUE(MID($AN29,SEARCH(";2:",$AN29)+3,SEARCH(";",$AN29,SEARCH(";2:",$AN29)+3)-SEARCH(";2:",$AN29)-3)),ROUND($AD29*(1+$J29/100),0)))</f>
        <v/>
      </c>
      <c r="AF29" s="28" t="str">
        <f>IF(OR($AA29="",3&gt;$AA29),"",IFERROR(VALUE(MID($AN29,SEARCH(";3:",$AN29)+3,SEARCH(";",$AN29,SEARCH(";3:",$AN29)+3)-SEARCH(";3:",$AN29)-3)),ROUND($AE29*(1+$J29/100),0)))</f>
        <v/>
      </c>
      <c r="AG29" s="28" t="str">
        <f>IF(OR($AA29="",4&gt;$AA29),"",IFERROR(VALUE(MID($AN29,SEARCH(";4:",$AN29)+3,SEARCH(";",$AN29,SEARCH(";4:",$AN29)+3)-SEARCH(";4:",$AN29)-3)),ROUND($AF29*(1+$J29/100),0)))</f>
        <v/>
      </c>
      <c r="AH29" s="28" t="str">
        <f>IF(OR($AA29="",5&gt;$AA29),"",IFERROR(VALUE(MID($AN29,SEARCH(";5:",$AN29)+3,SEARCH(";",$AN29,SEARCH(";5:",$AN29)+3)-SEARCH(";5:",$AN29)-3)),ROUND($AG29*(1+$J29/100),0)))</f>
        <v/>
      </c>
      <c r="AI29" s="28" t="str">
        <f>IF(OR($AA29="",6&gt;$AA29),"",IFERROR(VALUE(MID($AN29,SEARCH(";6:",$AN29)+3,SEARCH(";",$AN29,SEARCH(";6:",$AN29)+3)-SEARCH(";6:",$AN29)-3)),ROUND($AH29*(1+$J29/100),0)))</f>
        <v/>
      </c>
      <c r="AJ29" s="28" t="str">
        <f>IF(OR($AA29="",7&gt;$AA29),"",IFERROR(VALUE(MID($AN29,SEARCH(";7:",$AN29)+3,SEARCH(";",$AN29,SEARCH(";7:",$AN29)+3)-SEARCH(";7:",$AN29)-3)),ROUND($AI29*(1+$J29/100),0)))</f>
        <v/>
      </c>
      <c r="AK29" s="28" t="str">
        <f>IF(OR($AA29="",8&gt;$AA29),"",IFERROR(VALUE(MID($AN29,SEARCH(";8:",$AN29)+3,SEARCH(";",$AN29,SEARCH(";8:",$AN29)+3)-SEARCH(";8:",$AN29)-3)),ROUND($AJ29*(1+$J29/100),0)))</f>
        <v/>
      </c>
      <c r="AL29" s="28" t="str">
        <f>IF(OR($AA29="",9&gt;$AA29),"",IFERROR(VALUE(MID($AN29,SEARCH(";9:",$AN29)+3,SEARCH(";",$AN29,SEARCH(";9:",$AN29)+3)-SEARCH(";9:",$AN29)-3)),ROUND($AK29*(1+$J29/100),0)))</f>
        <v/>
      </c>
      <c r="AM29" s="28" t="str">
        <f>IF(OR($AA29="",10&gt;$AA29),"",IFERROR(VALUE(MID($AN29,SEARCH(";10:",$AN29)+4,SEARCH(";",$AN29,SEARCH(";10:",$AN29)+4)-SEARCH(";10:",$AN29)-4)),ROUND($AL29*(1+$J29/100),0)))</f>
        <v/>
      </c>
      <c r="AN29" s="36" t="str">
        <f>";"&amp;SUBSTITUTE(SUBSTITUTE(SUBSTITUTE(SUBSTITUTE(SUBSTITUTE(SUBSTITUTE($K29," ",""),"،",";"),CHAR(10),";"),"=",":"),",",""),"٫",".")&amp;";"</f>
        <v>;;</v>
      </c>
      <c r="AO29" s="36" t="str">
        <f>IF($T29="ساري",$B29,"")</f>
        <v>P03-108</v>
      </c>
    </row>
    <row r="30" spans="1:41" x14ac:dyDescent="0.25">
      <c r="A30" t="s">
        <v>222</v>
      </c>
      <c r="B30" t="s">
        <v>223</v>
      </c>
      <c r="C30" t="s">
        <v>224</v>
      </c>
      <c r="D30" s="27" t="str">
        <f>IF($Y30="","",IFERROR(INDEX('المشاريع'!$B:$B,MATCH($Y30,'المشاريع'!$A:$A,0)),""))</f>
        <v>ابو بكر</v>
      </c>
      <c r="E30" s="27" t="str">
        <f>IF($B30="","",IFERROR(INDEX('الوحدات'!$D:$D,MATCH($B30,'الوحدات'!$A:$A,0)),""))</f>
        <v>201</v>
      </c>
      <c r="F30" s="27" t="str">
        <f>IF($C30="","",IFERROR(INDEX('العملاء'!$B:$B,MATCH($C30,'العملاء'!$A:$A,0)),""))</f>
        <v>شركة الأفق للتدريب</v>
      </c>
      <c r="G30" s="33">
        <v>45078</v>
      </c>
      <c r="H30" s="33">
        <v>46173</v>
      </c>
      <c r="I30" s="39">
        <v>11495</v>
      </c>
      <c r="J30">
        <v>0</v>
      </c>
      <c r="K30" t="s">
        <v>599</v>
      </c>
      <c r="L30" s="39">
        <v>0</v>
      </c>
      <c r="M30" t="s">
        <v>584</v>
      </c>
      <c r="N30">
        <v>1</v>
      </c>
      <c r="O30" t="s">
        <v>35</v>
      </c>
      <c r="P30" t="s">
        <v>35</v>
      </c>
      <c r="Q30">
        <v>31</v>
      </c>
      <c r="R30" t="s">
        <v>35</v>
      </c>
      <c r="S30" s="33"/>
      <c r="T30" s="27" t="str">
        <f>IF(NOT(AND(ISNUMBER($G30),ISNUMBER($H30))),"تواريخ غير صحيحة",IF(TODAY()&lt;$G30,"لم يبدأ",IF(TODAY()&gt;$H30,IF(IF($A30="",0,COUNTIF($O:$O,$A30))+IF($B30="",0,COUNTIFS($B:$B,$B30,$G:$G,"&gt;"&amp;$H30)-IF($G30&gt;$H30,1,0))&gt;0,"منتهٍ (أُجِّرت بعده)","منتهٍ"),"ساري")))</f>
        <v>منتهٍ</v>
      </c>
      <c r="U30" s="28">
        <f>IF($X30="","",IF($X30&gt;10,11495,INDEX($AD30:$AM30,1,$X30)))</f>
        <v>11495</v>
      </c>
      <c r="V30" s="28">
        <f>IF($A30="","",SUMIFS('المدفوعات'!$F:$F,'المدفوعات'!$B:$B,$A30))</f>
        <v>57475</v>
      </c>
      <c r="W30" s="35">
        <v>0</v>
      </c>
      <c r="X30" s="34">
        <f>IF(OR(NOT(ISNUMBER($G30)),NOT(ISNUMBER($H30)),$AA30=""),"",IF(TODAY()&lt;$G30,1,MIN($AA30,DATEDIF($G30,TODAY(),"y")+1)))</f>
        <v>3</v>
      </c>
      <c r="Y30" s="27" t="str">
        <f>IF($B30="","",IFERROR(INDEX('الوحدات'!$B:$B,MATCH($B30,'الوحدات'!$A:$A,0)),""))</f>
        <v>P03</v>
      </c>
      <c r="Z30" s="34">
        <f>IF(ISNUMBER($H30),$H30-TODAY(),"")</f>
        <v>-132</v>
      </c>
      <c r="AA30" s="34">
        <f>IF(AND(ISNUMBER($G30),ISNUMBER($H30)),IFERROR(DATEDIF($G30,$H30,"y")+1,""),"")</f>
        <v>3</v>
      </c>
      <c r="AB30" s="37" t="str">
        <f>IF(OR($X30="",$X30&gt;=$AA30),"",DATE(YEAR($G30)+$X30,MONTH($G30),DAY($G30)))</f>
        <v/>
      </c>
      <c r="AC30" s="28" t="str">
        <f>IF($AB30="","",IF($X30+1&gt;10,0,INDEX($AD30:$AM30,1,$X30+1)))</f>
        <v/>
      </c>
      <c r="AD30" s="28">
        <f>IF($AA30="","",IFERROR(VALUE(MID($AN30,SEARCH(";1:",$AN30)+3,SEARCH(";",$AN30,SEARCH(";1:",$AN30)+3)-SEARCH(";1:",$AN30)-3)),$I30))</f>
        <v>11495</v>
      </c>
      <c r="AE30" s="28">
        <f>IF(OR($AA30="",2&gt;$AA30),"",IFERROR(VALUE(MID($AN30,SEARCH(";2:",$AN30)+3,SEARCH(";",$AN30,SEARCH(";2:",$AN30)+3)-SEARCH(";2:",$AN30)-3)),ROUND($AD30*(1+$J30/100),0)))</f>
        <v>11495</v>
      </c>
      <c r="AF30" s="28">
        <f>IF(OR($AA30="",3&gt;$AA30),"",IFERROR(VALUE(MID($AN30,SEARCH(";3:",$AN30)+3,SEARCH(";",$AN30,SEARCH(";3:",$AN30)+3)-SEARCH(";3:",$AN30)-3)),ROUND($AE30*(1+$J30/100),0)))</f>
        <v>11495</v>
      </c>
      <c r="AG30" s="28" t="str">
        <f>IF(OR($AA30="",4&gt;$AA30),"",IFERROR(VALUE(MID($AN30,SEARCH(";4:",$AN30)+3,SEARCH(";",$AN30,SEARCH(";4:",$AN30)+3)-SEARCH(";4:",$AN30)-3)),ROUND($AF30*(1+$J30/100),0)))</f>
        <v/>
      </c>
      <c r="AH30" s="28" t="str">
        <f>IF(OR($AA30="",5&gt;$AA30),"",IFERROR(VALUE(MID($AN30,SEARCH(";5:",$AN30)+3,SEARCH(";",$AN30,SEARCH(";5:",$AN30)+3)-SEARCH(";5:",$AN30)-3)),ROUND($AG30*(1+$J30/100),0)))</f>
        <v/>
      </c>
      <c r="AI30" s="28" t="str">
        <f>IF(OR($AA30="",6&gt;$AA30),"",IFERROR(VALUE(MID($AN30,SEARCH(";6:",$AN30)+3,SEARCH(";",$AN30,SEARCH(";6:",$AN30)+3)-SEARCH(";6:",$AN30)-3)),ROUND($AH30*(1+$J30/100),0)))</f>
        <v/>
      </c>
      <c r="AJ30" s="28" t="str">
        <f>IF(OR($AA30="",7&gt;$AA30),"",IFERROR(VALUE(MID($AN30,SEARCH(";7:",$AN30)+3,SEARCH(";",$AN30,SEARCH(";7:",$AN30)+3)-SEARCH(";7:",$AN30)-3)),ROUND($AI30*(1+$J30/100),0)))</f>
        <v/>
      </c>
      <c r="AK30" s="28" t="str">
        <f>IF(OR($AA30="",8&gt;$AA30),"",IFERROR(VALUE(MID($AN30,SEARCH(";8:",$AN30)+3,SEARCH(";",$AN30,SEARCH(";8:",$AN30)+3)-SEARCH(";8:",$AN30)-3)),ROUND($AJ30*(1+$J30/100),0)))</f>
        <v/>
      </c>
      <c r="AL30" s="28" t="str">
        <f>IF(OR($AA30="",9&gt;$AA30),"",IFERROR(VALUE(MID($AN30,SEARCH(";9:",$AN30)+3,SEARCH(";",$AN30,SEARCH(";9:",$AN30)+3)-SEARCH(";9:",$AN30)-3)),ROUND($AK30*(1+$J30/100),0)))</f>
        <v/>
      </c>
      <c r="AM30" s="28" t="str">
        <f>IF(OR($AA30="",10&gt;$AA30),"",IFERROR(VALUE(MID($AN30,SEARCH(";10:",$AN30)+4,SEARCH(";",$AN30,SEARCH(";10:",$AN30)+4)-SEARCH(";10:",$AN30)-4)),ROUND($AL30*(1+$J30/100),0)))</f>
        <v/>
      </c>
      <c r="AN30" s="36" t="str">
        <f>";"&amp;SUBSTITUTE(SUBSTITUTE(SUBSTITUTE(SUBSTITUTE(SUBSTITUTE(SUBSTITUTE($K30," ",""),"،",";"),CHAR(10),";"),"=",":"),",",""),"٫",".")&amp;";"</f>
        <v>;3:11495;</v>
      </c>
      <c r="AO30" s="36" t="str">
        <f>IF($T30="ساري",$B30,"")</f>
        <v/>
      </c>
    </row>
    <row r="31" spans="1:41" x14ac:dyDescent="0.25">
      <c r="A31" t="s">
        <v>228</v>
      </c>
      <c r="B31" t="s">
        <v>229</v>
      </c>
      <c r="C31" t="s">
        <v>230</v>
      </c>
      <c r="D31" s="27" t="str">
        <f>IF($Y31="","",IFERROR(INDEX('المشاريع'!$B:$B,MATCH($Y31,'المشاريع'!$A:$A,0)),""))</f>
        <v>ابو بكر</v>
      </c>
      <c r="E31" s="27" t="str">
        <f>IF($B31="","",IFERROR(INDEX('الوحدات'!$D:$D,MATCH($B31,'الوحدات'!$A:$A,0)),""))</f>
        <v>202</v>
      </c>
      <c r="F31" s="27" t="str">
        <f>IF($C31="","",IFERROR(INDEX('العملاء'!$B:$B,MATCH($C31,'العملاء'!$A:$A,0)),""))</f>
        <v>د/ نادر شريف شاكر</v>
      </c>
      <c r="G31" s="33">
        <v>45901</v>
      </c>
      <c r="H31" s="33">
        <v>46265</v>
      </c>
      <c r="I31" s="39">
        <v>16500</v>
      </c>
      <c r="J31">
        <v>0</v>
      </c>
      <c r="K31" t="s">
        <v>35</v>
      </c>
      <c r="L31" s="39">
        <v>0</v>
      </c>
      <c r="M31" t="s">
        <v>584</v>
      </c>
      <c r="N31">
        <v>1</v>
      </c>
      <c r="O31" t="s">
        <v>35</v>
      </c>
      <c r="P31" t="s">
        <v>35</v>
      </c>
      <c r="Q31">
        <v>32</v>
      </c>
      <c r="R31" t="s">
        <v>35</v>
      </c>
      <c r="S31" s="33"/>
      <c r="T31" s="27" t="str">
        <f>IF(NOT(AND(ISNUMBER($G31),ISNUMBER($H31))),"تواريخ غير صحيحة",IF(TODAY()&lt;$G31,"لم يبدأ",IF(TODAY()&gt;$H31,IF(IF($A31="",0,COUNTIF($O:$O,$A31))+IF($B31="",0,COUNTIFS($B:$B,$B31,$G:$G,"&gt;"&amp;$H31)-IF($G31&gt;$H31,1,0))&gt;0,"منتهٍ (أُجِّرت بعده)","منتهٍ"),"ساري")))</f>
        <v>منتهٍ</v>
      </c>
      <c r="U31" s="28">
        <f>IF($X31="","",IF($X31&gt;10,16500,INDEX($AD31:$AM31,1,$X31)))</f>
        <v>16500</v>
      </c>
      <c r="V31" s="28">
        <f>IF($A31="","",SUMIFS('المدفوعات'!$F:$F,'المدفوعات'!$B:$B,$A31))</f>
        <v>132000</v>
      </c>
      <c r="W31" s="35">
        <v>0</v>
      </c>
      <c r="X31" s="34">
        <f>IF(OR(NOT(ISNUMBER($G31)),NOT(ISNUMBER($H31)),$AA31=""),"",IF(TODAY()&lt;$G31,1,MIN($AA31,DATEDIF($G31,TODAY(),"y")+1)))</f>
        <v>1</v>
      </c>
      <c r="Y31" s="27" t="str">
        <f>IF($B31="","",IFERROR(INDEX('الوحدات'!$B:$B,MATCH($B31,'الوحدات'!$A:$A,0)),""))</f>
        <v>P03</v>
      </c>
      <c r="Z31" s="34">
        <f>IF(ISNUMBER($H31),$H31-TODAY(),"")</f>
        <v>-40</v>
      </c>
      <c r="AA31" s="34">
        <f>IF(AND(ISNUMBER($G31),ISNUMBER($H31)),IFERROR(DATEDIF($G31,$H31,"y")+1,""),"")</f>
        <v>1</v>
      </c>
      <c r="AB31" s="37" t="str">
        <f>IF(OR($X31="",$X31&gt;=$AA31),"",DATE(YEAR($G31)+$X31,MONTH($G31),DAY($G31)))</f>
        <v/>
      </c>
      <c r="AC31" s="28" t="str">
        <f>IF($AB31="","",IF($X31+1&gt;10,0,INDEX($AD31:$AM31,1,$X31+1)))</f>
        <v/>
      </c>
      <c r="AD31" s="28">
        <f>IF($AA31="","",IFERROR(VALUE(MID($AN31,SEARCH(";1:",$AN31)+3,SEARCH(";",$AN31,SEARCH(";1:",$AN31)+3)-SEARCH(";1:",$AN31)-3)),$I31))</f>
        <v>16500</v>
      </c>
      <c r="AE31" s="28" t="str">
        <f>IF(OR($AA31="",2&gt;$AA31),"",IFERROR(VALUE(MID($AN31,SEARCH(";2:",$AN31)+3,SEARCH(";",$AN31,SEARCH(";2:",$AN31)+3)-SEARCH(";2:",$AN31)-3)),ROUND($AD31*(1+$J31/100),0)))</f>
        <v/>
      </c>
      <c r="AF31" s="28" t="str">
        <f>IF(OR($AA31="",3&gt;$AA31),"",IFERROR(VALUE(MID($AN31,SEARCH(";3:",$AN31)+3,SEARCH(";",$AN31,SEARCH(";3:",$AN31)+3)-SEARCH(";3:",$AN31)-3)),ROUND($AE31*(1+$J31/100),0)))</f>
        <v/>
      </c>
      <c r="AG31" s="28" t="str">
        <f>IF(OR($AA31="",4&gt;$AA31),"",IFERROR(VALUE(MID($AN31,SEARCH(";4:",$AN31)+3,SEARCH(";",$AN31,SEARCH(";4:",$AN31)+3)-SEARCH(";4:",$AN31)-3)),ROUND($AF31*(1+$J31/100),0)))</f>
        <v/>
      </c>
      <c r="AH31" s="28" t="str">
        <f>IF(OR($AA31="",5&gt;$AA31),"",IFERROR(VALUE(MID($AN31,SEARCH(";5:",$AN31)+3,SEARCH(";",$AN31,SEARCH(";5:",$AN31)+3)-SEARCH(";5:",$AN31)-3)),ROUND($AG31*(1+$J31/100),0)))</f>
        <v/>
      </c>
      <c r="AI31" s="28" t="str">
        <f>IF(OR($AA31="",6&gt;$AA31),"",IFERROR(VALUE(MID($AN31,SEARCH(";6:",$AN31)+3,SEARCH(";",$AN31,SEARCH(";6:",$AN31)+3)-SEARCH(";6:",$AN31)-3)),ROUND($AH31*(1+$J31/100),0)))</f>
        <v/>
      </c>
      <c r="AJ31" s="28" t="str">
        <f>IF(OR($AA31="",7&gt;$AA31),"",IFERROR(VALUE(MID($AN31,SEARCH(";7:",$AN31)+3,SEARCH(";",$AN31,SEARCH(";7:",$AN31)+3)-SEARCH(";7:",$AN31)-3)),ROUND($AI31*(1+$J31/100),0)))</f>
        <v/>
      </c>
      <c r="AK31" s="28" t="str">
        <f>IF(OR($AA31="",8&gt;$AA31),"",IFERROR(VALUE(MID($AN31,SEARCH(";8:",$AN31)+3,SEARCH(";",$AN31,SEARCH(";8:",$AN31)+3)-SEARCH(";8:",$AN31)-3)),ROUND($AJ31*(1+$J31/100),0)))</f>
        <v/>
      </c>
      <c r="AL31" s="28" t="str">
        <f>IF(OR($AA31="",9&gt;$AA31),"",IFERROR(VALUE(MID($AN31,SEARCH(";9:",$AN31)+3,SEARCH(";",$AN31,SEARCH(";9:",$AN31)+3)-SEARCH(";9:",$AN31)-3)),ROUND($AK31*(1+$J31/100),0)))</f>
        <v/>
      </c>
      <c r="AM31" s="28" t="str">
        <f>IF(OR($AA31="",10&gt;$AA31),"",IFERROR(VALUE(MID($AN31,SEARCH(";10:",$AN31)+4,SEARCH(";",$AN31,SEARCH(";10:",$AN31)+4)-SEARCH(";10:",$AN31)-4)),ROUND($AL31*(1+$J31/100),0)))</f>
        <v/>
      </c>
      <c r="AN31" s="36" t="str">
        <f>";"&amp;SUBSTITUTE(SUBSTITUTE(SUBSTITUTE(SUBSTITUTE(SUBSTITUTE(SUBSTITUTE($K31," ",""),"،",";"),CHAR(10),";"),"=",":"),",",""),"٫",".")&amp;";"</f>
        <v>;;</v>
      </c>
      <c r="AO31" s="36" t="str">
        <f>IF($T31="ساري",$B31,"")</f>
        <v/>
      </c>
    </row>
    <row r="32" spans="1:41" x14ac:dyDescent="0.25">
      <c r="A32" t="s">
        <v>235</v>
      </c>
      <c r="B32" t="s">
        <v>236</v>
      </c>
      <c r="C32" t="s">
        <v>237</v>
      </c>
      <c r="D32" s="27" t="str">
        <f>IF($Y32="","",IFERROR(INDEX('المشاريع'!$B:$B,MATCH($Y32,'المشاريع'!$A:$A,0)),""))</f>
        <v>ابو بكر</v>
      </c>
      <c r="E32" s="27" t="str">
        <f>IF($B32="","",IFERROR(INDEX('الوحدات'!$D:$D,MATCH($B32,'الوحدات'!$A:$A,0)),""))</f>
        <v>204</v>
      </c>
      <c r="F32" s="27" t="str">
        <f>IF($C32="","",IFERROR(INDEX('العملاء'!$B:$B,MATCH($C32,'العملاء'!$A:$A,0)),""))</f>
        <v>د/ يوسف خالد الخولي</v>
      </c>
      <c r="G32" s="33">
        <v>45839</v>
      </c>
      <c r="H32" s="33">
        <v>46203</v>
      </c>
      <c r="I32" s="39">
        <v>12500</v>
      </c>
      <c r="J32">
        <v>0</v>
      </c>
      <c r="K32" t="s">
        <v>35</v>
      </c>
      <c r="L32" s="39">
        <v>0</v>
      </c>
      <c r="M32" t="s">
        <v>584</v>
      </c>
      <c r="N32">
        <v>1</v>
      </c>
      <c r="O32" t="s">
        <v>35</v>
      </c>
      <c r="P32" t="s">
        <v>35</v>
      </c>
      <c r="Q32">
        <v>33</v>
      </c>
      <c r="R32" t="s">
        <v>35</v>
      </c>
      <c r="S32" s="33"/>
      <c r="T32" s="27" t="str">
        <f>IF(NOT(AND(ISNUMBER($G32),ISNUMBER($H32))),"تواريخ غير صحيحة",IF(TODAY()&lt;$G32,"لم يبدأ",IF(TODAY()&gt;$H32,IF(IF($A32="",0,COUNTIF($O:$O,$A32))+IF($B32="",0,COUNTIFS($B:$B,$B32,$G:$G,"&gt;"&amp;$H32)-IF($G32&gt;$H32,1,0))&gt;0,"منتهٍ (أُجِّرت بعده)","منتهٍ"),"ساري")))</f>
        <v>منتهٍ (أُجِّرت بعده)</v>
      </c>
      <c r="U32" s="28">
        <f>IF($X32="","",IF($X32&gt;10,12500,INDEX($AD32:$AM32,1,$X32)))</f>
        <v>12500</v>
      </c>
      <c r="V32" s="28">
        <f>IF($A32="","",SUMIFS('المدفوعات'!$F:$F,'المدفوعات'!$B:$B,$A32))</f>
        <v>75000</v>
      </c>
      <c r="W32" s="35">
        <v>0</v>
      </c>
      <c r="X32" s="34">
        <f>IF(OR(NOT(ISNUMBER($G32)),NOT(ISNUMBER($H32)),$AA32=""),"",IF(TODAY()&lt;$G32,1,MIN($AA32,DATEDIF($G32,TODAY(),"y")+1)))</f>
        <v>1</v>
      </c>
      <c r="Y32" s="27" t="str">
        <f>IF($B32="","",IFERROR(INDEX('الوحدات'!$B:$B,MATCH($B32,'الوحدات'!$A:$A,0)),""))</f>
        <v>P03</v>
      </c>
      <c r="Z32" s="34">
        <f>IF(ISNUMBER($H32),$H32-TODAY(),"")</f>
        <v>-102</v>
      </c>
      <c r="AA32" s="34">
        <f>IF(AND(ISNUMBER($G32),ISNUMBER($H32)),IFERROR(DATEDIF($G32,$H32,"y")+1,""),"")</f>
        <v>1</v>
      </c>
      <c r="AB32" s="37" t="str">
        <f>IF(OR($X32="",$X32&gt;=$AA32),"",DATE(YEAR($G32)+$X32,MONTH($G32),DAY($G32)))</f>
        <v/>
      </c>
      <c r="AC32" s="28" t="str">
        <f>IF($AB32="","",IF($X32+1&gt;10,0,INDEX($AD32:$AM32,1,$X32+1)))</f>
        <v/>
      </c>
      <c r="AD32" s="28">
        <f>IF($AA32="","",IFERROR(VALUE(MID($AN32,SEARCH(";1:",$AN32)+3,SEARCH(";",$AN32,SEARCH(";1:",$AN32)+3)-SEARCH(";1:",$AN32)-3)),$I32))</f>
        <v>12500</v>
      </c>
      <c r="AE32" s="28" t="str">
        <f>IF(OR($AA32="",2&gt;$AA32),"",IFERROR(VALUE(MID($AN32,SEARCH(";2:",$AN32)+3,SEARCH(";",$AN32,SEARCH(";2:",$AN32)+3)-SEARCH(";2:",$AN32)-3)),ROUND($AD32*(1+$J32/100),0)))</f>
        <v/>
      </c>
      <c r="AF32" s="28" t="str">
        <f>IF(OR($AA32="",3&gt;$AA32),"",IFERROR(VALUE(MID($AN32,SEARCH(";3:",$AN32)+3,SEARCH(";",$AN32,SEARCH(";3:",$AN32)+3)-SEARCH(";3:",$AN32)-3)),ROUND($AE32*(1+$J32/100),0)))</f>
        <v/>
      </c>
      <c r="AG32" s="28" t="str">
        <f>IF(OR($AA32="",4&gt;$AA32),"",IFERROR(VALUE(MID($AN32,SEARCH(";4:",$AN32)+3,SEARCH(";",$AN32,SEARCH(";4:",$AN32)+3)-SEARCH(";4:",$AN32)-3)),ROUND($AF32*(1+$J32/100),0)))</f>
        <v/>
      </c>
      <c r="AH32" s="28" t="str">
        <f>IF(OR($AA32="",5&gt;$AA32),"",IFERROR(VALUE(MID($AN32,SEARCH(";5:",$AN32)+3,SEARCH(";",$AN32,SEARCH(";5:",$AN32)+3)-SEARCH(";5:",$AN32)-3)),ROUND($AG32*(1+$J32/100),0)))</f>
        <v/>
      </c>
      <c r="AI32" s="28" t="str">
        <f>IF(OR($AA32="",6&gt;$AA32),"",IFERROR(VALUE(MID($AN32,SEARCH(";6:",$AN32)+3,SEARCH(";",$AN32,SEARCH(";6:",$AN32)+3)-SEARCH(";6:",$AN32)-3)),ROUND($AH32*(1+$J32/100),0)))</f>
        <v/>
      </c>
      <c r="AJ32" s="28" t="str">
        <f>IF(OR($AA32="",7&gt;$AA32),"",IFERROR(VALUE(MID($AN32,SEARCH(";7:",$AN32)+3,SEARCH(";",$AN32,SEARCH(";7:",$AN32)+3)-SEARCH(";7:",$AN32)-3)),ROUND($AI32*(1+$J32/100),0)))</f>
        <v/>
      </c>
      <c r="AK32" s="28" t="str">
        <f>IF(OR($AA32="",8&gt;$AA32),"",IFERROR(VALUE(MID($AN32,SEARCH(";8:",$AN32)+3,SEARCH(";",$AN32,SEARCH(";8:",$AN32)+3)-SEARCH(";8:",$AN32)-3)),ROUND($AJ32*(1+$J32/100),0)))</f>
        <v/>
      </c>
      <c r="AL32" s="28" t="str">
        <f>IF(OR($AA32="",9&gt;$AA32),"",IFERROR(VALUE(MID($AN32,SEARCH(";9:",$AN32)+3,SEARCH(";",$AN32,SEARCH(";9:",$AN32)+3)-SEARCH(";9:",$AN32)-3)),ROUND($AK32*(1+$J32/100),0)))</f>
        <v/>
      </c>
      <c r="AM32" s="28" t="str">
        <f>IF(OR($AA32="",10&gt;$AA32),"",IFERROR(VALUE(MID($AN32,SEARCH(";10:",$AN32)+4,SEARCH(";",$AN32,SEARCH(";10:",$AN32)+4)-SEARCH(";10:",$AN32)-4)),ROUND($AL32*(1+$J32/100),0)))</f>
        <v/>
      </c>
      <c r="AN32" s="36" t="str">
        <f>";"&amp;SUBSTITUTE(SUBSTITUTE(SUBSTITUTE(SUBSTITUTE(SUBSTITUTE(SUBSTITUTE($K32," ",""),"،",";"),CHAR(10),";"),"=",":"),",",""),"٫",".")&amp;";"</f>
        <v>;;</v>
      </c>
      <c r="AO32" s="36" t="str">
        <f>IF($T32="ساري",$B32,"")</f>
        <v/>
      </c>
    </row>
    <row r="33" spans="1:41" x14ac:dyDescent="0.25">
      <c r="A33" t="s">
        <v>241</v>
      </c>
      <c r="B33" t="s">
        <v>236</v>
      </c>
      <c r="C33" t="s">
        <v>242</v>
      </c>
      <c r="D33" s="27" t="str">
        <f>IF($Y33="","",IFERROR(INDEX('المشاريع'!$B:$B,MATCH($Y33,'المشاريع'!$A:$A,0)),""))</f>
        <v>ابو بكر</v>
      </c>
      <c r="E33" s="27" t="str">
        <f>IF($B33="","",IFERROR(INDEX('الوحدات'!$D:$D,MATCH($B33,'الوحدات'!$A:$A,0)),""))</f>
        <v>204</v>
      </c>
      <c r="F33" s="27" t="str">
        <f>IF($C33="","",IFERROR(INDEX('العملاء'!$B:$B,MATCH($C33,'العملاء'!$A:$A,0)),""))</f>
        <v>د/ عمر باسم رزق</v>
      </c>
      <c r="G33" s="33">
        <v>46204</v>
      </c>
      <c r="H33" s="33">
        <v>46568</v>
      </c>
      <c r="I33" s="39">
        <v>14500</v>
      </c>
      <c r="J33">
        <v>0</v>
      </c>
      <c r="K33" t="s">
        <v>35</v>
      </c>
      <c r="L33" s="39">
        <v>0</v>
      </c>
      <c r="M33" t="s">
        <v>584</v>
      </c>
      <c r="N33">
        <v>1</v>
      </c>
      <c r="O33" t="s">
        <v>35</v>
      </c>
      <c r="P33" t="s">
        <v>35</v>
      </c>
      <c r="Q33">
        <v>34</v>
      </c>
      <c r="R33" t="s">
        <v>35</v>
      </c>
      <c r="S33" s="33"/>
      <c r="T33" s="27" t="str">
        <f>IF(NOT(AND(ISNUMBER($G33),ISNUMBER($H33))),"تواريخ غير صحيحة",IF(TODAY()&lt;$G33,"لم يبدأ",IF(TODAY()&gt;$H33,IF(IF($A33="",0,COUNTIF($O:$O,$A33))+IF($B33="",0,COUNTIFS($B:$B,$B33,$G:$G,"&gt;"&amp;$H33)-IF($G33&gt;$H33,1,0))&gt;0,"منتهٍ (أُجِّرت بعده)","منتهٍ"),"ساري")))</f>
        <v>ساري</v>
      </c>
      <c r="U33" s="28">
        <f>IF($X33="","",IF($X33&gt;10,14500,INDEX($AD33:$AM33,1,$X33)))</f>
        <v>14500</v>
      </c>
      <c r="V33" s="28">
        <f>IF($A33="","",SUMIFS('المدفوعات'!$F:$F,'المدفوعات'!$B:$B,$A33))</f>
        <v>29000</v>
      </c>
      <c r="W33" s="35">
        <v>0</v>
      </c>
      <c r="X33" s="34">
        <f>IF(OR(NOT(ISNUMBER($G33)),NOT(ISNUMBER($H33)),$AA33=""),"",IF(TODAY()&lt;$G33,1,MIN($AA33,DATEDIF($G33,TODAY(),"y")+1)))</f>
        <v>1</v>
      </c>
      <c r="Y33" s="27" t="str">
        <f>IF($B33="","",IFERROR(INDEX('الوحدات'!$B:$B,MATCH($B33,'الوحدات'!$A:$A,0)),""))</f>
        <v>P03</v>
      </c>
      <c r="Z33" s="34">
        <f>IF(ISNUMBER($H33),$H33-TODAY(),"")</f>
        <v>263</v>
      </c>
      <c r="AA33" s="34">
        <f>IF(AND(ISNUMBER($G33),ISNUMBER($H33)),IFERROR(DATEDIF($G33,$H33,"y")+1,""),"")</f>
        <v>1</v>
      </c>
      <c r="AB33" s="37" t="str">
        <f>IF(OR($X33="",$X33&gt;=$AA33),"",DATE(YEAR($G33)+$X33,MONTH($G33),DAY($G33)))</f>
        <v/>
      </c>
      <c r="AC33" s="28" t="str">
        <f>IF($AB33="","",IF($X33+1&gt;10,0,INDEX($AD33:$AM33,1,$X33+1)))</f>
        <v/>
      </c>
      <c r="AD33" s="28">
        <f>IF($AA33="","",IFERROR(VALUE(MID($AN33,SEARCH(";1:",$AN33)+3,SEARCH(";",$AN33,SEARCH(";1:",$AN33)+3)-SEARCH(";1:",$AN33)-3)),$I33))</f>
        <v>14500</v>
      </c>
      <c r="AE33" s="28" t="str">
        <f>IF(OR($AA33="",2&gt;$AA33),"",IFERROR(VALUE(MID($AN33,SEARCH(";2:",$AN33)+3,SEARCH(";",$AN33,SEARCH(";2:",$AN33)+3)-SEARCH(";2:",$AN33)-3)),ROUND($AD33*(1+$J33/100),0)))</f>
        <v/>
      </c>
      <c r="AF33" s="28" t="str">
        <f>IF(OR($AA33="",3&gt;$AA33),"",IFERROR(VALUE(MID($AN33,SEARCH(";3:",$AN33)+3,SEARCH(";",$AN33,SEARCH(";3:",$AN33)+3)-SEARCH(";3:",$AN33)-3)),ROUND($AE33*(1+$J33/100),0)))</f>
        <v/>
      </c>
      <c r="AG33" s="28" t="str">
        <f>IF(OR($AA33="",4&gt;$AA33),"",IFERROR(VALUE(MID($AN33,SEARCH(";4:",$AN33)+3,SEARCH(";",$AN33,SEARCH(";4:",$AN33)+3)-SEARCH(";4:",$AN33)-3)),ROUND($AF33*(1+$J33/100),0)))</f>
        <v/>
      </c>
      <c r="AH33" s="28" t="str">
        <f>IF(OR($AA33="",5&gt;$AA33),"",IFERROR(VALUE(MID($AN33,SEARCH(";5:",$AN33)+3,SEARCH(";",$AN33,SEARCH(";5:",$AN33)+3)-SEARCH(";5:",$AN33)-3)),ROUND($AG33*(1+$J33/100),0)))</f>
        <v/>
      </c>
      <c r="AI33" s="28" t="str">
        <f>IF(OR($AA33="",6&gt;$AA33),"",IFERROR(VALUE(MID($AN33,SEARCH(";6:",$AN33)+3,SEARCH(";",$AN33,SEARCH(";6:",$AN33)+3)-SEARCH(";6:",$AN33)-3)),ROUND($AH33*(1+$J33/100),0)))</f>
        <v/>
      </c>
      <c r="AJ33" s="28" t="str">
        <f>IF(OR($AA33="",7&gt;$AA33),"",IFERROR(VALUE(MID($AN33,SEARCH(";7:",$AN33)+3,SEARCH(";",$AN33,SEARCH(";7:",$AN33)+3)-SEARCH(";7:",$AN33)-3)),ROUND($AI33*(1+$J33/100),0)))</f>
        <v/>
      </c>
      <c r="AK33" s="28" t="str">
        <f>IF(OR($AA33="",8&gt;$AA33),"",IFERROR(VALUE(MID($AN33,SEARCH(";8:",$AN33)+3,SEARCH(";",$AN33,SEARCH(";8:",$AN33)+3)-SEARCH(";8:",$AN33)-3)),ROUND($AJ33*(1+$J33/100),0)))</f>
        <v/>
      </c>
      <c r="AL33" s="28" t="str">
        <f>IF(OR($AA33="",9&gt;$AA33),"",IFERROR(VALUE(MID($AN33,SEARCH(";9:",$AN33)+3,SEARCH(";",$AN33,SEARCH(";9:",$AN33)+3)-SEARCH(";9:",$AN33)-3)),ROUND($AK33*(1+$J33/100),0)))</f>
        <v/>
      </c>
      <c r="AM33" s="28" t="str">
        <f>IF(OR($AA33="",10&gt;$AA33),"",IFERROR(VALUE(MID($AN33,SEARCH(";10:",$AN33)+4,SEARCH(";",$AN33,SEARCH(";10:",$AN33)+4)-SEARCH(";10:",$AN33)-4)),ROUND($AL33*(1+$J33/100),0)))</f>
        <v/>
      </c>
      <c r="AN33" s="36" t="str">
        <f>";"&amp;SUBSTITUTE(SUBSTITUTE(SUBSTITUTE(SUBSTITUTE(SUBSTITUTE(SUBSTITUTE($K33," ",""),"،",";"),CHAR(10),";"),"=",":"),",",""),"٫",".")&amp;";"</f>
        <v>;;</v>
      </c>
      <c r="AO33" s="36" t="str">
        <f>IF($T33="ساري",$B33,"")</f>
        <v>P03-204</v>
      </c>
    </row>
    <row r="34" spans="1:41" x14ac:dyDescent="0.25">
      <c r="A34" t="s">
        <v>246</v>
      </c>
      <c r="B34" t="s">
        <v>247</v>
      </c>
      <c r="C34" t="s">
        <v>248</v>
      </c>
      <c r="D34" s="27" t="str">
        <f>IF($Y34="","",IFERROR(INDEX('المشاريع'!$B:$B,MATCH($Y34,'المشاريع'!$A:$A,0)),""))</f>
        <v>ابو بكر</v>
      </c>
      <c r="E34" s="27" t="str">
        <f>IF($B34="","",IFERROR(INDEX('الوحدات'!$D:$D,MATCH($B34,'الوحدات'!$A:$A,0)),""))</f>
        <v>205</v>
      </c>
      <c r="F34" s="27" t="str">
        <f>IF($C34="","",IFERROR(INDEX('العملاء'!$B:$B,MATCH($C34,'العملاء'!$A:$A,0)),""))</f>
        <v>أحمد عمرو سليم</v>
      </c>
      <c r="G34" s="33">
        <v>45977</v>
      </c>
      <c r="H34" s="33">
        <v>46341</v>
      </c>
      <c r="I34" s="39">
        <v>14000</v>
      </c>
      <c r="J34">
        <v>0</v>
      </c>
      <c r="K34" t="s">
        <v>35</v>
      </c>
      <c r="L34" s="39">
        <v>0</v>
      </c>
      <c r="M34" t="s">
        <v>584</v>
      </c>
      <c r="N34">
        <v>1</v>
      </c>
      <c r="O34" t="s">
        <v>35</v>
      </c>
      <c r="P34" t="s">
        <v>35</v>
      </c>
      <c r="Q34">
        <v>35</v>
      </c>
      <c r="R34" t="s">
        <v>35</v>
      </c>
      <c r="S34" s="33"/>
      <c r="T34" s="27" t="str">
        <f>IF(NOT(AND(ISNUMBER($G34),ISNUMBER($H34))),"تواريخ غير صحيحة",IF(TODAY()&lt;$G34,"لم يبدأ",IF(TODAY()&gt;$H34,IF(IF($A34="",0,COUNTIF($O:$O,$A34))+IF($B34="",0,COUNTIFS($B:$B,$B34,$G:$G,"&gt;"&amp;$H34)-IF($G34&gt;$H34,1,0))&gt;0,"منتهٍ (أُجِّرت بعده)","منتهٍ"),"ساري")))</f>
        <v>ساري</v>
      </c>
      <c r="U34" s="28">
        <f>IF($X34="","",IF($X34&gt;10,14000,INDEX($AD34:$AM34,1,$X34)))</f>
        <v>14000</v>
      </c>
      <c r="V34" s="28">
        <f>IF($A34="","",SUMIFS('المدفوعات'!$F:$F,'المدفوعات'!$B:$B,$A34))</f>
        <v>112000</v>
      </c>
      <c r="W34" s="35">
        <v>0</v>
      </c>
      <c r="X34" s="34">
        <f>IF(OR(NOT(ISNUMBER($G34)),NOT(ISNUMBER($H34)),$AA34=""),"",IF(TODAY()&lt;$G34,1,MIN($AA34,DATEDIF($G34,TODAY(),"y")+1)))</f>
        <v>1</v>
      </c>
      <c r="Y34" s="27" t="str">
        <f>IF($B34="","",IFERROR(INDEX('الوحدات'!$B:$B,MATCH($B34,'الوحدات'!$A:$A,0)),""))</f>
        <v>P03</v>
      </c>
      <c r="Z34" s="34">
        <f>IF(ISNUMBER($H34),$H34-TODAY(),"")</f>
        <v>36</v>
      </c>
      <c r="AA34" s="34">
        <f>IF(AND(ISNUMBER($G34),ISNUMBER($H34)),IFERROR(DATEDIF($G34,$H34,"y")+1,""),"")</f>
        <v>1</v>
      </c>
      <c r="AB34" s="37" t="str">
        <f>IF(OR($X34="",$X34&gt;=$AA34),"",DATE(YEAR($G34)+$X34,MONTH($G34),DAY($G34)))</f>
        <v/>
      </c>
      <c r="AC34" s="28" t="str">
        <f>IF($AB34="","",IF($X34+1&gt;10,0,INDEX($AD34:$AM34,1,$X34+1)))</f>
        <v/>
      </c>
      <c r="AD34" s="28">
        <f>IF($AA34="","",IFERROR(VALUE(MID($AN34,SEARCH(";1:",$AN34)+3,SEARCH(";",$AN34,SEARCH(";1:",$AN34)+3)-SEARCH(";1:",$AN34)-3)),$I34))</f>
        <v>14000</v>
      </c>
      <c r="AE34" s="28" t="str">
        <f>IF(OR($AA34="",2&gt;$AA34),"",IFERROR(VALUE(MID($AN34,SEARCH(";2:",$AN34)+3,SEARCH(";",$AN34,SEARCH(";2:",$AN34)+3)-SEARCH(";2:",$AN34)-3)),ROUND($AD34*(1+$J34/100),0)))</f>
        <v/>
      </c>
      <c r="AF34" s="28" t="str">
        <f>IF(OR($AA34="",3&gt;$AA34),"",IFERROR(VALUE(MID($AN34,SEARCH(";3:",$AN34)+3,SEARCH(";",$AN34,SEARCH(";3:",$AN34)+3)-SEARCH(";3:",$AN34)-3)),ROUND($AE34*(1+$J34/100),0)))</f>
        <v/>
      </c>
      <c r="AG34" s="28" t="str">
        <f>IF(OR($AA34="",4&gt;$AA34),"",IFERROR(VALUE(MID($AN34,SEARCH(";4:",$AN34)+3,SEARCH(";",$AN34,SEARCH(";4:",$AN34)+3)-SEARCH(";4:",$AN34)-3)),ROUND($AF34*(1+$J34/100),0)))</f>
        <v/>
      </c>
      <c r="AH34" s="28" t="str">
        <f>IF(OR($AA34="",5&gt;$AA34),"",IFERROR(VALUE(MID($AN34,SEARCH(";5:",$AN34)+3,SEARCH(";",$AN34,SEARCH(";5:",$AN34)+3)-SEARCH(";5:",$AN34)-3)),ROUND($AG34*(1+$J34/100),0)))</f>
        <v/>
      </c>
      <c r="AI34" s="28" t="str">
        <f>IF(OR($AA34="",6&gt;$AA34),"",IFERROR(VALUE(MID($AN34,SEARCH(";6:",$AN34)+3,SEARCH(";",$AN34,SEARCH(";6:",$AN34)+3)-SEARCH(";6:",$AN34)-3)),ROUND($AH34*(1+$J34/100),0)))</f>
        <v/>
      </c>
      <c r="AJ34" s="28" t="str">
        <f>IF(OR($AA34="",7&gt;$AA34),"",IFERROR(VALUE(MID($AN34,SEARCH(";7:",$AN34)+3,SEARCH(";",$AN34,SEARCH(";7:",$AN34)+3)-SEARCH(";7:",$AN34)-3)),ROUND($AI34*(1+$J34/100),0)))</f>
        <v/>
      </c>
      <c r="AK34" s="28" t="str">
        <f>IF(OR($AA34="",8&gt;$AA34),"",IFERROR(VALUE(MID($AN34,SEARCH(";8:",$AN34)+3,SEARCH(";",$AN34,SEARCH(";8:",$AN34)+3)-SEARCH(";8:",$AN34)-3)),ROUND($AJ34*(1+$J34/100),0)))</f>
        <v/>
      </c>
      <c r="AL34" s="28" t="str">
        <f>IF(OR($AA34="",9&gt;$AA34),"",IFERROR(VALUE(MID($AN34,SEARCH(";9:",$AN34)+3,SEARCH(";",$AN34,SEARCH(";9:",$AN34)+3)-SEARCH(";9:",$AN34)-3)),ROUND($AK34*(1+$J34/100),0)))</f>
        <v/>
      </c>
      <c r="AM34" s="28" t="str">
        <f>IF(OR($AA34="",10&gt;$AA34),"",IFERROR(VALUE(MID($AN34,SEARCH(";10:",$AN34)+4,SEARCH(";",$AN34,SEARCH(";10:",$AN34)+4)-SEARCH(";10:",$AN34)-4)),ROUND($AL34*(1+$J34/100),0)))</f>
        <v/>
      </c>
      <c r="AN34" s="36" t="str">
        <f>";"&amp;SUBSTITUTE(SUBSTITUTE(SUBSTITUTE(SUBSTITUTE(SUBSTITUTE(SUBSTITUTE($K34," ",""),"،",";"),CHAR(10),";"),"=",":"),",",""),"٫",".")&amp;";"</f>
        <v>;;</v>
      </c>
      <c r="AO34" s="36" t="str">
        <f>IF($T34="ساري",$B34,"")</f>
        <v>P03-205</v>
      </c>
    </row>
    <row r="35" spans="1:41" x14ac:dyDescent="0.25">
      <c r="A35" t="s">
        <v>253</v>
      </c>
      <c r="B35" t="s">
        <v>254</v>
      </c>
      <c r="C35" t="s">
        <v>255</v>
      </c>
      <c r="D35" s="27" t="str">
        <f>IF($Y35="","",IFERROR(INDEX('المشاريع'!$B:$B,MATCH($Y35,'المشاريع'!$A:$A,0)),""))</f>
        <v>ابو بكر</v>
      </c>
      <c r="E35" s="27" t="str">
        <f>IF($B35="","",IFERROR(INDEX('الوحدات'!$D:$D,MATCH($B35,'الوحدات'!$A:$A,0)),""))</f>
        <v>206</v>
      </c>
      <c r="F35" s="27" t="str">
        <f>IF($C35="","",IFERROR(INDEX('العملاء'!$B:$B,MATCH($C35,'العملاء'!$A:$A,0)),""))</f>
        <v>شركة النخبة للتجارة</v>
      </c>
      <c r="G35" s="33">
        <v>45901</v>
      </c>
      <c r="H35" s="33">
        <v>46264</v>
      </c>
      <c r="I35" s="39">
        <v>16500</v>
      </c>
      <c r="J35">
        <v>0</v>
      </c>
      <c r="K35" t="s">
        <v>35</v>
      </c>
      <c r="L35" s="39">
        <v>0</v>
      </c>
      <c r="M35" t="s">
        <v>584</v>
      </c>
      <c r="N35">
        <v>1</v>
      </c>
      <c r="O35" t="s">
        <v>35</v>
      </c>
      <c r="P35" t="s">
        <v>35</v>
      </c>
      <c r="Q35">
        <v>36</v>
      </c>
      <c r="R35" t="s">
        <v>35</v>
      </c>
      <c r="S35" s="33"/>
      <c r="T35" s="27" t="str">
        <f>IF(NOT(AND(ISNUMBER($G35),ISNUMBER($H35))),"تواريخ غير صحيحة",IF(TODAY()&lt;$G35,"لم يبدأ",IF(TODAY()&gt;$H35,IF(IF($A35="",0,COUNTIF($O:$O,$A35))+IF($B35="",0,COUNTIFS($B:$B,$B35,$G:$G,"&gt;"&amp;$H35)-IF($G35&gt;$H35,1,0))&gt;0,"منتهٍ (أُجِّرت بعده)","منتهٍ"),"ساري")))</f>
        <v>منتهٍ</v>
      </c>
      <c r="U35" s="28">
        <f>IF($X35="","",IF($X35&gt;10,16500,INDEX($AD35:$AM35,1,$X35)))</f>
        <v>16500</v>
      </c>
      <c r="V35" s="28">
        <f>IF($A35="","",SUMIFS('المدفوعات'!$F:$F,'المدفوعات'!$B:$B,$A35))</f>
        <v>132000</v>
      </c>
      <c r="W35" s="35">
        <v>0</v>
      </c>
      <c r="X35" s="34">
        <f>IF(OR(NOT(ISNUMBER($G35)),NOT(ISNUMBER($H35)),$AA35=""),"",IF(TODAY()&lt;$G35,1,MIN($AA35,DATEDIF($G35,TODAY(),"y")+1)))</f>
        <v>1</v>
      </c>
      <c r="Y35" s="27" t="str">
        <f>IF($B35="","",IFERROR(INDEX('الوحدات'!$B:$B,MATCH($B35,'الوحدات'!$A:$A,0)),""))</f>
        <v>P03</v>
      </c>
      <c r="Z35" s="34">
        <f>IF(ISNUMBER($H35),$H35-TODAY(),"")</f>
        <v>-41</v>
      </c>
      <c r="AA35" s="34">
        <f>IF(AND(ISNUMBER($G35),ISNUMBER($H35)),IFERROR(DATEDIF($G35,$H35,"y")+1,""),"")</f>
        <v>1</v>
      </c>
      <c r="AB35" s="37" t="str">
        <f>IF(OR($X35="",$X35&gt;=$AA35),"",DATE(YEAR($G35)+$X35,MONTH($G35),DAY($G35)))</f>
        <v/>
      </c>
      <c r="AC35" s="28" t="str">
        <f>IF($AB35="","",IF($X35+1&gt;10,0,INDEX($AD35:$AM35,1,$X35+1)))</f>
        <v/>
      </c>
      <c r="AD35" s="28">
        <f>IF($AA35="","",IFERROR(VALUE(MID($AN35,SEARCH(";1:",$AN35)+3,SEARCH(";",$AN35,SEARCH(";1:",$AN35)+3)-SEARCH(";1:",$AN35)-3)),$I35))</f>
        <v>16500</v>
      </c>
      <c r="AE35" s="28" t="str">
        <f>IF(OR($AA35="",2&gt;$AA35),"",IFERROR(VALUE(MID($AN35,SEARCH(";2:",$AN35)+3,SEARCH(";",$AN35,SEARCH(";2:",$AN35)+3)-SEARCH(";2:",$AN35)-3)),ROUND($AD35*(1+$J35/100),0)))</f>
        <v/>
      </c>
      <c r="AF35" s="28" t="str">
        <f>IF(OR($AA35="",3&gt;$AA35),"",IFERROR(VALUE(MID($AN35,SEARCH(";3:",$AN35)+3,SEARCH(";",$AN35,SEARCH(";3:",$AN35)+3)-SEARCH(";3:",$AN35)-3)),ROUND($AE35*(1+$J35/100),0)))</f>
        <v/>
      </c>
      <c r="AG35" s="28" t="str">
        <f>IF(OR($AA35="",4&gt;$AA35),"",IFERROR(VALUE(MID($AN35,SEARCH(";4:",$AN35)+3,SEARCH(";",$AN35,SEARCH(";4:",$AN35)+3)-SEARCH(";4:",$AN35)-3)),ROUND($AF35*(1+$J35/100),0)))</f>
        <v/>
      </c>
      <c r="AH35" s="28" t="str">
        <f>IF(OR($AA35="",5&gt;$AA35),"",IFERROR(VALUE(MID($AN35,SEARCH(";5:",$AN35)+3,SEARCH(";",$AN35,SEARCH(";5:",$AN35)+3)-SEARCH(";5:",$AN35)-3)),ROUND($AG35*(1+$J35/100),0)))</f>
        <v/>
      </c>
      <c r="AI35" s="28" t="str">
        <f>IF(OR($AA35="",6&gt;$AA35),"",IFERROR(VALUE(MID($AN35,SEARCH(";6:",$AN35)+3,SEARCH(";",$AN35,SEARCH(";6:",$AN35)+3)-SEARCH(";6:",$AN35)-3)),ROUND($AH35*(1+$J35/100),0)))</f>
        <v/>
      </c>
      <c r="AJ35" s="28" t="str">
        <f>IF(OR($AA35="",7&gt;$AA35),"",IFERROR(VALUE(MID($AN35,SEARCH(";7:",$AN35)+3,SEARCH(";",$AN35,SEARCH(";7:",$AN35)+3)-SEARCH(";7:",$AN35)-3)),ROUND($AI35*(1+$J35/100),0)))</f>
        <v/>
      </c>
      <c r="AK35" s="28" t="str">
        <f>IF(OR($AA35="",8&gt;$AA35),"",IFERROR(VALUE(MID($AN35,SEARCH(";8:",$AN35)+3,SEARCH(";",$AN35,SEARCH(";8:",$AN35)+3)-SEARCH(";8:",$AN35)-3)),ROUND($AJ35*(1+$J35/100),0)))</f>
        <v/>
      </c>
      <c r="AL35" s="28" t="str">
        <f>IF(OR($AA35="",9&gt;$AA35),"",IFERROR(VALUE(MID($AN35,SEARCH(";9:",$AN35)+3,SEARCH(";",$AN35,SEARCH(";9:",$AN35)+3)-SEARCH(";9:",$AN35)-3)),ROUND($AK35*(1+$J35/100),0)))</f>
        <v/>
      </c>
      <c r="AM35" s="28" t="str">
        <f>IF(OR($AA35="",10&gt;$AA35),"",IFERROR(VALUE(MID($AN35,SEARCH(";10:",$AN35)+4,SEARCH(";",$AN35,SEARCH(";10:",$AN35)+4)-SEARCH(";10:",$AN35)-4)),ROUND($AL35*(1+$J35/100),0)))</f>
        <v/>
      </c>
      <c r="AN35" s="36" t="str">
        <f>";"&amp;SUBSTITUTE(SUBSTITUTE(SUBSTITUTE(SUBSTITUTE(SUBSTITUTE(SUBSTITUTE($K35," ",""),"،",";"),CHAR(10),";"),"=",":"),",",""),"٫",".")&amp;";"</f>
        <v>;;</v>
      </c>
      <c r="AO35" s="36" t="str">
        <f>IF($T35="ساري",$B35,"")</f>
        <v/>
      </c>
    </row>
    <row r="36" spans="1:41" x14ac:dyDescent="0.25">
      <c r="A36" t="s">
        <v>260</v>
      </c>
      <c r="B36" t="s">
        <v>261</v>
      </c>
      <c r="C36" t="s">
        <v>262</v>
      </c>
      <c r="D36" s="27" t="str">
        <f>IF($Y36="","",IFERROR(INDEX('المشاريع'!$B:$B,MATCH($Y36,'المشاريع'!$A:$A,0)),""))</f>
        <v>ابو بكر</v>
      </c>
      <c r="E36" s="27" t="str">
        <f>IF($B36="","",IFERROR(INDEX('الوحدات'!$D:$D,MATCH($B36,'الوحدات'!$A:$A,0)),""))</f>
        <v>207</v>
      </c>
      <c r="F36" s="27" t="str">
        <f>IF($C36="","",IFERROR(INDEX('العملاء'!$B:$B,MATCH($C36,'العملاء'!$A:$A,0)),""))</f>
        <v>د/ رنا هشام رزق</v>
      </c>
      <c r="G36" s="33">
        <v>46143</v>
      </c>
      <c r="H36" s="33">
        <v>46507</v>
      </c>
      <c r="I36" s="39">
        <v>20000</v>
      </c>
      <c r="J36">
        <v>0</v>
      </c>
      <c r="K36" t="s">
        <v>35</v>
      </c>
      <c r="L36" s="39">
        <v>0</v>
      </c>
      <c r="M36" t="s">
        <v>584</v>
      </c>
      <c r="N36">
        <v>1</v>
      </c>
      <c r="O36" t="s">
        <v>35</v>
      </c>
      <c r="P36" t="s">
        <v>35</v>
      </c>
      <c r="Q36">
        <v>37</v>
      </c>
      <c r="R36" t="s">
        <v>35</v>
      </c>
      <c r="S36" s="33"/>
      <c r="T36" s="27" t="str">
        <f>IF(NOT(AND(ISNUMBER($G36),ISNUMBER($H36))),"تواريخ غير صحيحة",IF(TODAY()&lt;$G36,"لم يبدأ",IF(TODAY()&gt;$H36,IF(IF($A36="",0,COUNTIF($O:$O,$A36))+IF($B36="",0,COUNTIFS($B:$B,$B36,$G:$G,"&gt;"&amp;$H36)-IF($G36&gt;$H36,1,0))&gt;0,"منتهٍ (أُجِّرت بعده)","منتهٍ"),"ساري")))</f>
        <v>ساري</v>
      </c>
      <c r="U36" s="28">
        <f>IF($X36="","",IF($X36&gt;10,20000,INDEX($AD36:$AM36,1,$X36)))</f>
        <v>20000</v>
      </c>
      <c r="V36" s="28">
        <f>IF($A36="","",SUMIFS('المدفوعات'!$F:$F,'المدفوعات'!$B:$B,$A36))</f>
        <v>80000</v>
      </c>
      <c r="W36" s="35">
        <v>0</v>
      </c>
      <c r="X36" s="34">
        <f>IF(OR(NOT(ISNUMBER($G36)),NOT(ISNUMBER($H36)),$AA36=""),"",IF(TODAY()&lt;$G36,1,MIN($AA36,DATEDIF($G36,TODAY(),"y")+1)))</f>
        <v>1</v>
      </c>
      <c r="Y36" s="27" t="str">
        <f>IF($B36="","",IFERROR(INDEX('الوحدات'!$B:$B,MATCH($B36,'الوحدات'!$A:$A,0)),""))</f>
        <v>P03</v>
      </c>
      <c r="Z36" s="34">
        <f>IF(ISNUMBER($H36),$H36-TODAY(),"")</f>
        <v>202</v>
      </c>
      <c r="AA36" s="34">
        <f>IF(AND(ISNUMBER($G36),ISNUMBER($H36)),IFERROR(DATEDIF($G36,$H36,"y")+1,""),"")</f>
        <v>1</v>
      </c>
      <c r="AB36" s="37" t="str">
        <f>IF(OR($X36="",$X36&gt;=$AA36),"",DATE(YEAR($G36)+$X36,MONTH($G36),DAY($G36)))</f>
        <v/>
      </c>
      <c r="AC36" s="28" t="str">
        <f>IF($AB36="","",IF($X36+1&gt;10,0,INDEX($AD36:$AM36,1,$X36+1)))</f>
        <v/>
      </c>
      <c r="AD36" s="28">
        <f>IF($AA36="","",IFERROR(VALUE(MID($AN36,SEARCH(";1:",$AN36)+3,SEARCH(";",$AN36,SEARCH(";1:",$AN36)+3)-SEARCH(";1:",$AN36)-3)),$I36))</f>
        <v>20000</v>
      </c>
      <c r="AE36" s="28" t="str">
        <f>IF(OR($AA36="",2&gt;$AA36),"",IFERROR(VALUE(MID($AN36,SEARCH(";2:",$AN36)+3,SEARCH(";",$AN36,SEARCH(";2:",$AN36)+3)-SEARCH(";2:",$AN36)-3)),ROUND($AD36*(1+$J36/100),0)))</f>
        <v/>
      </c>
      <c r="AF36" s="28" t="str">
        <f>IF(OR($AA36="",3&gt;$AA36),"",IFERROR(VALUE(MID($AN36,SEARCH(";3:",$AN36)+3,SEARCH(";",$AN36,SEARCH(";3:",$AN36)+3)-SEARCH(";3:",$AN36)-3)),ROUND($AE36*(1+$J36/100),0)))</f>
        <v/>
      </c>
      <c r="AG36" s="28" t="str">
        <f>IF(OR($AA36="",4&gt;$AA36),"",IFERROR(VALUE(MID($AN36,SEARCH(";4:",$AN36)+3,SEARCH(";",$AN36,SEARCH(";4:",$AN36)+3)-SEARCH(";4:",$AN36)-3)),ROUND($AF36*(1+$J36/100),0)))</f>
        <v/>
      </c>
      <c r="AH36" s="28" t="str">
        <f>IF(OR($AA36="",5&gt;$AA36),"",IFERROR(VALUE(MID($AN36,SEARCH(";5:",$AN36)+3,SEARCH(";",$AN36,SEARCH(";5:",$AN36)+3)-SEARCH(";5:",$AN36)-3)),ROUND($AG36*(1+$J36/100),0)))</f>
        <v/>
      </c>
      <c r="AI36" s="28" t="str">
        <f>IF(OR($AA36="",6&gt;$AA36),"",IFERROR(VALUE(MID($AN36,SEARCH(";6:",$AN36)+3,SEARCH(";",$AN36,SEARCH(";6:",$AN36)+3)-SEARCH(";6:",$AN36)-3)),ROUND($AH36*(1+$J36/100),0)))</f>
        <v/>
      </c>
      <c r="AJ36" s="28" t="str">
        <f>IF(OR($AA36="",7&gt;$AA36),"",IFERROR(VALUE(MID($AN36,SEARCH(";7:",$AN36)+3,SEARCH(";",$AN36,SEARCH(";7:",$AN36)+3)-SEARCH(";7:",$AN36)-3)),ROUND($AI36*(1+$J36/100),0)))</f>
        <v/>
      </c>
      <c r="AK36" s="28" t="str">
        <f>IF(OR($AA36="",8&gt;$AA36),"",IFERROR(VALUE(MID($AN36,SEARCH(";8:",$AN36)+3,SEARCH(";",$AN36,SEARCH(";8:",$AN36)+3)-SEARCH(";8:",$AN36)-3)),ROUND($AJ36*(1+$J36/100),0)))</f>
        <v/>
      </c>
      <c r="AL36" s="28" t="str">
        <f>IF(OR($AA36="",9&gt;$AA36),"",IFERROR(VALUE(MID($AN36,SEARCH(";9:",$AN36)+3,SEARCH(";",$AN36,SEARCH(";9:",$AN36)+3)-SEARCH(";9:",$AN36)-3)),ROUND($AK36*(1+$J36/100),0)))</f>
        <v/>
      </c>
      <c r="AM36" s="28" t="str">
        <f>IF(OR($AA36="",10&gt;$AA36),"",IFERROR(VALUE(MID($AN36,SEARCH(";10:",$AN36)+4,SEARCH(";",$AN36,SEARCH(";10:",$AN36)+4)-SEARCH(";10:",$AN36)-4)),ROUND($AL36*(1+$J36/100),0)))</f>
        <v/>
      </c>
      <c r="AN36" s="36" t="str">
        <f>";"&amp;SUBSTITUTE(SUBSTITUTE(SUBSTITUTE(SUBSTITUTE(SUBSTITUTE(SUBSTITUTE($K36," ",""),"،",";"),CHAR(10),";"),"=",":"),",",""),"٫",".")&amp;";"</f>
        <v>;;</v>
      </c>
      <c r="AO36" s="36" t="str">
        <f>IF($T36="ساري",$B36,"")</f>
        <v>P03-207</v>
      </c>
    </row>
    <row r="37" spans="1:41" x14ac:dyDescent="0.25">
      <c r="A37" t="s">
        <v>268</v>
      </c>
      <c r="B37" t="s">
        <v>269</v>
      </c>
      <c r="C37" t="s">
        <v>270</v>
      </c>
      <c r="D37" s="27" t="str">
        <f>IF($Y37="","",IFERROR(INDEX('المشاريع'!$B:$B,MATCH($Y37,'المشاريع'!$A:$A,0)),""))</f>
        <v>ابو بكر</v>
      </c>
      <c r="E37" s="27" t="str">
        <f>IF($B37="","",IFERROR(INDEX('الوحدات'!$D:$D,MATCH($B37,'الوحدات'!$A:$A,0)),""))</f>
        <v>208</v>
      </c>
      <c r="F37" s="27" t="str">
        <f>IF($C37="","",IFERROR(INDEX('العملاء'!$B:$B,MATCH($C37,'العملاء'!$A:$A,0)),""))</f>
        <v>شركة النخبة للإنتاج الفني</v>
      </c>
      <c r="G37" s="33">
        <v>45383</v>
      </c>
      <c r="H37" s="33">
        <v>46477</v>
      </c>
      <c r="I37" s="39">
        <v>17500</v>
      </c>
      <c r="J37">
        <v>10</v>
      </c>
      <c r="K37" t="s">
        <v>600</v>
      </c>
      <c r="L37" s="39">
        <v>0</v>
      </c>
      <c r="M37" t="s">
        <v>584</v>
      </c>
      <c r="N37">
        <v>1</v>
      </c>
      <c r="O37" t="s">
        <v>35</v>
      </c>
      <c r="P37" t="s">
        <v>35</v>
      </c>
      <c r="Q37">
        <v>38</v>
      </c>
      <c r="R37" t="s">
        <v>35</v>
      </c>
      <c r="S37" s="33"/>
      <c r="T37" s="27" t="str">
        <f>IF(NOT(AND(ISNUMBER($G37),ISNUMBER($H37))),"تواريخ غير صحيحة",IF(TODAY()&lt;$G37,"لم يبدأ",IF(TODAY()&gt;$H37,IF(IF($A37="",0,COUNTIF($O:$O,$A37))+IF($B37="",0,COUNTIFS($B:$B,$B37,$G:$G,"&gt;"&amp;$H37)-IF($G37&gt;$H37,1,0))&gt;0,"منتهٍ (أُجِّرت بعده)","منتهٍ"),"ساري")))</f>
        <v>ساري</v>
      </c>
      <c r="U37" s="28">
        <f>IF($X37="","",IF($X37&gt;10,21175,INDEX($AD37:$AM37,1,$X37)))</f>
        <v>21175</v>
      </c>
      <c r="V37" s="28">
        <f>IF($A37="","",SUMIFS('المدفوعات'!$F:$F,'المدفوعات'!$B:$B,$A37))</f>
        <v>163625</v>
      </c>
      <c r="W37" s="35">
        <v>0</v>
      </c>
      <c r="X37" s="34">
        <f>IF(OR(NOT(ISNUMBER($G37)),NOT(ISNUMBER($H37)),$AA37=""),"",IF(TODAY()&lt;$G37,1,MIN($AA37,DATEDIF($G37,TODAY(),"y")+1)))</f>
        <v>3</v>
      </c>
      <c r="Y37" s="27" t="str">
        <f>IF($B37="","",IFERROR(INDEX('الوحدات'!$B:$B,MATCH($B37,'الوحدات'!$A:$A,0)),""))</f>
        <v>P03</v>
      </c>
      <c r="Z37" s="34">
        <f>IF(ISNUMBER($H37),$H37-TODAY(),"")</f>
        <v>172</v>
      </c>
      <c r="AA37" s="34">
        <f>IF(AND(ISNUMBER($G37),ISNUMBER($H37)),IFERROR(DATEDIF($G37,$H37,"y")+1,""),"")</f>
        <v>3</v>
      </c>
      <c r="AB37" s="37" t="str">
        <f>IF(OR($X37="",$X37&gt;=$AA37),"",DATE(YEAR($G37)+$X37,MONTH($G37),DAY($G37)))</f>
        <v/>
      </c>
      <c r="AC37" s="28" t="str">
        <f>IF($AB37="","",IF($X37+1&gt;10,0,INDEX($AD37:$AM37,1,$X37+1)))</f>
        <v/>
      </c>
      <c r="AD37" s="28">
        <f>IF($AA37="","",IFERROR(VALUE(MID($AN37,SEARCH(";1:",$AN37)+3,SEARCH(";",$AN37,SEARCH(";1:",$AN37)+3)-SEARCH(";1:",$AN37)-3)),$I37))</f>
        <v>17500</v>
      </c>
      <c r="AE37" s="28">
        <f>IF(OR($AA37="",2&gt;$AA37),"",IFERROR(VALUE(MID($AN37,SEARCH(";2:",$AN37)+3,SEARCH(";",$AN37,SEARCH(";2:",$AN37)+3)-SEARCH(";2:",$AN37)-3)),ROUND($AD37*(1+$J37/100),0)))</f>
        <v>19250</v>
      </c>
      <c r="AF37" s="28">
        <f>IF(OR($AA37="",3&gt;$AA37),"",IFERROR(VALUE(MID($AN37,SEARCH(";3:",$AN37)+3,SEARCH(";",$AN37,SEARCH(";3:",$AN37)+3)-SEARCH(";3:",$AN37)-3)),ROUND($AE37*(1+$J37/100),0)))</f>
        <v>21175</v>
      </c>
      <c r="AG37" s="28" t="str">
        <f>IF(OR($AA37="",4&gt;$AA37),"",IFERROR(VALUE(MID($AN37,SEARCH(";4:",$AN37)+3,SEARCH(";",$AN37,SEARCH(";4:",$AN37)+3)-SEARCH(";4:",$AN37)-3)),ROUND($AF37*(1+$J37/100),0)))</f>
        <v/>
      </c>
      <c r="AH37" s="28" t="str">
        <f>IF(OR($AA37="",5&gt;$AA37),"",IFERROR(VALUE(MID($AN37,SEARCH(";5:",$AN37)+3,SEARCH(";",$AN37,SEARCH(";5:",$AN37)+3)-SEARCH(";5:",$AN37)-3)),ROUND($AG37*(1+$J37/100),0)))</f>
        <v/>
      </c>
      <c r="AI37" s="28" t="str">
        <f>IF(OR($AA37="",6&gt;$AA37),"",IFERROR(VALUE(MID($AN37,SEARCH(";6:",$AN37)+3,SEARCH(";",$AN37,SEARCH(";6:",$AN37)+3)-SEARCH(";6:",$AN37)-3)),ROUND($AH37*(1+$J37/100),0)))</f>
        <v/>
      </c>
      <c r="AJ37" s="28" t="str">
        <f>IF(OR($AA37="",7&gt;$AA37),"",IFERROR(VALUE(MID($AN37,SEARCH(";7:",$AN37)+3,SEARCH(";",$AN37,SEARCH(";7:",$AN37)+3)-SEARCH(";7:",$AN37)-3)),ROUND($AI37*(1+$J37/100),0)))</f>
        <v/>
      </c>
      <c r="AK37" s="28" t="str">
        <f>IF(OR($AA37="",8&gt;$AA37),"",IFERROR(VALUE(MID($AN37,SEARCH(";8:",$AN37)+3,SEARCH(";",$AN37,SEARCH(";8:",$AN37)+3)-SEARCH(";8:",$AN37)-3)),ROUND($AJ37*(1+$J37/100),0)))</f>
        <v/>
      </c>
      <c r="AL37" s="28" t="str">
        <f>IF(OR($AA37="",9&gt;$AA37),"",IFERROR(VALUE(MID($AN37,SEARCH(";9:",$AN37)+3,SEARCH(";",$AN37,SEARCH(";9:",$AN37)+3)-SEARCH(";9:",$AN37)-3)),ROUND($AK37*(1+$J37/100),0)))</f>
        <v/>
      </c>
      <c r="AM37" s="28" t="str">
        <f>IF(OR($AA37="",10&gt;$AA37),"",IFERROR(VALUE(MID($AN37,SEARCH(";10:",$AN37)+4,SEARCH(";",$AN37,SEARCH(";10:",$AN37)+4)-SEARCH(";10:",$AN37)-4)),ROUND($AL37*(1+$J37/100),0)))</f>
        <v/>
      </c>
      <c r="AN37" s="36" t="str">
        <f>";"&amp;SUBSTITUTE(SUBSTITUTE(SUBSTITUTE(SUBSTITUTE(SUBSTITUTE(SUBSTITUTE($K37," ",""),"،",";"),CHAR(10),";"),"=",":"),",",""),"٫",".")&amp;";"</f>
        <v>;2:19250;3:21175;</v>
      </c>
      <c r="AO37" s="36" t="str">
        <f>IF($T37="ساري",$B37,"")</f>
        <v>P03-208</v>
      </c>
    </row>
    <row r="38" spans="1:41" x14ac:dyDescent="0.25">
      <c r="A38" t="s">
        <v>273</v>
      </c>
      <c r="B38" t="s">
        <v>274</v>
      </c>
      <c r="C38" t="s">
        <v>275</v>
      </c>
      <c r="D38" s="27" t="str">
        <f>IF($Y38="","",IFERROR(INDEX('المشاريع'!$B:$B,MATCH($Y38,'المشاريع'!$A:$A,0)),""))</f>
        <v>ابو بكر</v>
      </c>
      <c r="E38" s="27" t="str">
        <f>IF($B38="","",IFERROR(INDEX('الوحدات'!$D:$D,MATCH($B38,'الوحدات'!$A:$A,0)),""))</f>
        <v>301</v>
      </c>
      <c r="F38" s="27" t="str">
        <f>IF($C38="","",IFERROR(INDEX('العملاء'!$B:$B,MATCH($C38,'العملاء'!$A:$A,0)),""))</f>
        <v>أحمد طارق غانم</v>
      </c>
      <c r="G38" s="33">
        <v>45920</v>
      </c>
      <c r="H38" s="33">
        <v>46284</v>
      </c>
      <c r="I38" s="39">
        <v>17000</v>
      </c>
      <c r="J38">
        <v>0</v>
      </c>
      <c r="K38" t="s">
        <v>35</v>
      </c>
      <c r="L38" s="39">
        <v>0</v>
      </c>
      <c r="M38" t="s">
        <v>584</v>
      </c>
      <c r="N38">
        <v>1</v>
      </c>
      <c r="O38" t="s">
        <v>35</v>
      </c>
      <c r="P38" t="s">
        <v>35</v>
      </c>
      <c r="Q38">
        <v>39</v>
      </c>
      <c r="R38" t="s">
        <v>35</v>
      </c>
      <c r="S38" s="33"/>
      <c r="T38" s="27" t="str">
        <f>IF(NOT(AND(ISNUMBER($G38),ISNUMBER($H38))),"تواريخ غير صحيحة",IF(TODAY()&lt;$G38,"لم يبدأ",IF(TODAY()&gt;$H38,IF(IF($A38="",0,COUNTIF($O:$O,$A38))+IF($B38="",0,COUNTIFS($B:$B,$B38,$G:$G,"&gt;"&amp;$H38)-IF($G38&gt;$H38,1,0))&gt;0,"منتهٍ (أُجِّرت بعده)","منتهٍ"),"ساري")))</f>
        <v>منتهٍ</v>
      </c>
      <c r="U38" s="28">
        <f>IF($X38="","",IF($X38&gt;10,17000,INDEX($AD38:$AM38,1,$X38)))</f>
        <v>17000</v>
      </c>
      <c r="V38" s="28">
        <f>IF($A38="","",SUMIFS('المدفوعات'!$F:$F,'المدفوعات'!$B:$B,$A38))</f>
        <v>85000</v>
      </c>
      <c r="W38" s="35">
        <v>51000</v>
      </c>
      <c r="X38" s="34">
        <f>IF(OR(NOT(ISNUMBER($G38)),NOT(ISNUMBER($H38)),$AA38=""),"",IF(TODAY()&lt;$G38,1,MIN($AA38,DATEDIF($G38,TODAY(),"y")+1)))</f>
        <v>1</v>
      </c>
      <c r="Y38" s="27" t="str">
        <f>IF($B38="","",IFERROR(INDEX('الوحدات'!$B:$B,MATCH($B38,'الوحدات'!$A:$A,0)),""))</f>
        <v>P03</v>
      </c>
      <c r="Z38" s="34">
        <f>IF(ISNUMBER($H38),$H38-TODAY(),"")</f>
        <v>-21</v>
      </c>
      <c r="AA38" s="34">
        <f>IF(AND(ISNUMBER($G38),ISNUMBER($H38)),IFERROR(DATEDIF($G38,$H38,"y")+1,""),"")</f>
        <v>1</v>
      </c>
      <c r="AB38" s="37" t="str">
        <f>IF(OR($X38="",$X38&gt;=$AA38),"",DATE(YEAR($G38)+$X38,MONTH($G38),DAY($G38)))</f>
        <v/>
      </c>
      <c r="AC38" s="28" t="str">
        <f>IF($AB38="","",IF($X38+1&gt;10,0,INDEX($AD38:$AM38,1,$X38+1)))</f>
        <v/>
      </c>
      <c r="AD38" s="28">
        <f>IF($AA38="","",IFERROR(VALUE(MID($AN38,SEARCH(";1:",$AN38)+3,SEARCH(";",$AN38,SEARCH(";1:",$AN38)+3)-SEARCH(";1:",$AN38)-3)),$I38))</f>
        <v>17000</v>
      </c>
      <c r="AE38" s="28" t="str">
        <f>IF(OR($AA38="",2&gt;$AA38),"",IFERROR(VALUE(MID($AN38,SEARCH(";2:",$AN38)+3,SEARCH(";",$AN38,SEARCH(";2:",$AN38)+3)-SEARCH(";2:",$AN38)-3)),ROUND($AD38*(1+$J38/100),0)))</f>
        <v/>
      </c>
      <c r="AF38" s="28" t="str">
        <f>IF(OR($AA38="",3&gt;$AA38),"",IFERROR(VALUE(MID($AN38,SEARCH(";3:",$AN38)+3,SEARCH(";",$AN38,SEARCH(";3:",$AN38)+3)-SEARCH(";3:",$AN38)-3)),ROUND($AE38*(1+$J38/100),0)))</f>
        <v/>
      </c>
      <c r="AG38" s="28" t="str">
        <f>IF(OR($AA38="",4&gt;$AA38),"",IFERROR(VALUE(MID($AN38,SEARCH(";4:",$AN38)+3,SEARCH(";",$AN38,SEARCH(";4:",$AN38)+3)-SEARCH(";4:",$AN38)-3)),ROUND($AF38*(1+$J38/100),0)))</f>
        <v/>
      </c>
      <c r="AH38" s="28" t="str">
        <f>IF(OR($AA38="",5&gt;$AA38),"",IFERROR(VALUE(MID($AN38,SEARCH(";5:",$AN38)+3,SEARCH(";",$AN38,SEARCH(";5:",$AN38)+3)-SEARCH(";5:",$AN38)-3)),ROUND($AG38*(1+$J38/100),0)))</f>
        <v/>
      </c>
      <c r="AI38" s="28" t="str">
        <f>IF(OR($AA38="",6&gt;$AA38),"",IFERROR(VALUE(MID($AN38,SEARCH(";6:",$AN38)+3,SEARCH(";",$AN38,SEARCH(";6:",$AN38)+3)-SEARCH(";6:",$AN38)-3)),ROUND($AH38*(1+$J38/100),0)))</f>
        <v/>
      </c>
      <c r="AJ38" s="28" t="str">
        <f>IF(OR($AA38="",7&gt;$AA38),"",IFERROR(VALUE(MID($AN38,SEARCH(";7:",$AN38)+3,SEARCH(";",$AN38,SEARCH(";7:",$AN38)+3)-SEARCH(";7:",$AN38)-3)),ROUND($AI38*(1+$J38/100),0)))</f>
        <v/>
      </c>
      <c r="AK38" s="28" t="str">
        <f>IF(OR($AA38="",8&gt;$AA38),"",IFERROR(VALUE(MID($AN38,SEARCH(";8:",$AN38)+3,SEARCH(";",$AN38,SEARCH(";8:",$AN38)+3)-SEARCH(";8:",$AN38)-3)),ROUND($AJ38*(1+$J38/100),0)))</f>
        <v/>
      </c>
      <c r="AL38" s="28" t="str">
        <f>IF(OR($AA38="",9&gt;$AA38),"",IFERROR(VALUE(MID($AN38,SEARCH(";9:",$AN38)+3,SEARCH(";",$AN38,SEARCH(";9:",$AN38)+3)-SEARCH(";9:",$AN38)-3)),ROUND($AK38*(1+$J38/100),0)))</f>
        <v/>
      </c>
      <c r="AM38" s="28" t="str">
        <f>IF(OR($AA38="",10&gt;$AA38),"",IFERROR(VALUE(MID($AN38,SEARCH(";10:",$AN38)+4,SEARCH(";",$AN38,SEARCH(";10:",$AN38)+4)-SEARCH(";10:",$AN38)-4)),ROUND($AL38*(1+$J38/100),0)))</f>
        <v/>
      </c>
      <c r="AN38" s="36" t="str">
        <f>";"&amp;SUBSTITUTE(SUBSTITUTE(SUBSTITUTE(SUBSTITUTE(SUBSTITUTE(SUBSTITUTE($K38," ",""),"،",";"),CHAR(10),";"),"=",":"),",",""),"٫",".")&amp;";"</f>
        <v>;;</v>
      </c>
      <c r="AO38" s="36" t="str">
        <f>IF($T38="ساري",$B38,"")</f>
        <v/>
      </c>
    </row>
    <row r="39" spans="1:41" x14ac:dyDescent="0.25">
      <c r="A39" t="s">
        <v>279</v>
      </c>
      <c r="B39" t="s">
        <v>280</v>
      </c>
      <c r="C39" t="s">
        <v>281</v>
      </c>
      <c r="D39" s="27" t="str">
        <f>IF($Y39="","",IFERROR(INDEX('المشاريع'!$B:$B,MATCH($Y39,'المشاريع'!$A:$A,0)),""))</f>
        <v>ابو بكر</v>
      </c>
      <c r="E39" s="27" t="str">
        <f>IF($B39="","",IFERROR(INDEX('الوحدات'!$D:$D,MATCH($B39,'الوحدات'!$A:$A,0)),""))</f>
        <v>302</v>
      </c>
      <c r="F39" s="27" t="str">
        <f>IF($C39="","",IFERROR(INDEX('العملاء'!$B:$B,MATCH($C39,'العملاء'!$A:$A,0)),""))</f>
        <v>خالد شريف زكي</v>
      </c>
      <c r="G39" s="33">
        <v>45916</v>
      </c>
      <c r="H39" s="33">
        <v>46280</v>
      </c>
      <c r="I39" s="39">
        <v>17000</v>
      </c>
      <c r="J39">
        <v>0</v>
      </c>
      <c r="K39" t="s">
        <v>35</v>
      </c>
      <c r="L39" s="39">
        <v>0</v>
      </c>
      <c r="M39" t="s">
        <v>584</v>
      </c>
      <c r="N39">
        <v>1</v>
      </c>
      <c r="O39" t="s">
        <v>35</v>
      </c>
      <c r="P39" t="s">
        <v>35</v>
      </c>
      <c r="Q39">
        <v>40</v>
      </c>
      <c r="R39" t="s">
        <v>35</v>
      </c>
      <c r="S39" s="33"/>
      <c r="T39" s="27" t="str">
        <f>IF(NOT(AND(ISNUMBER($G39),ISNUMBER($H39))),"تواريخ غير صحيحة",IF(TODAY()&lt;$G39,"لم يبدأ",IF(TODAY()&gt;$H39,IF(IF($A39="",0,COUNTIF($O:$O,$A39))+IF($B39="",0,COUNTIFS($B:$B,$B39,$G:$G,"&gt;"&amp;$H39)-IF($G39&gt;$H39,1,0))&gt;0,"منتهٍ (أُجِّرت بعده)","منتهٍ"),"ساري")))</f>
        <v>منتهٍ</v>
      </c>
      <c r="U39" s="28">
        <f>IF($X39="","",IF($X39&gt;10,17000,INDEX($AD39:$AM39,1,$X39)))</f>
        <v>17000</v>
      </c>
      <c r="V39" s="28">
        <f>IF($A39="","",SUMIFS('المدفوعات'!$F:$F,'المدفوعات'!$B:$B,$A39))</f>
        <v>136000</v>
      </c>
      <c r="W39" s="35">
        <v>0</v>
      </c>
      <c r="X39" s="34">
        <f>IF(OR(NOT(ISNUMBER($G39)),NOT(ISNUMBER($H39)),$AA39=""),"",IF(TODAY()&lt;$G39,1,MIN($AA39,DATEDIF($G39,TODAY(),"y")+1)))</f>
        <v>1</v>
      </c>
      <c r="Y39" s="27" t="str">
        <f>IF($B39="","",IFERROR(INDEX('الوحدات'!$B:$B,MATCH($B39,'الوحدات'!$A:$A,0)),""))</f>
        <v>P03</v>
      </c>
      <c r="Z39" s="34">
        <f>IF(ISNUMBER($H39),$H39-TODAY(),"")</f>
        <v>-25</v>
      </c>
      <c r="AA39" s="34">
        <f>IF(AND(ISNUMBER($G39),ISNUMBER($H39)),IFERROR(DATEDIF($G39,$H39,"y")+1,""),"")</f>
        <v>1</v>
      </c>
      <c r="AB39" s="37" t="str">
        <f>IF(OR($X39="",$X39&gt;=$AA39),"",DATE(YEAR($G39)+$X39,MONTH($G39),DAY($G39)))</f>
        <v/>
      </c>
      <c r="AC39" s="28" t="str">
        <f>IF($AB39="","",IF($X39+1&gt;10,0,INDEX($AD39:$AM39,1,$X39+1)))</f>
        <v/>
      </c>
      <c r="AD39" s="28">
        <f>IF($AA39="","",IFERROR(VALUE(MID($AN39,SEARCH(";1:",$AN39)+3,SEARCH(";",$AN39,SEARCH(";1:",$AN39)+3)-SEARCH(";1:",$AN39)-3)),$I39))</f>
        <v>17000</v>
      </c>
      <c r="AE39" s="28" t="str">
        <f>IF(OR($AA39="",2&gt;$AA39),"",IFERROR(VALUE(MID($AN39,SEARCH(";2:",$AN39)+3,SEARCH(";",$AN39,SEARCH(";2:",$AN39)+3)-SEARCH(";2:",$AN39)-3)),ROUND($AD39*(1+$J39/100),0)))</f>
        <v/>
      </c>
      <c r="AF39" s="28" t="str">
        <f>IF(OR($AA39="",3&gt;$AA39),"",IFERROR(VALUE(MID($AN39,SEARCH(";3:",$AN39)+3,SEARCH(";",$AN39,SEARCH(";3:",$AN39)+3)-SEARCH(";3:",$AN39)-3)),ROUND($AE39*(1+$J39/100),0)))</f>
        <v/>
      </c>
      <c r="AG39" s="28" t="str">
        <f>IF(OR($AA39="",4&gt;$AA39),"",IFERROR(VALUE(MID($AN39,SEARCH(";4:",$AN39)+3,SEARCH(";",$AN39,SEARCH(";4:",$AN39)+3)-SEARCH(";4:",$AN39)-3)),ROUND($AF39*(1+$J39/100),0)))</f>
        <v/>
      </c>
      <c r="AH39" s="28" t="str">
        <f>IF(OR($AA39="",5&gt;$AA39),"",IFERROR(VALUE(MID($AN39,SEARCH(";5:",$AN39)+3,SEARCH(";",$AN39,SEARCH(";5:",$AN39)+3)-SEARCH(";5:",$AN39)-3)),ROUND($AG39*(1+$J39/100),0)))</f>
        <v/>
      </c>
      <c r="AI39" s="28" t="str">
        <f>IF(OR($AA39="",6&gt;$AA39),"",IFERROR(VALUE(MID($AN39,SEARCH(";6:",$AN39)+3,SEARCH(";",$AN39,SEARCH(";6:",$AN39)+3)-SEARCH(";6:",$AN39)-3)),ROUND($AH39*(1+$J39/100),0)))</f>
        <v/>
      </c>
      <c r="AJ39" s="28" t="str">
        <f>IF(OR($AA39="",7&gt;$AA39),"",IFERROR(VALUE(MID($AN39,SEARCH(";7:",$AN39)+3,SEARCH(";",$AN39,SEARCH(";7:",$AN39)+3)-SEARCH(";7:",$AN39)-3)),ROUND($AI39*(1+$J39/100),0)))</f>
        <v/>
      </c>
      <c r="AK39" s="28" t="str">
        <f>IF(OR($AA39="",8&gt;$AA39),"",IFERROR(VALUE(MID($AN39,SEARCH(";8:",$AN39)+3,SEARCH(";",$AN39,SEARCH(";8:",$AN39)+3)-SEARCH(";8:",$AN39)-3)),ROUND($AJ39*(1+$J39/100),0)))</f>
        <v/>
      </c>
      <c r="AL39" s="28" t="str">
        <f>IF(OR($AA39="",9&gt;$AA39),"",IFERROR(VALUE(MID($AN39,SEARCH(";9:",$AN39)+3,SEARCH(";",$AN39,SEARCH(";9:",$AN39)+3)-SEARCH(";9:",$AN39)-3)),ROUND($AK39*(1+$J39/100),0)))</f>
        <v/>
      </c>
      <c r="AM39" s="28" t="str">
        <f>IF(OR($AA39="",10&gt;$AA39),"",IFERROR(VALUE(MID($AN39,SEARCH(";10:",$AN39)+4,SEARCH(";",$AN39,SEARCH(";10:",$AN39)+4)-SEARCH(";10:",$AN39)-4)),ROUND($AL39*(1+$J39/100),0)))</f>
        <v/>
      </c>
      <c r="AN39" s="36" t="str">
        <f>";"&amp;SUBSTITUTE(SUBSTITUTE(SUBSTITUTE(SUBSTITUTE(SUBSTITUTE(SUBSTITUTE($K39," ",""),"،",";"),CHAR(10),";"),"=",":"),",",""),"٫",".")&amp;";"</f>
        <v>;;</v>
      </c>
      <c r="AO39" s="36" t="str">
        <f>IF($T39="ساري",$B39,"")</f>
        <v/>
      </c>
    </row>
    <row r="40" spans="1:41" x14ac:dyDescent="0.25">
      <c r="A40" t="s">
        <v>282</v>
      </c>
      <c r="B40" t="s">
        <v>283</v>
      </c>
      <c r="C40" t="s">
        <v>185</v>
      </c>
      <c r="D40" s="27" t="str">
        <f>IF($Y40="","",IFERROR(INDEX('المشاريع'!$B:$B,MATCH($Y40,'المشاريع'!$A:$A,0)),""))</f>
        <v>ابو بكر</v>
      </c>
      <c r="E40" s="27" t="str">
        <f>IF($B40="","",IFERROR(INDEX('الوحدات'!$D:$D,MATCH($B40,'الوحدات'!$A:$A,0)),""))</f>
        <v>303</v>
      </c>
      <c r="F40" s="27" t="str">
        <f>IF($C40="","",IFERROR(INDEX('العملاء'!$B:$B,MATCH($C40,'العملاء'!$A:$A,0)),""))</f>
        <v>عادل عمر مكرم</v>
      </c>
      <c r="G40" s="33">
        <v>46054</v>
      </c>
      <c r="H40" s="33">
        <v>46418</v>
      </c>
      <c r="I40" s="39">
        <v>19000</v>
      </c>
      <c r="J40">
        <v>0</v>
      </c>
      <c r="K40" t="s">
        <v>35</v>
      </c>
      <c r="L40" s="39">
        <v>0</v>
      </c>
      <c r="M40" t="s">
        <v>584</v>
      </c>
      <c r="N40">
        <v>1</v>
      </c>
      <c r="O40" t="s">
        <v>35</v>
      </c>
      <c r="P40" t="s">
        <v>35</v>
      </c>
      <c r="Q40">
        <v>41</v>
      </c>
      <c r="R40" t="s">
        <v>35</v>
      </c>
      <c r="S40" s="33"/>
      <c r="T40" s="27" t="str">
        <f>IF(NOT(AND(ISNUMBER($G40),ISNUMBER($H40))),"تواريخ غير صحيحة",IF(TODAY()&lt;$G40,"لم يبدأ",IF(TODAY()&gt;$H40,IF(IF($A40="",0,COUNTIF($O:$O,$A40))+IF($B40="",0,COUNTIFS($B:$B,$B40,$G:$G,"&gt;"&amp;$H40)-IF($G40&gt;$H40,1,0))&gt;0,"منتهٍ (أُجِّرت بعده)","منتهٍ"),"ساري")))</f>
        <v>ساري</v>
      </c>
      <c r="U40" s="28">
        <f>IF($X40="","",IF($X40&gt;10,19000,INDEX($AD40:$AM40,1,$X40)))</f>
        <v>19000</v>
      </c>
      <c r="V40" s="28">
        <f>IF($A40="","",SUMIFS('المدفوعات'!$F:$F,'المدفوعات'!$B:$B,$A40))</f>
        <v>133000</v>
      </c>
      <c r="W40" s="35">
        <v>0</v>
      </c>
      <c r="X40" s="34">
        <f>IF(OR(NOT(ISNUMBER($G40)),NOT(ISNUMBER($H40)),$AA40=""),"",IF(TODAY()&lt;$G40,1,MIN($AA40,DATEDIF($G40,TODAY(),"y")+1)))</f>
        <v>1</v>
      </c>
      <c r="Y40" s="27" t="str">
        <f>IF($B40="","",IFERROR(INDEX('الوحدات'!$B:$B,MATCH($B40,'الوحدات'!$A:$A,0)),""))</f>
        <v>P03</v>
      </c>
      <c r="Z40" s="34">
        <f>IF(ISNUMBER($H40),$H40-TODAY(),"")</f>
        <v>113</v>
      </c>
      <c r="AA40" s="34">
        <f>IF(AND(ISNUMBER($G40),ISNUMBER($H40)),IFERROR(DATEDIF($G40,$H40,"y")+1,""),"")</f>
        <v>1</v>
      </c>
      <c r="AB40" s="37" t="str">
        <f>IF(OR($X40="",$X40&gt;=$AA40),"",DATE(YEAR($G40)+$X40,MONTH($G40),DAY($G40)))</f>
        <v/>
      </c>
      <c r="AC40" s="28" t="str">
        <f>IF($AB40="","",IF($X40+1&gt;10,0,INDEX($AD40:$AM40,1,$X40+1)))</f>
        <v/>
      </c>
      <c r="AD40" s="28">
        <f>IF($AA40="","",IFERROR(VALUE(MID($AN40,SEARCH(";1:",$AN40)+3,SEARCH(";",$AN40,SEARCH(";1:",$AN40)+3)-SEARCH(";1:",$AN40)-3)),$I40))</f>
        <v>19000</v>
      </c>
      <c r="AE40" s="28" t="str">
        <f>IF(OR($AA40="",2&gt;$AA40),"",IFERROR(VALUE(MID($AN40,SEARCH(";2:",$AN40)+3,SEARCH(";",$AN40,SEARCH(";2:",$AN40)+3)-SEARCH(";2:",$AN40)-3)),ROUND($AD40*(1+$J40/100),0)))</f>
        <v/>
      </c>
      <c r="AF40" s="28" t="str">
        <f>IF(OR($AA40="",3&gt;$AA40),"",IFERROR(VALUE(MID($AN40,SEARCH(";3:",$AN40)+3,SEARCH(";",$AN40,SEARCH(";3:",$AN40)+3)-SEARCH(";3:",$AN40)-3)),ROUND($AE40*(1+$J40/100),0)))</f>
        <v/>
      </c>
      <c r="AG40" s="28" t="str">
        <f>IF(OR($AA40="",4&gt;$AA40),"",IFERROR(VALUE(MID($AN40,SEARCH(";4:",$AN40)+3,SEARCH(";",$AN40,SEARCH(";4:",$AN40)+3)-SEARCH(";4:",$AN40)-3)),ROUND($AF40*(1+$J40/100),0)))</f>
        <v/>
      </c>
      <c r="AH40" s="28" t="str">
        <f>IF(OR($AA40="",5&gt;$AA40),"",IFERROR(VALUE(MID($AN40,SEARCH(";5:",$AN40)+3,SEARCH(";",$AN40,SEARCH(";5:",$AN40)+3)-SEARCH(";5:",$AN40)-3)),ROUND($AG40*(1+$J40/100),0)))</f>
        <v/>
      </c>
      <c r="AI40" s="28" t="str">
        <f>IF(OR($AA40="",6&gt;$AA40),"",IFERROR(VALUE(MID($AN40,SEARCH(";6:",$AN40)+3,SEARCH(";",$AN40,SEARCH(";6:",$AN40)+3)-SEARCH(";6:",$AN40)-3)),ROUND($AH40*(1+$J40/100),0)))</f>
        <v/>
      </c>
      <c r="AJ40" s="28" t="str">
        <f>IF(OR($AA40="",7&gt;$AA40),"",IFERROR(VALUE(MID($AN40,SEARCH(";7:",$AN40)+3,SEARCH(";",$AN40,SEARCH(";7:",$AN40)+3)-SEARCH(";7:",$AN40)-3)),ROUND($AI40*(1+$J40/100),0)))</f>
        <v/>
      </c>
      <c r="AK40" s="28" t="str">
        <f>IF(OR($AA40="",8&gt;$AA40),"",IFERROR(VALUE(MID($AN40,SEARCH(";8:",$AN40)+3,SEARCH(";",$AN40,SEARCH(";8:",$AN40)+3)-SEARCH(";8:",$AN40)-3)),ROUND($AJ40*(1+$J40/100),0)))</f>
        <v/>
      </c>
      <c r="AL40" s="28" t="str">
        <f>IF(OR($AA40="",9&gt;$AA40),"",IFERROR(VALUE(MID($AN40,SEARCH(";9:",$AN40)+3,SEARCH(";",$AN40,SEARCH(";9:",$AN40)+3)-SEARCH(";9:",$AN40)-3)),ROUND($AK40*(1+$J40/100),0)))</f>
        <v/>
      </c>
      <c r="AM40" s="28" t="str">
        <f>IF(OR($AA40="",10&gt;$AA40),"",IFERROR(VALUE(MID($AN40,SEARCH(";10:",$AN40)+4,SEARCH(";",$AN40,SEARCH(";10:",$AN40)+4)-SEARCH(";10:",$AN40)-4)),ROUND($AL40*(1+$J40/100),0)))</f>
        <v/>
      </c>
      <c r="AN40" s="36" t="str">
        <f>";"&amp;SUBSTITUTE(SUBSTITUTE(SUBSTITUTE(SUBSTITUTE(SUBSTITUTE(SUBSTITUTE($K40," ",""),"،",";"),CHAR(10),";"),"=",":"),",",""),"٫",".")&amp;";"</f>
        <v>;;</v>
      </c>
      <c r="AO40" s="36" t="str">
        <f>IF($T40="ساري",$B40,"")</f>
        <v>P03-303</v>
      </c>
    </row>
    <row r="41" spans="1:41" x14ac:dyDescent="0.25">
      <c r="A41" t="s">
        <v>286</v>
      </c>
      <c r="B41" t="s">
        <v>287</v>
      </c>
      <c r="C41" t="s">
        <v>288</v>
      </c>
      <c r="D41" s="27" t="str">
        <f>IF($Y41="","",IFERROR(INDEX('المشاريع'!$B:$B,MATCH($Y41,'المشاريع'!$A:$A,0)),""))</f>
        <v>ابو بكر</v>
      </c>
      <c r="E41" s="27" t="str">
        <f>IF($B41="","",IFERROR(INDEX('الوحدات'!$D:$D,MATCH($B41,'الوحدات'!$A:$A,0)),""))</f>
        <v>304</v>
      </c>
      <c r="F41" s="27" t="str">
        <f>IF($C41="","",IFERROR(INDEX('العملاء'!$B:$B,MATCH($C41,'العملاء'!$A:$A,0)),""))</f>
        <v>مصطفى عمر صبري</v>
      </c>
      <c r="G41" s="33">
        <v>44968</v>
      </c>
      <c r="H41" s="33">
        <v>46063</v>
      </c>
      <c r="I41" s="39">
        <v>7565</v>
      </c>
      <c r="J41">
        <v>0</v>
      </c>
      <c r="K41" t="s">
        <v>601</v>
      </c>
      <c r="L41" s="39">
        <v>0</v>
      </c>
      <c r="M41" t="s">
        <v>584</v>
      </c>
      <c r="N41">
        <v>1</v>
      </c>
      <c r="O41" t="s">
        <v>35</v>
      </c>
      <c r="P41" t="s">
        <v>35</v>
      </c>
      <c r="Q41">
        <v>42</v>
      </c>
      <c r="R41" t="s">
        <v>35</v>
      </c>
      <c r="S41" s="33"/>
      <c r="T41" s="27" t="str">
        <f>IF(NOT(AND(ISNUMBER($G41),ISNUMBER($H41))),"تواريخ غير صحيحة",IF(TODAY()&lt;$G41,"لم يبدأ",IF(TODAY()&gt;$H41,IF(IF($A41="",0,COUNTIF($O:$O,$A41))+IF($B41="",0,COUNTIFS($B:$B,$B41,$G:$G,"&gt;"&amp;$H41)-IF($G41&gt;$H41,1,0))&gt;0,"منتهٍ (أُجِّرت بعده)","منتهٍ"),"ساري")))</f>
        <v>منتهٍ (أُجِّرت بعده)</v>
      </c>
      <c r="U41" s="28">
        <f>IF($X41="","",IF($X41&gt;10,7565,INDEX($AD41:$AM41,1,$X41)))</f>
        <v>7565</v>
      </c>
      <c r="V41" s="28">
        <f>IF($A41="","",SUMIFS('المدفوعات'!$F:$F,'المدفوعات'!$B:$B,$A41))</f>
        <v>7565</v>
      </c>
      <c r="W41" s="35">
        <v>2522</v>
      </c>
      <c r="X41" s="34">
        <f>IF(OR(NOT(ISNUMBER($G41)),NOT(ISNUMBER($H41)),$AA41=""),"",IF(TODAY()&lt;$G41,1,MIN($AA41,DATEDIF($G41,TODAY(),"y")+1)))</f>
        <v>3</v>
      </c>
      <c r="Y41" s="27" t="str">
        <f>IF($B41="","",IFERROR(INDEX('الوحدات'!$B:$B,MATCH($B41,'الوحدات'!$A:$A,0)),""))</f>
        <v>P03</v>
      </c>
      <c r="Z41" s="34">
        <f>IF(ISNUMBER($H41),$H41-TODAY(),"")</f>
        <v>-242</v>
      </c>
      <c r="AA41" s="34">
        <f>IF(AND(ISNUMBER($G41),ISNUMBER($H41)),IFERROR(DATEDIF($G41,$H41,"y")+1,""),"")</f>
        <v>3</v>
      </c>
      <c r="AB41" s="37" t="str">
        <f>IF(OR($X41="",$X41&gt;=$AA41),"",DATE(YEAR($G41)+$X41,MONTH($G41),DAY($G41)))</f>
        <v/>
      </c>
      <c r="AC41" s="28" t="str">
        <f>IF($AB41="","",IF($X41+1&gt;10,0,INDEX($AD41:$AM41,1,$X41+1)))</f>
        <v/>
      </c>
      <c r="AD41" s="28">
        <f>IF($AA41="","",IFERROR(VALUE(MID($AN41,SEARCH(";1:",$AN41)+3,SEARCH(";",$AN41,SEARCH(";1:",$AN41)+3)-SEARCH(";1:",$AN41)-3)),$I41))</f>
        <v>7565</v>
      </c>
      <c r="AE41" s="28">
        <f>IF(OR($AA41="",2&gt;$AA41),"",IFERROR(VALUE(MID($AN41,SEARCH(";2:",$AN41)+3,SEARCH(";",$AN41,SEARCH(";2:",$AN41)+3)-SEARCH(";2:",$AN41)-3)),ROUND($AD41*(1+$J41/100),0)))</f>
        <v>7565</v>
      </c>
      <c r="AF41" s="28">
        <f>IF(OR($AA41="",3&gt;$AA41),"",IFERROR(VALUE(MID($AN41,SEARCH(";3:",$AN41)+3,SEARCH(";",$AN41,SEARCH(";3:",$AN41)+3)-SEARCH(";3:",$AN41)-3)),ROUND($AE41*(1+$J41/100),0)))</f>
        <v>7565</v>
      </c>
      <c r="AG41" s="28" t="str">
        <f>IF(OR($AA41="",4&gt;$AA41),"",IFERROR(VALUE(MID($AN41,SEARCH(";4:",$AN41)+3,SEARCH(";",$AN41,SEARCH(";4:",$AN41)+3)-SEARCH(";4:",$AN41)-3)),ROUND($AF41*(1+$J41/100),0)))</f>
        <v/>
      </c>
      <c r="AH41" s="28" t="str">
        <f>IF(OR($AA41="",5&gt;$AA41),"",IFERROR(VALUE(MID($AN41,SEARCH(";5:",$AN41)+3,SEARCH(";",$AN41,SEARCH(";5:",$AN41)+3)-SEARCH(";5:",$AN41)-3)),ROUND($AG41*(1+$J41/100),0)))</f>
        <v/>
      </c>
      <c r="AI41" s="28" t="str">
        <f>IF(OR($AA41="",6&gt;$AA41),"",IFERROR(VALUE(MID($AN41,SEARCH(";6:",$AN41)+3,SEARCH(";",$AN41,SEARCH(";6:",$AN41)+3)-SEARCH(";6:",$AN41)-3)),ROUND($AH41*(1+$J41/100),0)))</f>
        <v/>
      </c>
      <c r="AJ41" s="28" t="str">
        <f>IF(OR($AA41="",7&gt;$AA41),"",IFERROR(VALUE(MID($AN41,SEARCH(";7:",$AN41)+3,SEARCH(";",$AN41,SEARCH(";7:",$AN41)+3)-SEARCH(";7:",$AN41)-3)),ROUND($AI41*(1+$J41/100),0)))</f>
        <v/>
      </c>
      <c r="AK41" s="28" t="str">
        <f>IF(OR($AA41="",8&gt;$AA41),"",IFERROR(VALUE(MID($AN41,SEARCH(";8:",$AN41)+3,SEARCH(";",$AN41,SEARCH(";8:",$AN41)+3)-SEARCH(";8:",$AN41)-3)),ROUND($AJ41*(1+$J41/100),0)))</f>
        <v/>
      </c>
      <c r="AL41" s="28" t="str">
        <f>IF(OR($AA41="",9&gt;$AA41),"",IFERROR(VALUE(MID($AN41,SEARCH(";9:",$AN41)+3,SEARCH(";",$AN41,SEARCH(";9:",$AN41)+3)-SEARCH(";9:",$AN41)-3)),ROUND($AK41*(1+$J41/100),0)))</f>
        <v/>
      </c>
      <c r="AM41" s="28" t="str">
        <f>IF(OR($AA41="",10&gt;$AA41),"",IFERROR(VALUE(MID($AN41,SEARCH(";10:",$AN41)+4,SEARCH(";",$AN41,SEARCH(";10:",$AN41)+4)-SEARCH(";10:",$AN41)-4)),ROUND($AL41*(1+$J41/100),0)))</f>
        <v/>
      </c>
      <c r="AN41" s="36" t="str">
        <f>";"&amp;SUBSTITUTE(SUBSTITUTE(SUBSTITUTE(SUBSTITUTE(SUBSTITUTE(SUBSTITUTE($K41," ",""),"،",";"),CHAR(10),";"),"=",":"),",",""),"٫",".")&amp;";"</f>
        <v>;3:7565;</v>
      </c>
      <c r="AO41" s="36" t="str">
        <f>IF($T41="ساري",$B41,"")</f>
        <v/>
      </c>
    </row>
    <row r="42" spans="1:41" x14ac:dyDescent="0.25">
      <c r="A42" t="s">
        <v>291</v>
      </c>
      <c r="B42" t="s">
        <v>287</v>
      </c>
      <c r="C42" t="s">
        <v>292</v>
      </c>
      <c r="D42" s="27" t="str">
        <f>IF($Y42="","",IFERROR(INDEX('المشاريع'!$B:$B,MATCH($Y42,'المشاريع'!$A:$A,0)),""))</f>
        <v>ابو بكر</v>
      </c>
      <c r="E42" s="27" t="str">
        <f>IF($B42="","",IFERROR(INDEX('الوحدات'!$D:$D,MATCH($B42,'الوحدات'!$A:$A,0)),""))</f>
        <v>304</v>
      </c>
      <c r="F42" s="27" t="str">
        <f>IF($C42="","",IFERROR(INDEX('العملاء'!$B:$B,MATCH($C42,'العملاء'!$A:$A,0)),""))</f>
        <v>ندى محمد البنا</v>
      </c>
      <c r="G42" s="33">
        <v>46235</v>
      </c>
      <c r="H42" s="33">
        <v>46599</v>
      </c>
      <c r="I42" s="39">
        <v>14000</v>
      </c>
      <c r="J42">
        <v>0</v>
      </c>
      <c r="K42" t="s">
        <v>35</v>
      </c>
      <c r="L42" s="39">
        <v>0</v>
      </c>
      <c r="M42" t="s">
        <v>584</v>
      </c>
      <c r="N42">
        <v>1</v>
      </c>
      <c r="O42" t="s">
        <v>35</v>
      </c>
      <c r="P42" t="s">
        <v>35</v>
      </c>
      <c r="Q42">
        <v>43</v>
      </c>
      <c r="R42" t="s">
        <v>35</v>
      </c>
      <c r="S42" s="33"/>
      <c r="T42" s="27" t="str">
        <f>IF(NOT(AND(ISNUMBER($G42),ISNUMBER($H42))),"تواريخ غير صحيحة",IF(TODAY()&lt;$G42,"لم يبدأ",IF(TODAY()&gt;$H42,IF(IF($A42="",0,COUNTIF($O:$O,$A42))+IF($B42="",0,COUNTIFS($B:$B,$B42,$G:$G,"&gt;"&amp;$H42)-IF($G42&gt;$H42,1,0))&gt;0,"منتهٍ (أُجِّرت بعده)","منتهٍ"),"ساري")))</f>
        <v>ساري</v>
      </c>
      <c r="U42" s="28">
        <f>IF($X42="","",IF($X42&gt;10,14000,INDEX($AD42:$AM42,1,$X42)))</f>
        <v>14000</v>
      </c>
      <c r="V42" s="28">
        <f>IF($A42="","",SUMIFS('المدفوعات'!$F:$F,'المدفوعات'!$B:$B,$A42))</f>
        <v>14000</v>
      </c>
      <c r="W42" s="35">
        <v>0</v>
      </c>
      <c r="X42" s="34">
        <f>IF(OR(NOT(ISNUMBER($G42)),NOT(ISNUMBER($H42)),$AA42=""),"",IF(TODAY()&lt;$G42,1,MIN($AA42,DATEDIF($G42,TODAY(),"y")+1)))</f>
        <v>1</v>
      </c>
      <c r="Y42" s="27" t="str">
        <f>IF($B42="","",IFERROR(INDEX('الوحدات'!$B:$B,MATCH($B42,'الوحدات'!$A:$A,0)),""))</f>
        <v>P03</v>
      </c>
      <c r="Z42" s="34">
        <f>IF(ISNUMBER($H42),$H42-TODAY(),"")</f>
        <v>294</v>
      </c>
      <c r="AA42" s="34">
        <f>IF(AND(ISNUMBER($G42),ISNUMBER($H42)),IFERROR(DATEDIF($G42,$H42,"y")+1,""),"")</f>
        <v>1</v>
      </c>
      <c r="AB42" s="37" t="str">
        <f>IF(OR($X42="",$X42&gt;=$AA42),"",DATE(YEAR($G42)+$X42,MONTH($G42),DAY($G42)))</f>
        <v/>
      </c>
      <c r="AC42" s="28" t="str">
        <f>IF($AB42="","",IF($X42+1&gt;10,0,INDEX($AD42:$AM42,1,$X42+1)))</f>
        <v/>
      </c>
      <c r="AD42" s="28">
        <f>IF($AA42="","",IFERROR(VALUE(MID($AN42,SEARCH(";1:",$AN42)+3,SEARCH(";",$AN42,SEARCH(";1:",$AN42)+3)-SEARCH(";1:",$AN42)-3)),$I42))</f>
        <v>14000</v>
      </c>
      <c r="AE42" s="28" t="str">
        <f>IF(OR($AA42="",2&gt;$AA42),"",IFERROR(VALUE(MID($AN42,SEARCH(";2:",$AN42)+3,SEARCH(";",$AN42,SEARCH(";2:",$AN42)+3)-SEARCH(";2:",$AN42)-3)),ROUND($AD42*(1+$J42/100),0)))</f>
        <v/>
      </c>
      <c r="AF42" s="28" t="str">
        <f>IF(OR($AA42="",3&gt;$AA42),"",IFERROR(VALUE(MID($AN42,SEARCH(";3:",$AN42)+3,SEARCH(";",$AN42,SEARCH(";3:",$AN42)+3)-SEARCH(";3:",$AN42)-3)),ROUND($AE42*(1+$J42/100),0)))</f>
        <v/>
      </c>
      <c r="AG42" s="28" t="str">
        <f>IF(OR($AA42="",4&gt;$AA42),"",IFERROR(VALUE(MID($AN42,SEARCH(";4:",$AN42)+3,SEARCH(";",$AN42,SEARCH(";4:",$AN42)+3)-SEARCH(";4:",$AN42)-3)),ROUND($AF42*(1+$J42/100),0)))</f>
        <v/>
      </c>
      <c r="AH42" s="28" t="str">
        <f>IF(OR($AA42="",5&gt;$AA42),"",IFERROR(VALUE(MID($AN42,SEARCH(";5:",$AN42)+3,SEARCH(";",$AN42,SEARCH(";5:",$AN42)+3)-SEARCH(";5:",$AN42)-3)),ROUND($AG42*(1+$J42/100),0)))</f>
        <v/>
      </c>
      <c r="AI42" s="28" t="str">
        <f>IF(OR($AA42="",6&gt;$AA42),"",IFERROR(VALUE(MID($AN42,SEARCH(";6:",$AN42)+3,SEARCH(";",$AN42,SEARCH(";6:",$AN42)+3)-SEARCH(";6:",$AN42)-3)),ROUND($AH42*(1+$J42/100),0)))</f>
        <v/>
      </c>
      <c r="AJ42" s="28" t="str">
        <f>IF(OR($AA42="",7&gt;$AA42),"",IFERROR(VALUE(MID($AN42,SEARCH(";7:",$AN42)+3,SEARCH(";",$AN42,SEARCH(";7:",$AN42)+3)-SEARCH(";7:",$AN42)-3)),ROUND($AI42*(1+$J42/100),0)))</f>
        <v/>
      </c>
      <c r="AK42" s="28" t="str">
        <f>IF(OR($AA42="",8&gt;$AA42),"",IFERROR(VALUE(MID($AN42,SEARCH(";8:",$AN42)+3,SEARCH(";",$AN42,SEARCH(";8:",$AN42)+3)-SEARCH(";8:",$AN42)-3)),ROUND($AJ42*(1+$J42/100),0)))</f>
        <v/>
      </c>
      <c r="AL42" s="28" t="str">
        <f>IF(OR($AA42="",9&gt;$AA42),"",IFERROR(VALUE(MID($AN42,SEARCH(";9:",$AN42)+3,SEARCH(";",$AN42,SEARCH(";9:",$AN42)+3)-SEARCH(";9:",$AN42)-3)),ROUND($AK42*(1+$J42/100),0)))</f>
        <v/>
      </c>
      <c r="AM42" s="28" t="str">
        <f>IF(OR($AA42="",10&gt;$AA42),"",IFERROR(VALUE(MID($AN42,SEARCH(";10:",$AN42)+4,SEARCH(";",$AN42,SEARCH(";10:",$AN42)+4)-SEARCH(";10:",$AN42)-4)),ROUND($AL42*(1+$J42/100),0)))</f>
        <v/>
      </c>
      <c r="AN42" s="36" t="str">
        <f>";"&amp;SUBSTITUTE(SUBSTITUTE(SUBSTITUTE(SUBSTITUTE(SUBSTITUTE(SUBSTITUTE($K42," ",""),"،",";"),CHAR(10),";"),"=",":"),",",""),"٫",".")&amp;";"</f>
        <v>;;</v>
      </c>
      <c r="AO42" s="36" t="str">
        <f>IF($T42="ساري",$B42,"")</f>
        <v>P03-304</v>
      </c>
    </row>
    <row r="43" spans="1:41" x14ac:dyDescent="0.25">
      <c r="A43" t="s">
        <v>298</v>
      </c>
      <c r="B43" t="s">
        <v>299</v>
      </c>
      <c r="C43" t="s">
        <v>300</v>
      </c>
      <c r="D43" s="27" t="str">
        <f>IF($Y43="","",IFERROR(INDEX('المشاريع'!$B:$B,MATCH($Y43,'المشاريع'!$A:$A,0)),""))</f>
        <v>ابو بكر</v>
      </c>
      <c r="E43" s="27" t="str">
        <f>IF($B43="","",IFERROR(INDEX('الوحدات'!$D:$D,MATCH($B43,'الوحدات'!$A:$A,0)),""))</f>
        <v>305</v>
      </c>
      <c r="F43" s="27" t="str">
        <f>IF($C43="","",IFERROR(INDEX('العملاء'!$B:$B,MATCH($C43,'العملاء'!$A:$A,0)),""))</f>
        <v>شركة النور للخدمات الطبية</v>
      </c>
      <c r="G43" s="33">
        <v>46023</v>
      </c>
      <c r="H43" s="33">
        <v>46387</v>
      </c>
      <c r="I43" s="39">
        <v>11500</v>
      </c>
      <c r="J43">
        <v>0</v>
      </c>
      <c r="K43" t="s">
        <v>35</v>
      </c>
      <c r="L43" s="39">
        <v>0</v>
      </c>
      <c r="M43" t="s">
        <v>584</v>
      </c>
      <c r="N43">
        <v>1</v>
      </c>
      <c r="O43" t="s">
        <v>35</v>
      </c>
      <c r="P43" t="s">
        <v>35</v>
      </c>
      <c r="Q43">
        <v>44</v>
      </c>
      <c r="R43" t="s">
        <v>35</v>
      </c>
      <c r="S43" s="33"/>
      <c r="T43" s="27" t="str">
        <f>IF(NOT(AND(ISNUMBER($G43),ISNUMBER($H43))),"تواريخ غير صحيحة",IF(TODAY()&lt;$G43,"لم يبدأ",IF(TODAY()&gt;$H43,IF(IF($A43="",0,COUNTIF($O:$O,$A43))+IF($B43="",0,COUNTIFS($B:$B,$B43,$G:$G,"&gt;"&amp;$H43)-IF($G43&gt;$H43,1,0))&gt;0,"منتهٍ (أُجِّرت بعده)","منتهٍ"),"ساري")))</f>
        <v>ساري</v>
      </c>
      <c r="U43" s="28">
        <f>IF($X43="","",IF($X43&gt;10,11500,INDEX($AD43:$AM43,1,$X43)))</f>
        <v>11500</v>
      </c>
      <c r="V43" s="28">
        <f>IF($A43="","",SUMIFS('المدفوعات'!$F:$F,'المدفوعات'!$B:$B,$A43))</f>
        <v>92000</v>
      </c>
      <c r="W43" s="35">
        <v>0</v>
      </c>
      <c r="X43" s="34">
        <f>IF(OR(NOT(ISNUMBER($G43)),NOT(ISNUMBER($H43)),$AA43=""),"",IF(TODAY()&lt;$G43,1,MIN($AA43,DATEDIF($G43,TODAY(),"y")+1)))</f>
        <v>1</v>
      </c>
      <c r="Y43" s="27" t="str">
        <f>IF($B43="","",IFERROR(INDEX('الوحدات'!$B:$B,MATCH($B43,'الوحدات'!$A:$A,0)),""))</f>
        <v>P03</v>
      </c>
      <c r="Z43" s="34">
        <f>IF(ISNUMBER($H43),$H43-TODAY(),"")</f>
        <v>82</v>
      </c>
      <c r="AA43" s="34">
        <f>IF(AND(ISNUMBER($G43),ISNUMBER($H43)),IFERROR(DATEDIF($G43,$H43,"y")+1,""),"")</f>
        <v>1</v>
      </c>
      <c r="AB43" s="37" t="str">
        <f>IF(OR($X43="",$X43&gt;=$AA43),"",DATE(YEAR($G43)+$X43,MONTH($G43),DAY($G43)))</f>
        <v/>
      </c>
      <c r="AC43" s="28" t="str">
        <f>IF($AB43="","",IF($X43+1&gt;10,0,INDEX($AD43:$AM43,1,$X43+1)))</f>
        <v/>
      </c>
      <c r="AD43" s="28">
        <f>IF($AA43="","",IFERROR(VALUE(MID($AN43,SEARCH(";1:",$AN43)+3,SEARCH(";",$AN43,SEARCH(";1:",$AN43)+3)-SEARCH(";1:",$AN43)-3)),$I43))</f>
        <v>11500</v>
      </c>
      <c r="AE43" s="28" t="str">
        <f>IF(OR($AA43="",2&gt;$AA43),"",IFERROR(VALUE(MID($AN43,SEARCH(";2:",$AN43)+3,SEARCH(";",$AN43,SEARCH(";2:",$AN43)+3)-SEARCH(";2:",$AN43)-3)),ROUND($AD43*(1+$J43/100),0)))</f>
        <v/>
      </c>
      <c r="AF43" s="28" t="str">
        <f>IF(OR($AA43="",3&gt;$AA43),"",IFERROR(VALUE(MID($AN43,SEARCH(";3:",$AN43)+3,SEARCH(";",$AN43,SEARCH(";3:",$AN43)+3)-SEARCH(";3:",$AN43)-3)),ROUND($AE43*(1+$J43/100),0)))</f>
        <v/>
      </c>
      <c r="AG43" s="28" t="str">
        <f>IF(OR($AA43="",4&gt;$AA43),"",IFERROR(VALUE(MID($AN43,SEARCH(";4:",$AN43)+3,SEARCH(";",$AN43,SEARCH(";4:",$AN43)+3)-SEARCH(";4:",$AN43)-3)),ROUND($AF43*(1+$J43/100),0)))</f>
        <v/>
      </c>
      <c r="AH43" s="28" t="str">
        <f>IF(OR($AA43="",5&gt;$AA43),"",IFERROR(VALUE(MID($AN43,SEARCH(";5:",$AN43)+3,SEARCH(";",$AN43,SEARCH(";5:",$AN43)+3)-SEARCH(";5:",$AN43)-3)),ROUND($AG43*(1+$J43/100),0)))</f>
        <v/>
      </c>
      <c r="AI43" s="28" t="str">
        <f>IF(OR($AA43="",6&gt;$AA43),"",IFERROR(VALUE(MID($AN43,SEARCH(";6:",$AN43)+3,SEARCH(";",$AN43,SEARCH(";6:",$AN43)+3)-SEARCH(";6:",$AN43)-3)),ROUND($AH43*(1+$J43/100),0)))</f>
        <v/>
      </c>
      <c r="AJ43" s="28" t="str">
        <f>IF(OR($AA43="",7&gt;$AA43),"",IFERROR(VALUE(MID($AN43,SEARCH(";7:",$AN43)+3,SEARCH(";",$AN43,SEARCH(";7:",$AN43)+3)-SEARCH(";7:",$AN43)-3)),ROUND($AI43*(1+$J43/100),0)))</f>
        <v/>
      </c>
      <c r="AK43" s="28" t="str">
        <f>IF(OR($AA43="",8&gt;$AA43),"",IFERROR(VALUE(MID($AN43,SEARCH(";8:",$AN43)+3,SEARCH(";",$AN43,SEARCH(";8:",$AN43)+3)-SEARCH(";8:",$AN43)-3)),ROUND($AJ43*(1+$J43/100),0)))</f>
        <v/>
      </c>
      <c r="AL43" s="28" t="str">
        <f>IF(OR($AA43="",9&gt;$AA43),"",IFERROR(VALUE(MID($AN43,SEARCH(";9:",$AN43)+3,SEARCH(";",$AN43,SEARCH(";9:",$AN43)+3)-SEARCH(";9:",$AN43)-3)),ROUND($AK43*(1+$J43/100),0)))</f>
        <v/>
      </c>
      <c r="AM43" s="28" t="str">
        <f>IF(OR($AA43="",10&gt;$AA43),"",IFERROR(VALUE(MID($AN43,SEARCH(";10:",$AN43)+4,SEARCH(";",$AN43,SEARCH(";10:",$AN43)+4)-SEARCH(";10:",$AN43)-4)),ROUND($AL43*(1+$J43/100),0)))</f>
        <v/>
      </c>
      <c r="AN43" s="36" t="str">
        <f>";"&amp;SUBSTITUTE(SUBSTITUTE(SUBSTITUTE(SUBSTITUTE(SUBSTITUTE(SUBSTITUTE($K43," ",""),"،",";"),CHAR(10),";"),"=",":"),",",""),"٫",".")&amp;";"</f>
        <v>;;</v>
      </c>
      <c r="AO43" s="36" t="str">
        <f>IF($T43="ساري",$B43,"")</f>
        <v>P03-305</v>
      </c>
    </row>
    <row r="44" spans="1:41" x14ac:dyDescent="0.25">
      <c r="A44" t="s">
        <v>304</v>
      </c>
      <c r="B44" t="s">
        <v>305</v>
      </c>
      <c r="C44" t="s">
        <v>306</v>
      </c>
      <c r="D44" s="27" t="str">
        <f>IF($Y44="","",IFERROR(INDEX('المشاريع'!$B:$B,MATCH($Y44,'المشاريع'!$A:$A,0)),""))</f>
        <v>ابو بكر</v>
      </c>
      <c r="E44" s="27" t="str">
        <f>IF($B44="","",IFERROR(INDEX('الوحدات'!$D:$D,MATCH($B44,'الوحدات'!$A:$A,0)),""))</f>
        <v>306</v>
      </c>
      <c r="F44" s="27" t="str">
        <f>IF($C44="","",IFERROR(INDEX('العملاء'!$B:$B,MATCH($C44,'العملاء'!$A:$A,0)),""))</f>
        <v>سامح إبراهيم منصور</v>
      </c>
      <c r="G44" s="33">
        <v>45261</v>
      </c>
      <c r="H44" s="33">
        <v>46356</v>
      </c>
      <c r="I44" s="39">
        <v>11195</v>
      </c>
      <c r="J44">
        <v>0</v>
      </c>
      <c r="K44" t="s">
        <v>602</v>
      </c>
      <c r="L44" s="39">
        <v>0</v>
      </c>
      <c r="M44" t="s">
        <v>584</v>
      </c>
      <c r="N44">
        <v>1</v>
      </c>
      <c r="O44" t="s">
        <v>35</v>
      </c>
      <c r="P44" t="s">
        <v>35</v>
      </c>
      <c r="Q44">
        <v>45</v>
      </c>
      <c r="R44" t="s">
        <v>35</v>
      </c>
      <c r="S44" s="33"/>
      <c r="T44" s="27" t="str">
        <f>IF(NOT(AND(ISNUMBER($G44),ISNUMBER($H44))),"تواريخ غير صحيحة",IF(TODAY()&lt;$G44,"لم يبدأ",IF(TODAY()&gt;$H44,IF(IF($A44="",0,COUNTIF($O:$O,$A44))+IF($B44="",0,COUNTIFS($B:$B,$B44,$G:$G,"&gt;"&amp;$H44)-IF($G44&gt;$H44,1,0))&gt;0,"منتهٍ (أُجِّرت بعده)","منتهٍ"),"ساري")))</f>
        <v>ساري</v>
      </c>
      <c r="U44" s="28">
        <f>IF($X44="","",IF($X44&gt;10,11195,INDEX($AD44:$AM44,1,$X44)))</f>
        <v>11195</v>
      </c>
      <c r="V44" s="28">
        <f>IF($A44="","",SUMIFS('المدفوعات'!$F:$F,'المدفوعات'!$B:$B,$A44))</f>
        <v>89560</v>
      </c>
      <c r="W44" s="35">
        <v>0</v>
      </c>
      <c r="X44" s="34">
        <f>IF(OR(NOT(ISNUMBER($G44)),NOT(ISNUMBER($H44)),$AA44=""),"",IF(TODAY()&lt;$G44,1,MIN($AA44,DATEDIF($G44,TODAY(),"y")+1)))</f>
        <v>3</v>
      </c>
      <c r="Y44" s="27" t="str">
        <f>IF($B44="","",IFERROR(INDEX('الوحدات'!$B:$B,MATCH($B44,'الوحدات'!$A:$A,0)),""))</f>
        <v>P03</v>
      </c>
      <c r="Z44" s="34">
        <f>IF(ISNUMBER($H44),$H44-TODAY(),"")</f>
        <v>51</v>
      </c>
      <c r="AA44" s="34">
        <f>IF(AND(ISNUMBER($G44),ISNUMBER($H44)),IFERROR(DATEDIF($G44,$H44,"y")+1,""),"")</f>
        <v>3</v>
      </c>
      <c r="AB44" s="37" t="str">
        <f>IF(OR($X44="",$X44&gt;=$AA44),"",DATE(YEAR($G44)+$X44,MONTH($G44),DAY($G44)))</f>
        <v/>
      </c>
      <c r="AC44" s="28" t="str">
        <f>IF($AB44="","",IF($X44+1&gt;10,0,INDEX($AD44:$AM44,1,$X44+1)))</f>
        <v/>
      </c>
      <c r="AD44" s="28">
        <f>IF($AA44="","",IFERROR(VALUE(MID($AN44,SEARCH(";1:",$AN44)+3,SEARCH(";",$AN44,SEARCH(";1:",$AN44)+3)-SEARCH(";1:",$AN44)-3)),$I44))</f>
        <v>11195</v>
      </c>
      <c r="AE44" s="28">
        <f>IF(OR($AA44="",2&gt;$AA44),"",IFERROR(VALUE(MID($AN44,SEARCH(";2:",$AN44)+3,SEARCH(";",$AN44,SEARCH(";2:",$AN44)+3)-SEARCH(";2:",$AN44)-3)),ROUND($AD44*(1+$J44/100),0)))</f>
        <v>11195</v>
      </c>
      <c r="AF44" s="28">
        <f>IF(OR($AA44="",3&gt;$AA44),"",IFERROR(VALUE(MID($AN44,SEARCH(";3:",$AN44)+3,SEARCH(";",$AN44,SEARCH(";3:",$AN44)+3)-SEARCH(";3:",$AN44)-3)),ROUND($AE44*(1+$J44/100),0)))</f>
        <v>11195</v>
      </c>
      <c r="AG44" s="28" t="str">
        <f>IF(OR($AA44="",4&gt;$AA44),"",IFERROR(VALUE(MID($AN44,SEARCH(";4:",$AN44)+3,SEARCH(";",$AN44,SEARCH(";4:",$AN44)+3)-SEARCH(";4:",$AN44)-3)),ROUND($AF44*(1+$J44/100),0)))</f>
        <v/>
      </c>
      <c r="AH44" s="28" t="str">
        <f>IF(OR($AA44="",5&gt;$AA44),"",IFERROR(VALUE(MID($AN44,SEARCH(";5:",$AN44)+3,SEARCH(";",$AN44,SEARCH(";5:",$AN44)+3)-SEARCH(";5:",$AN44)-3)),ROUND($AG44*(1+$J44/100),0)))</f>
        <v/>
      </c>
      <c r="AI44" s="28" t="str">
        <f>IF(OR($AA44="",6&gt;$AA44),"",IFERROR(VALUE(MID($AN44,SEARCH(";6:",$AN44)+3,SEARCH(";",$AN44,SEARCH(";6:",$AN44)+3)-SEARCH(";6:",$AN44)-3)),ROUND($AH44*(1+$J44/100),0)))</f>
        <v/>
      </c>
      <c r="AJ44" s="28" t="str">
        <f>IF(OR($AA44="",7&gt;$AA44),"",IFERROR(VALUE(MID($AN44,SEARCH(";7:",$AN44)+3,SEARCH(";",$AN44,SEARCH(";7:",$AN44)+3)-SEARCH(";7:",$AN44)-3)),ROUND($AI44*(1+$J44/100),0)))</f>
        <v/>
      </c>
      <c r="AK44" s="28" t="str">
        <f>IF(OR($AA44="",8&gt;$AA44),"",IFERROR(VALUE(MID($AN44,SEARCH(";8:",$AN44)+3,SEARCH(";",$AN44,SEARCH(";8:",$AN44)+3)-SEARCH(";8:",$AN44)-3)),ROUND($AJ44*(1+$J44/100),0)))</f>
        <v/>
      </c>
      <c r="AL44" s="28" t="str">
        <f>IF(OR($AA44="",9&gt;$AA44),"",IFERROR(VALUE(MID($AN44,SEARCH(";9:",$AN44)+3,SEARCH(";",$AN44,SEARCH(";9:",$AN44)+3)-SEARCH(";9:",$AN44)-3)),ROUND($AK44*(1+$J44/100),0)))</f>
        <v/>
      </c>
      <c r="AM44" s="28" t="str">
        <f>IF(OR($AA44="",10&gt;$AA44),"",IFERROR(VALUE(MID($AN44,SEARCH(";10:",$AN44)+4,SEARCH(";",$AN44,SEARCH(";10:",$AN44)+4)-SEARCH(";10:",$AN44)-4)),ROUND($AL44*(1+$J44/100),0)))</f>
        <v/>
      </c>
      <c r="AN44" s="36" t="str">
        <f>";"&amp;SUBSTITUTE(SUBSTITUTE(SUBSTITUTE(SUBSTITUTE(SUBSTITUTE(SUBSTITUTE($K44," ",""),"،",";"),CHAR(10),";"),"=",":"),",",""),"٫",".")&amp;";"</f>
        <v>;3:11195;</v>
      </c>
      <c r="AO44" s="36" t="str">
        <f>IF($T44="ساري",$B44,"")</f>
        <v>P03-306</v>
      </c>
    </row>
    <row r="45" spans="1:41" x14ac:dyDescent="0.25">
      <c r="A45" t="s">
        <v>311</v>
      </c>
      <c r="B45" t="s">
        <v>312</v>
      </c>
      <c r="C45" t="s">
        <v>313</v>
      </c>
      <c r="D45" s="27" t="str">
        <f>IF($Y45="","",IFERROR(INDEX('المشاريع'!$B:$B,MATCH($Y45,'المشاريع'!$A:$A,0)),""))</f>
        <v>ابو بكر</v>
      </c>
      <c r="E45" s="27" t="str">
        <f>IF($B45="","",IFERROR(INDEX('الوحدات'!$D:$D,MATCH($B45,'الوحدات'!$A:$A,0)),""))</f>
        <v>307</v>
      </c>
      <c r="F45" s="27" t="str">
        <f>IF($C45="","",IFERROR(INDEX('العملاء'!$B:$B,MATCH($C45,'العملاء'!$A:$A,0)),""))</f>
        <v>د/ منى أمير الشريف</v>
      </c>
      <c r="G45" s="33">
        <v>45627</v>
      </c>
      <c r="H45" s="33">
        <v>46721</v>
      </c>
      <c r="I45" s="39">
        <v>12100</v>
      </c>
      <c r="J45">
        <v>0</v>
      </c>
      <c r="K45" t="s">
        <v>603</v>
      </c>
      <c r="L45" s="39">
        <v>0</v>
      </c>
      <c r="M45" t="s">
        <v>584</v>
      </c>
      <c r="N45">
        <v>1</v>
      </c>
      <c r="O45" t="s">
        <v>35</v>
      </c>
      <c r="P45" t="s">
        <v>35</v>
      </c>
      <c r="Q45">
        <v>46</v>
      </c>
      <c r="R45" t="s">
        <v>35</v>
      </c>
      <c r="S45" s="33"/>
      <c r="T45" s="27" t="str">
        <f>IF(NOT(AND(ISNUMBER($G45),ISNUMBER($H45))),"تواريخ غير صحيحة",IF(TODAY()&lt;$G45,"لم يبدأ",IF(TODAY()&gt;$H45,IF(IF($A45="",0,COUNTIF($O:$O,$A45))+IF($B45="",0,COUNTIFS($B:$B,$B45,$G:$G,"&gt;"&amp;$H45)-IF($G45&gt;$H45,1,0))&gt;0,"منتهٍ (أُجِّرت بعده)","منتهٍ"),"ساري")))</f>
        <v>ساري</v>
      </c>
      <c r="U45" s="28">
        <f>IF($X45="","",IF($X45&gt;10,12100,INDEX($AD45:$AM45,1,$X45)))</f>
        <v>12100</v>
      </c>
      <c r="V45" s="28">
        <f>IF($A45="","",SUMIFS('المدفوعات'!$F:$F,'المدفوعات'!$B:$B,$A45))</f>
        <v>96800</v>
      </c>
      <c r="W45" s="35">
        <v>0</v>
      </c>
      <c r="X45" s="34">
        <f>IF(OR(NOT(ISNUMBER($G45)),NOT(ISNUMBER($H45)),$AA45=""),"",IF(TODAY()&lt;$G45,1,MIN($AA45,DATEDIF($G45,TODAY(),"y")+1)))</f>
        <v>2</v>
      </c>
      <c r="Y45" s="27" t="str">
        <f>IF($B45="","",IFERROR(INDEX('الوحدات'!$B:$B,MATCH($B45,'الوحدات'!$A:$A,0)),""))</f>
        <v>P03</v>
      </c>
      <c r="Z45" s="34">
        <f>IF(ISNUMBER($H45),$H45-TODAY(),"")</f>
        <v>416</v>
      </c>
      <c r="AA45" s="34">
        <f>IF(AND(ISNUMBER($G45),ISNUMBER($H45)),IFERROR(DATEDIF($G45,$H45,"y")+1,""),"")</f>
        <v>3</v>
      </c>
      <c r="AB45" s="37">
        <f>IF(OR($X45="",$X45&gt;=$AA45),"",DATE(YEAR($G45)+$X45,MONTH($G45),DAY($G45)))</f>
        <v>46357</v>
      </c>
      <c r="AC45" s="28">
        <f>IF($AB45="","",IF($X45+1&gt;10,12100,INDEX($AD45:$AM45,1,$X45+1)))</f>
        <v>12100</v>
      </c>
      <c r="AD45" s="28">
        <f>IF($AA45="","",IFERROR(VALUE(MID($AN45,SEARCH(";1:",$AN45)+3,SEARCH(";",$AN45,SEARCH(";1:",$AN45)+3)-SEARCH(";1:",$AN45)-3)),$I45))</f>
        <v>12100</v>
      </c>
      <c r="AE45" s="28">
        <f>IF(OR($AA45="",2&gt;$AA45),"",IFERROR(VALUE(MID($AN45,SEARCH(";2:",$AN45)+3,SEARCH(";",$AN45,SEARCH(";2:",$AN45)+3)-SEARCH(";2:",$AN45)-3)),ROUND($AD45*(1+$J45/100),0)))</f>
        <v>12100</v>
      </c>
      <c r="AF45" s="28">
        <f>IF(OR($AA45="",3&gt;$AA45),"",IFERROR(VALUE(MID($AN45,SEARCH(";3:",$AN45)+3,SEARCH(";",$AN45,SEARCH(";3:",$AN45)+3)-SEARCH(";3:",$AN45)-3)),ROUND($AE45*(1+$J45/100),0)))</f>
        <v>12100</v>
      </c>
      <c r="AG45" s="28" t="str">
        <f>IF(OR($AA45="",4&gt;$AA45),"",IFERROR(VALUE(MID($AN45,SEARCH(";4:",$AN45)+3,SEARCH(";",$AN45,SEARCH(";4:",$AN45)+3)-SEARCH(";4:",$AN45)-3)),ROUND($AF45*(1+$J45/100),0)))</f>
        <v/>
      </c>
      <c r="AH45" s="28" t="str">
        <f>IF(OR($AA45="",5&gt;$AA45),"",IFERROR(VALUE(MID($AN45,SEARCH(";5:",$AN45)+3,SEARCH(";",$AN45,SEARCH(";5:",$AN45)+3)-SEARCH(";5:",$AN45)-3)),ROUND($AG45*(1+$J45/100),0)))</f>
        <v/>
      </c>
      <c r="AI45" s="28" t="str">
        <f>IF(OR($AA45="",6&gt;$AA45),"",IFERROR(VALUE(MID($AN45,SEARCH(";6:",$AN45)+3,SEARCH(";",$AN45,SEARCH(";6:",$AN45)+3)-SEARCH(";6:",$AN45)-3)),ROUND($AH45*(1+$J45/100),0)))</f>
        <v/>
      </c>
      <c r="AJ45" s="28" t="str">
        <f>IF(OR($AA45="",7&gt;$AA45),"",IFERROR(VALUE(MID($AN45,SEARCH(";7:",$AN45)+3,SEARCH(";",$AN45,SEARCH(";7:",$AN45)+3)-SEARCH(";7:",$AN45)-3)),ROUND($AI45*(1+$J45/100),0)))</f>
        <v/>
      </c>
      <c r="AK45" s="28" t="str">
        <f>IF(OR($AA45="",8&gt;$AA45),"",IFERROR(VALUE(MID($AN45,SEARCH(";8:",$AN45)+3,SEARCH(";",$AN45,SEARCH(";8:",$AN45)+3)-SEARCH(";8:",$AN45)-3)),ROUND($AJ45*(1+$J45/100),0)))</f>
        <v/>
      </c>
      <c r="AL45" s="28" t="str">
        <f>IF(OR($AA45="",9&gt;$AA45),"",IFERROR(VALUE(MID($AN45,SEARCH(";9:",$AN45)+3,SEARCH(";",$AN45,SEARCH(";9:",$AN45)+3)-SEARCH(";9:",$AN45)-3)),ROUND($AK45*(1+$J45/100),0)))</f>
        <v/>
      </c>
      <c r="AM45" s="28" t="str">
        <f>IF(OR($AA45="",10&gt;$AA45),"",IFERROR(VALUE(MID($AN45,SEARCH(";10:",$AN45)+4,SEARCH(";",$AN45,SEARCH(";10:",$AN45)+4)-SEARCH(";10:",$AN45)-4)),ROUND($AL45*(1+$J45/100),0)))</f>
        <v/>
      </c>
      <c r="AN45" s="36" t="str">
        <f>";"&amp;SUBSTITUTE(SUBSTITUTE(SUBSTITUTE(SUBSTITUTE(SUBSTITUTE(SUBSTITUTE($K45," ",""),"،",";"),CHAR(10),";"),"=",":"),",",""),"٫",".")&amp;";"</f>
        <v>;2:12100;</v>
      </c>
      <c r="AO45" s="36" t="str">
        <f>IF($T45="ساري",$B45,"")</f>
        <v>P03-307</v>
      </c>
    </row>
    <row r="46" spans="1:41" x14ac:dyDescent="0.25">
      <c r="A46" t="s">
        <v>318</v>
      </c>
      <c r="B46" t="s">
        <v>319</v>
      </c>
      <c r="C46" t="s">
        <v>320</v>
      </c>
      <c r="D46" s="27" t="str">
        <f>IF($Y46="","",IFERROR(INDEX('المشاريع'!$B:$B,MATCH($Y46,'المشاريع'!$A:$A,0)),""))</f>
        <v>ابو بكر</v>
      </c>
      <c r="E46" s="27" t="str">
        <f>IF($B46="","",IFERROR(INDEX('الوحدات'!$D:$D,MATCH($B46,'الوحدات'!$A:$A,0)),""))</f>
        <v>401</v>
      </c>
      <c r="F46" s="27" t="str">
        <f>IF($C46="","",IFERROR(INDEX('العملاء'!$B:$B,MATCH($C46,'العملاء'!$A:$A,0)),""))</f>
        <v>شركة الأمل للخدمات الطبية</v>
      </c>
      <c r="G46" s="33">
        <v>45444</v>
      </c>
      <c r="H46" s="33">
        <v>46538</v>
      </c>
      <c r="I46" s="39">
        <v>10000</v>
      </c>
      <c r="J46">
        <v>10</v>
      </c>
      <c r="K46" t="s">
        <v>604</v>
      </c>
      <c r="L46" s="39">
        <v>0</v>
      </c>
      <c r="M46" t="s">
        <v>584</v>
      </c>
      <c r="N46">
        <v>1</v>
      </c>
      <c r="O46" t="s">
        <v>35</v>
      </c>
      <c r="P46" t="s">
        <v>35</v>
      </c>
      <c r="Q46">
        <v>47</v>
      </c>
      <c r="R46" t="s">
        <v>35</v>
      </c>
      <c r="S46" s="33"/>
      <c r="T46" s="27" t="str">
        <f>IF(NOT(AND(ISNUMBER($G46),ISNUMBER($H46))),"تواريخ غير صحيحة",IF(TODAY()&lt;$G46,"لم يبدأ",IF(TODAY()&gt;$H46,IF(IF($A46="",0,COUNTIF($O:$O,$A46))+IF($B46="",0,COUNTIFS($B:$B,$B46,$G:$G,"&gt;"&amp;$H46)-IF($G46&gt;$H46,1,0))&gt;0,"منتهٍ (أُجِّرت بعده)","منتهٍ"),"ساري")))</f>
        <v>ساري</v>
      </c>
      <c r="U46" s="28">
        <f>IF($X46="","",IF($X46&gt;10,12100,INDEX($AD46:$AM46,1,$X46)))</f>
        <v>12100</v>
      </c>
      <c r="V46" s="28">
        <f>IF($A46="","",SUMIFS('المدفوعات'!$F:$F,'المدفوعات'!$B:$B,$A46))</f>
        <v>91300</v>
      </c>
      <c r="W46" s="35">
        <v>0</v>
      </c>
      <c r="X46" s="34">
        <f>IF(OR(NOT(ISNUMBER($G46)),NOT(ISNUMBER($H46)),$AA46=""),"",IF(TODAY()&lt;$G46,1,MIN($AA46,DATEDIF($G46,TODAY(),"y")+1)))</f>
        <v>3</v>
      </c>
      <c r="Y46" s="27" t="str">
        <f>IF($B46="","",IFERROR(INDEX('الوحدات'!$B:$B,MATCH($B46,'الوحدات'!$A:$A,0)),""))</f>
        <v>P03</v>
      </c>
      <c r="Z46" s="34">
        <f>IF(ISNUMBER($H46),$H46-TODAY(),"")</f>
        <v>233</v>
      </c>
      <c r="AA46" s="34">
        <f>IF(AND(ISNUMBER($G46),ISNUMBER($H46)),IFERROR(DATEDIF($G46,$H46,"y")+1,""),"")</f>
        <v>3</v>
      </c>
      <c r="AB46" s="37" t="str">
        <f>IF(OR($X46="",$X46&gt;=$AA46),"",DATE(YEAR($G46)+$X46,MONTH($G46),DAY($G46)))</f>
        <v/>
      </c>
      <c r="AC46" s="28" t="str">
        <f>IF($AB46="","",IF($X46+1&gt;10,0,INDEX($AD46:$AM46,1,$X46+1)))</f>
        <v/>
      </c>
      <c r="AD46" s="28">
        <f>IF($AA46="","",IFERROR(VALUE(MID($AN46,SEARCH(";1:",$AN46)+3,SEARCH(";",$AN46,SEARCH(";1:",$AN46)+3)-SEARCH(";1:",$AN46)-3)),$I46))</f>
        <v>10000</v>
      </c>
      <c r="AE46" s="28">
        <f>IF(OR($AA46="",2&gt;$AA46),"",IFERROR(VALUE(MID($AN46,SEARCH(";2:",$AN46)+3,SEARCH(";",$AN46,SEARCH(";2:",$AN46)+3)-SEARCH(";2:",$AN46)-3)),ROUND($AD46*(1+$J46/100),0)))</f>
        <v>11000</v>
      </c>
      <c r="AF46" s="28">
        <f>IF(OR($AA46="",3&gt;$AA46),"",IFERROR(VALUE(MID($AN46,SEARCH(";3:",$AN46)+3,SEARCH(";",$AN46,SEARCH(";3:",$AN46)+3)-SEARCH(";3:",$AN46)-3)),ROUND($AE46*(1+$J46/100),0)))</f>
        <v>12100</v>
      </c>
      <c r="AG46" s="28" t="str">
        <f>IF(OR($AA46="",4&gt;$AA46),"",IFERROR(VALUE(MID($AN46,SEARCH(";4:",$AN46)+3,SEARCH(";",$AN46,SEARCH(";4:",$AN46)+3)-SEARCH(";4:",$AN46)-3)),ROUND($AF46*(1+$J46/100),0)))</f>
        <v/>
      </c>
      <c r="AH46" s="28" t="str">
        <f>IF(OR($AA46="",5&gt;$AA46),"",IFERROR(VALUE(MID($AN46,SEARCH(";5:",$AN46)+3,SEARCH(";",$AN46,SEARCH(";5:",$AN46)+3)-SEARCH(";5:",$AN46)-3)),ROUND($AG46*(1+$J46/100),0)))</f>
        <v/>
      </c>
      <c r="AI46" s="28" t="str">
        <f>IF(OR($AA46="",6&gt;$AA46),"",IFERROR(VALUE(MID($AN46,SEARCH(";6:",$AN46)+3,SEARCH(";",$AN46,SEARCH(";6:",$AN46)+3)-SEARCH(";6:",$AN46)-3)),ROUND($AH46*(1+$J46/100),0)))</f>
        <v/>
      </c>
      <c r="AJ46" s="28" t="str">
        <f>IF(OR($AA46="",7&gt;$AA46),"",IFERROR(VALUE(MID($AN46,SEARCH(";7:",$AN46)+3,SEARCH(";",$AN46,SEARCH(";7:",$AN46)+3)-SEARCH(";7:",$AN46)-3)),ROUND($AI46*(1+$J46/100),0)))</f>
        <v/>
      </c>
      <c r="AK46" s="28" t="str">
        <f>IF(OR($AA46="",8&gt;$AA46),"",IFERROR(VALUE(MID($AN46,SEARCH(";8:",$AN46)+3,SEARCH(";",$AN46,SEARCH(";8:",$AN46)+3)-SEARCH(";8:",$AN46)-3)),ROUND($AJ46*(1+$J46/100),0)))</f>
        <v/>
      </c>
      <c r="AL46" s="28" t="str">
        <f>IF(OR($AA46="",9&gt;$AA46),"",IFERROR(VALUE(MID($AN46,SEARCH(";9:",$AN46)+3,SEARCH(";",$AN46,SEARCH(";9:",$AN46)+3)-SEARCH(";9:",$AN46)-3)),ROUND($AK46*(1+$J46/100),0)))</f>
        <v/>
      </c>
      <c r="AM46" s="28" t="str">
        <f>IF(OR($AA46="",10&gt;$AA46),"",IFERROR(VALUE(MID($AN46,SEARCH(";10:",$AN46)+4,SEARCH(";",$AN46,SEARCH(";10:",$AN46)+4)-SEARCH(";10:",$AN46)-4)),ROUND($AL46*(1+$J46/100),0)))</f>
        <v/>
      </c>
      <c r="AN46" s="36" t="str">
        <f>";"&amp;SUBSTITUTE(SUBSTITUTE(SUBSTITUTE(SUBSTITUTE(SUBSTITUTE(SUBSTITUTE($K46," ",""),"،",";"),CHAR(10),";"),"=",":"),",",""),"٫",".")&amp;";"</f>
        <v>;2:11000;3:12100;</v>
      </c>
      <c r="AO46" s="36" t="str">
        <f>IF($T46="ساري",$B46,"")</f>
        <v>P03-401</v>
      </c>
    </row>
    <row r="47" spans="1:41" x14ac:dyDescent="0.25">
      <c r="A47" t="s">
        <v>325</v>
      </c>
      <c r="B47" t="s">
        <v>326</v>
      </c>
      <c r="C47" t="s">
        <v>327</v>
      </c>
      <c r="D47" s="27" t="str">
        <f>IF($Y47="","",IFERROR(INDEX('المشاريع'!$B:$B,MATCH($Y47,'المشاريع'!$A:$A,0)),""))</f>
        <v>ابو بكر</v>
      </c>
      <c r="E47" s="27" t="str">
        <f>IF($B47="","",IFERROR(INDEX('الوحدات'!$D:$D,MATCH($B47,'الوحدات'!$A:$A,0)),""))</f>
        <v>403</v>
      </c>
      <c r="F47" s="27" t="str">
        <f>IF($C47="","",IFERROR(INDEX('العملاء'!$B:$B,MATCH($C47,'العملاء'!$A:$A,0)),""))</f>
        <v>شركة البركة للتدريب</v>
      </c>
      <c r="G47" s="33">
        <v>45307</v>
      </c>
      <c r="H47" s="33">
        <v>46402</v>
      </c>
      <c r="I47" s="39">
        <v>14850</v>
      </c>
      <c r="J47">
        <v>0</v>
      </c>
      <c r="K47" t="s">
        <v>605</v>
      </c>
      <c r="L47" s="39">
        <v>0</v>
      </c>
      <c r="M47" t="s">
        <v>584</v>
      </c>
      <c r="N47">
        <v>1</v>
      </c>
      <c r="O47" t="s">
        <v>35</v>
      </c>
      <c r="P47" t="s">
        <v>35</v>
      </c>
      <c r="Q47">
        <v>48</v>
      </c>
      <c r="R47" t="s">
        <v>35</v>
      </c>
      <c r="S47" s="33"/>
      <c r="T47" s="27" t="str">
        <f>IF(NOT(AND(ISNUMBER($G47),ISNUMBER($H47))),"تواريخ غير صحيحة",IF(TODAY()&lt;$G47,"لم يبدأ",IF(TODAY()&gt;$H47,IF(IF($A47="",0,COUNTIF($O:$O,$A47))+IF($B47="",0,COUNTIFS($B:$B,$B47,$G:$G,"&gt;"&amp;$H47)-IF($G47&gt;$H47,1,0))&gt;0,"منتهٍ (أُجِّرت بعده)","منتهٍ"),"ساري")))</f>
        <v>ساري</v>
      </c>
      <c r="U47" s="28">
        <f>IF($X47="","",IF($X47&gt;10,14850,INDEX($AD47:$AM47,1,$X47)))</f>
        <v>14850</v>
      </c>
      <c r="V47" s="28">
        <f>IF($A47="","",SUMIFS('المدفوعات'!$F:$F,'المدفوعات'!$B:$B,$A47))</f>
        <v>127710</v>
      </c>
      <c r="W47" s="35">
        <v>0</v>
      </c>
      <c r="X47" s="34">
        <f>IF(OR(NOT(ISNUMBER($G47)),NOT(ISNUMBER($H47)),$AA47=""),"",IF(TODAY()&lt;$G47,1,MIN($AA47,DATEDIF($G47,TODAY(),"y")+1)))</f>
        <v>3</v>
      </c>
      <c r="Y47" s="27" t="str">
        <f>IF($B47="","",IFERROR(INDEX('الوحدات'!$B:$B,MATCH($B47,'الوحدات'!$A:$A,0)),""))</f>
        <v>P03</v>
      </c>
      <c r="Z47" s="34">
        <f>IF(ISNUMBER($H47),$H47-TODAY(),"")</f>
        <v>97</v>
      </c>
      <c r="AA47" s="34">
        <f>IF(AND(ISNUMBER($G47),ISNUMBER($H47)),IFERROR(DATEDIF($G47,$H47,"y")+1,""),"")</f>
        <v>3</v>
      </c>
      <c r="AB47" s="37" t="str">
        <f>IF(OR($X47="",$X47&gt;=$AA47),"",DATE(YEAR($G47)+$X47,MONTH($G47),DAY($G47)))</f>
        <v/>
      </c>
      <c r="AC47" s="28" t="str">
        <f>IF($AB47="","",IF($X47+1&gt;10,0,INDEX($AD47:$AM47,1,$X47+1)))</f>
        <v/>
      </c>
      <c r="AD47" s="28">
        <f>IF($AA47="","",IFERROR(VALUE(MID($AN47,SEARCH(";1:",$AN47)+3,SEARCH(";",$AN47,SEARCH(";1:",$AN47)+3)-SEARCH(";1:",$AN47)-3)),$I47))</f>
        <v>14850</v>
      </c>
      <c r="AE47" s="28">
        <f>IF(OR($AA47="",2&gt;$AA47),"",IFERROR(VALUE(MID($AN47,SEARCH(";2:",$AN47)+3,SEARCH(";",$AN47,SEARCH(";2:",$AN47)+3)-SEARCH(";2:",$AN47)-3)),ROUND($AD47*(1+$J47/100),0)))</f>
        <v>14850</v>
      </c>
      <c r="AF47" s="28">
        <f>IF(OR($AA47="",3&gt;$AA47),"",IFERROR(VALUE(MID($AN47,SEARCH(";3:",$AN47)+3,SEARCH(";",$AN47,SEARCH(";3:",$AN47)+3)-SEARCH(";3:",$AN47)-3)),ROUND($AE47*(1+$J47/100),0)))</f>
        <v>14850</v>
      </c>
      <c r="AG47" s="28" t="str">
        <f>IF(OR($AA47="",4&gt;$AA47),"",IFERROR(VALUE(MID($AN47,SEARCH(";4:",$AN47)+3,SEARCH(";",$AN47,SEARCH(";4:",$AN47)+3)-SEARCH(";4:",$AN47)-3)),ROUND($AF47*(1+$J47/100),0)))</f>
        <v/>
      </c>
      <c r="AH47" s="28" t="str">
        <f>IF(OR($AA47="",5&gt;$AA47),"",IFERROR(VALUE(MID($AN47,SEARCH(";5:",$AN47)+3,SEARCH(";",$AN47,SEARCH(";5:",$AN47)+3)-SEARCH(";5:",$AN47)-3)),ROUND($AG47*(1+$J47/100),0)))</f>
        <v/>
      </c>
      <c r="AI47" s="28" t="str">
        <f>IF(OR($AA47="",6&gt;$AA47),"",IFERROR(VALUE(MID($AN47,SEARCH(";6:",$AN47)+3,SEARCH(";",$AN47,SEARCH(";6:",$AN47)+3)-SEARCH(";6:",$AN47)-3)),ROUND($AH47*(1+$J47/100),0)))</f>
        <v/>
      </c>
      <c r="AJ47" s="28" t="str">
        <f>IF(OR($AA47="",7&gt;$AA47),"",IFERROR(VALUE(MID($AN47,SEARCH(";7:",$AN47)+3,SEARCH(";",$AN47,SEARCH(";7:",$AN47)+3)-SEARCH(";7:",$AN47)-3)),ROUND($AI47*(1+$J47/100),0)))</f>
        <v/>
      </c>
      <c r="AK47" s="28" t="str">
        <f>IF(OR($AA47="",8&gt;$AA47),"",IFERROR(VALUE(MID($AN47,SEARCH(";8:",$AN47)+3,SEARCH(";",$AN47,SEARCH(";8:",$AN47)+3)-SEARCH(";8:",$AN47)-3)),ROUND($AJ47*(1+$J47/100),0)))</f>
        <v/>
      </c>
      <c r="AL47" s="28" t="str">
        <f>IF(OR($AA47="",9&gt;$AA47),"",IFERROR(VALUE(MID($AN47,SEARCH(";9:",$AN47)+3,SEARCH(";",$AN47,SEARCH(";9:",$AN47)+3)-SEARCH(";9:",$AN47)-3)),ROUND($AK47*(1+$J47/100),0)))</f>
        <v/>
      </c>
      <c r="AM47" s="28" t="str">
        <f>IF(OR($AA47="",10&gt;$AA47),"",IFERROR(VALUE(MID($AN47,SEARCH(";10:",$AN47)+4,SEARCH(";",$AN47,SEARCH(";10:",$AN47)+4)-SEARCH(";10:",$AN47)-4)),ROUND($AL47*(1+$J47/100),0)))</f>
        <v/>
      </c>
      <c r="AN47" s="36" t="str">
        <f>";"&amp;SUBSTITUTE(SUBSTITUTE(SUBSTITUTE(SUBSTITUTE(SUBSTITUTE(SUBSTITUTE($K47," ",""),"،",";"),CHAR(10),";"),"=",":"),",",""),"٫",".")&amp;";"</f>
        <v>;3:14850;</v>
      </c>
      <c r="AO47" s="36" t="str">
        <f>IF($T47="ساري",$B47,"")</f>
        <v>P03-403</v>
      </c>
    </row>
    <row r="48" spans="1:41" x14ac:dyDescent="0.25">
      <c r="A48" t="s">
        <v>333</v>
      </c>
      <c r="B48" t="s">
        <v>331</v>
      </c>
      <c r="C48" t="s">
        <v>332</v>
      </c>
      <c r="D48" s="27" t="str">
        <f>IF($Y48="","",IFERROR(INDEX('المشاريع'!$B:$B,MATCH($Y48,'المشاريع'!$A:$A,0)),""))</f>
        <v>ابو بكر</v>
      </c>
      <c r="E48" s="27" t="str">
        <f>IF($B48="","",IFERROR(INDEX('الوحدات'!$D:$D,MATCH($B48,'الوحدات'!$A:$A,0)),""))</f>
        <v>404</v>
      </c>
      <c r="F48" s="27" t="str">
        <f>IF($C48="","",IFERROR(INDEX('العملاء'!$B:$B,MATCH($C48,'العملاء'!$A:$A,0)),""))</f>
        <v>آية محمود بدوي</v>
      </c>
      <c r="G48" s="33">
        <v>46174</v>
      </c>
      <c r="H48" s="33">
        <v>46538</v>
      </c>
      <c r="I48" s="39">
        <v>13500</v>
      </c>
      <c r="J48">
        <v>0</v>
      </c>
      <c r="K48" t="s">
        <v>35</v>
      </c>
      <c r="L48" s="39">
        <v>0</v>
      </c>
      <c r="M48" t="s">
        <v>584</v>
      </c>
      <c r="N48">
        <v>1</v>
      </c>
      <c r="O48" t="s">
        <v>330</v>
      </c>
      <c r="P48" t="s">
        <v>35</v>
      </c>
      <c r="Q48">
        <v>49</v>
      </c>
      <c r="R48" t="s">
        <v>35</v>
      </c>
      <c r="S48" s="33"/>
      <c r="T48" s="27" t="str">
        <f>IF(NOT(AND(ISNUMBER($G48),ISNUMBER($H48))),"تواريخ غير صحيحة",IF(TODAY()&lt;$G48,"لم يبدأ",IF(TODAY()&gt;$H48,IF(IF($A48="",0,COUNTIF($O:$O,$A48))+IF($B48="",0,COUNTIFS($B:$B,$B48,$G:$G,"&gt;"&amp;$H48)-IF($G48&gt;$H48,1,0))&gt;0,"منتهٍ (أُجِّرت بعده)","منتهٍ"),"ساري")))</f>
        <v>ساري</v>
      </c>
      <c r="U48" s="28">
        <f>IF($X48="","",IF($X48&gt;10,13500,INDEX($AD48:$AM48,1,$X48)))</f>
        <v>13500</v>
      </c>
      <c r="V48" s="28">
        <f>IF($A48="","",SUMIFS('المدفوعات'!$F:$F,'المدفوعات'!$B:$B,$A48))</f>
        <v>40500</v>
      </c>
      <c r="W48" s="35">
        <v>0</v>
      </c>
      <c r="X48" s="34">
        <f>IF(OR(NOT(ISNUMBER($G48)),NOT(ISNUMBER($H48)),$AA48=""),"",IF(TODAY()&lt;$G48,1,MIN($AA48,DATEDIF($G48,TODAY(),"y")+1)))</f>
        <v>1</v>
      </c>
      <c r="Y48" s="27" t="str">
        <f>IF($B48="","",IFERROR(INDEX('الوحدات'!$B:$B,MATCH($B48,'الوحدات'!$A:$A,0)),""))</f>
        <v>P03</v>
      </c>
      <c r="Z48" s="34">
        <f>IF(ISNUMBER($H48),$H48-TODAY(),"")</f>
        <v>233</v>
      </c>
      <c r="AA48" s="34">
        <f>IF(AND(ISNUMBER($G48),ISNUMBER($H48)),IFERROR(DATEDIF($G48,$H48,"y")+1,""),"")</f>
        <v>1</v>
      </c>
      <c r="AB48" s="37" t="str">
        <f>IF(OR($X48="",$X48&gt;=$AA48),"",DATE(YEAR($G48)+$X48,MONTH($G48),DAY($G48)))</f>
        <v/>
      </c>
      <c r="AC48" s="28" t="str">
        <f>IF($AB48="","",IF($X48+1&gt;10,0,INDEX($AD48:$AM48,1,$X48+1)))</f>
        <v/>
      </c>
      <c r="AD48" s="28">
        <f>IF($AA48="","",IFERROR(VALUE(MID($AN48,SEARCH(";1:",$AN48)+3,SEARCH(";",$AN48,SEARCH(";1:",$AN48)+3)-SEARCH(";1:",$AN48)-3)),$I48))</f>
        <v>13500</v>
      </c>
      <c r="AE48" s="28" t="str">
        <f>IF(OR($AA48="",2&gt;$AA48),"",IFERROR(VALUE(MID($AN48,SEARCH(";2:",$AN48)+3,SEARCH(";",$AN48,SEARCH(";2:",$AN48)+3)-SEARCH(";2:",$AN48)-3)),ROUND($AD48*(1+$J48/100),0)))</f>
        <v/>
      </c>
      <c r="AF48" s="28" t="str">
        <f>IF(OR($AA48="",3&gt;$AA48),"",IFERROR(VALUE(MID($AN48,SEARCH(";3:",$AN48)+3,SEARCH(";",$AN48,SEARCH(";3:",$AN48)+3)-SEARCH(";3:",$AN48)-3)),ROUND($AE48*(1+$J48/100),0)))</f>
        <v/>
      </c>
      <c r="AG48" s="28" t="str">
        <f>IF(OR($AA48="",4&gt;$AA48),"",IFERROR(VALUE(MID($AN48,SEARCH(";4:",$AN48)+3,SEARCH(";",$AN48,SEARCH(";4:",$AN48)+3)-SEARCH(";4:",$AN48)-3)),ROUND($AF48*(1+$J48/100),0)))</f>
        <v/>
      </c>
      <c r="AH48" s="28" t="str">
        <f>IF(OR($AA48="",5&gt;$AA48),"",IFERROR(VALUE(MID($AN48,SEARCH(";5:",$AN48)+3,SEARCH(";",$AN48,SEARCH(";5:",$AN48)+3)-SEARCH(";5:",$AN48)-3)),ROUND($AG48*(1+$J48/100),0)))</f>
        <v/>
      </c>
      <c r="AI48" s="28" t="str">
        <f>IF(OR($AA48="",6&gt;$AA48),"",IFERROR(VALUE(MID($AN48,SEARCH(";6:",$AN48)+3,SEARCH(";",$AN48,SEARCH(";6:",$AN48)+3)-SEARCH(";6:",$AN48)-3)),ROUND($AH48*(1+$J48/100),0)))</f>
        <v/>
      </c>
      <c r="AJ48" s="28" t="str">
        <f>IF(OR($AA48="",7&gt;$AA48),"",IFERROR(VALUE(MID($AN48,SEARCH(";7:",$AN48)+3,SEARCH(";",$AN48,SEARCH(";7:",$AN48)+3)-SEARCH(";7:",$AN48)-3)),ROUND($AI48*(1+$J48/100),0)))</f>
        <v/>
      </c>
      <c r="AK48" s="28" t="str">
        <f>IF(OR($AA48="",8&gt;$AA48),"",IFERROR(VALUE(MID($AN48,SEARCH(";8:",$AN48)+3,SEARCH(";",$AN48,SEARCH(";8:",$AN48)+3)-SEARCH(";8:",$AN48)-3)),ROUND($AJ48*(1+$J48/100),0)))</f>
        <v/>
      </c>
      <c r="AL48" s="28" t="str">
        <f>IF(OR($AA48="",9&gt;$AA48),"",IFERROR(VALUE(MID($AN48,SEARCH(";9:",$AN48)+3,SEARCH(";",$AN48,SEARCH(";9:",$AN48)+3)-SEARCH(";9:",$AN48)-3)),ROUND($AK48*(1+$J48/100),0)))</f>
        <v/>
      </c>
      <c r="AM48" s="28" t="str">
        <f>IF(OR($AA48="",10&gt;$AA48),"",IFERROR(VALUE(MID($AN48,SEARCH(";10:",$AN48)+4,SEARCH(";",$AN48,SEARCH(";10:",$AN48)+4)-SEARCH(";10:",$AN48)-4)),ROUND($AL48*(1+$J48/100),0)))</f>
        <v/>
      </c>
      <c r="AN48" s="36" t="str">
        <f>";"&amp;SUBSTITUTE(SUBSTITUTE(SUBSTITUTE(SUBSTITUTE(SUBSTITUTE(SUBSTITUTE($K48," ",""),"،",";"),CHAR(10),";"),"=",":"),",",""),"٫",".")&amp;";"</f>
        <v>;;</v>
      </c>
      <c r="AO48" s="36" t="str">
        <f>IF($T48="ساري",$B48,"")</f>
        <v>P03-404</v>
      </c>
    </row>
    <row r="49" spans="1:41" x14ac:dyDescent="0.25">
      <c r="A49" t="s">
        <v>341</v>
      </c>
      <c r="B49" t="s">
        <v>339</v>
      </c>
      <c r="C49" t="s">
        <v>340</v>
      </c>
      <c r="D49" s="27" t="str">
        <f>IF($Y49="","",IFERROR(INDEX('المشاريع'!$B:$B,MATCH($Y49,'المشاريع'!$A:$A,0)),""))</f>
        <v>ابو بكر</v>
      </c>
      <c r="E49" s="27" t="str">
        <f>IF($B49="","",IFERROR(INDEX('الوحدات'!$D:$D,MATCH($B49,'الوحدات'!$A:$A,0)),""))</f>
        <v>405</v>
      </c>
      <c r="F49" s="27" t="str">
        <f>IF($C49="","",IFERROR(INDEX('العملاء'!$B:$B,MATCH($C49,'العملاء'!$A:$A,0)),""))</f>
        <v>شركة الأصيل للإنتاج الفني</v>
      </c>
      <c r="G49" s="33">
        <v>46082</v>
      </c>
      <c r="H49" s="33">
        <v>46446</v>
      </c>
      <c r="I49" s="39">
        <v>14000</v>
      </c>
      <c r="J49">
        <v>0</v>
      </c>
      <c r="K49" t="s">
        <v>35</v>
      </c>
      <c r="L49" s="39">
        <v>0</v>
      </c>
      <c r="M49" t="s">
        <v>584</v>
      </c>
      <c r="N49">
        <v>1</v>
      </c>
      <c r="O49" t="s">
        <v>338</v>
      </c>
      <c r="P49" t="s">
        <v>35</v>
      </c>
      <c r="Q49">
        <v>50</v>
      </c>
      <c r="R49" t="s">
        <v>35</v>
      </c>
      <c r="S49" s="33"/>
      <c r="T49" s="27" t="str">
        <f>IF(NOT(AND(ISNUMBER($G49),ISNUMBER($H49))),"تواريخ غير صحيحة",IF(TODAY()&lt;$G49,"لم يبدأ",IF(TODAY()&gt;$H49,IF(IF($A49="",0,COUNTIF($O:$O,$A49))+IF($B49="",0,COUNTIFS($B:$B,$B49,$G:$G,"&gt;"&amp;$H49)-IF($G49&gt;$H49,1,0))&gt;0,"منتهٍ (أُجِّرت بعده)","منتهٍ"),"ساري")))</f>
        <v>ساري</v>
      </c>
      <c r="U49" s="28">
        <f>IF($X49="","",IF($X49&gt;10,14000,INDEX($AD49:$AM49,1,$X49)))</f>
        <v>14000</v>
      </c>
      <c r="V49" s="28">
        <f>IF($A49="","",SUMIFS('المدفوعات'!$F:$F,'المدفوعات'!$B:$B,$A49))</f>
        <v>84000</v>
      </c>
      <c r="W49" s="35">
        <v>0</v>
      </c>
      <c r="X49" s="34">
        <f>IF(OR(NOT(ISNUMBER($G49)),NOT(ISNUMBER($H49)),$AA49=""),"",IF(TODAY()&lt;$G49,1,MIN($AA49,DATEDIF($G49,TODAY(),"y")+1)))</f>
        <v>1</v>
      </c>
      <c r="Y49" s="27" t="str">
        <f>IF($B49="","",IFERROR(INDEX('الوحدات'!$B:$B,MATCH($B49,'الوحدات'!$A:$A,0)),""))</f>
        <v>P03</v>
      </c>
      <c r="Z49" s="34">
        <f>IF(ISNUMBER($H49),$H49-TODAY(),"")</f>
        <v>141</v>
      </c>
      <c r="AA49" s="34">
        <f>IF(AND(ISNUMBER($G49),ISNUMBER($H49)),IFERROR(DATEDIF($G49,$H49,"y")+1,""),"")</f>
        <v>1</v>
      </c>
      <c r="AB49" s="37" t="str">
        <f>IF(OR($X49="",$X49&gt;=$AA49),"",DATE(YEAR($G49)+$X49,MONTH($G49),DAY($G49)))</f>
        <v/>
      </c>
      <c r="AC49" s="28" t="str">
        <f>IF($AB49="","",IF($X49+1&gt;10,0,INDEX($AD49:$AM49,1,$X49+1)))</f>
        <v/>
      </c>
      <c r="AD49" s="28">
        <f>IF($AA49="","",IFERROR(VALUE(MID($AN49,SEARCH(";1:",$AN49)+3,SEARCH(";",$AN49,SEARCH(";1:",$AN49)+3)-SEARCH(";1:",$AN49)-3)),$I49))</f>
        <v>14000</v>
      </c>
      <c r="AE49" s="28" t="str">
        <f>IF(OR($AA49="",2&gt;$AA49),"",IFERROR(VALUE(MID($AN49,SEARCH(";2:",$AN49)+3,SEARCH(";",$AN49,SEARCH(";2:",$AN49)+3)-SEARCH(";2:",$AN49)-3)),ROUND($AD49*(1+$J49/100),0)))</f>
        <v/>
      </c>
      <c r="AF49" s="28" t="str">
        <f>IF(OR($AA49="",3&gt;$AA49),"",IFERROR(VALUE(MID($AN49,SEARCH(";3:",$AN49)+3,SEARCH(";",$AN49,SEARCH(";3:",$AN49)+3)-SEARCH(";3:",$AN49)-3)),ROUND($AE49*(1+$J49/100),0)))</f>
        <v/>
      </c>
      <c r="AG49" s="28" t="str">
        <f>IF(OR($AA49="",4&gt;$AA49),"",IFERROR(VALUE(MID($AN49,SEARCH(";4:",$AN49)+3,SEARCH(";",$AN49,SEARCH(";4:",$AN49)+3)-SEARCH(";4:",$AN49)-3)),ROUND($AF49*(1+$J49/100),0)))</f>
        <v/>
      </c>
      <c r="AH49" s="28" t="str">
        <f>IF(OR($AA49="",5&gt;$AA49),"",IFERROR(VALUE(MID($AN49,SEARCH(";5:",$AN49)+3,SEARCH(";",$AN49,SEARCH(";5:",$AN49)+3)-SEARCH(";5:",$AN49)-3)),ROUND($AG49*(1+$J49/100),0)))</f>
        <v/>
      </c>
      <c r="AI49" s="28" t="str">
        <f>IF(OR($AA49="",6&gt;$AA49),"",IFERROR(VALUE(MID($AN49,SEARCH(";6:",$AN49)+3,SEARCH(";",$AN49,SEARCH(";6:",$AN49)+3)-SEARCH(";6:",$AN49)-3)),ROUND($AH49*(1+$J49/100),0)))</f>
        <v/>
      </c>
      <c r="AJ49" s="28" t="str">
        <f>IF(OR($AA49="",7&gt;$AA49),"",IFERROR(VALUE(MID($AN49,SEARCH(";7:",$AN49)+3,SEARCH(";",$AN49,SEARCH(";7:",$AN49)+3)-SEARCH(";7:",$AN49)-3)),ROUND($AI49*(1+$J49/100),0)))</f>
        <v/>
      </c>
      <c r="AK49" s="28" t="str">
        <f>IF(OR($AA49="",8&gt;$AA49),"",IFERROR(VALUE(MID($AN49,SEARCH(";8:",$AN49)+3,SEARCH(";",$AN49,SEARCH(";8:",$AN49)+3)-SEARCH(";8:",$AN49)-3)),ROUND($AJ49*(1+$J49/100),0)))</f>
        <v/>
      </c>
      <c r="AL49" s="28" t="str">
        <f>IF(OR($AA49="",9&gt;$AA49),"",IFERROR(VALUE(MID($AN49,SEARCH(";9:",$AN49)+3,SEARCH(";",$AN49,SEARCH(";9:",$AN49)+3)-SEARCH(";9:",$AN49)-3)),ROUND($AK49*(1+$J49/100),0)))</f>
        <v/>
      </c>
      <c r="AM49" s="28" t="str">
        <f>IF(OR($AA49="",10&gt;$AA49),"",IFERROR(VALUE(MID($AN49,SEARCH(";10:",$AN49)+4,SEARCH(";",$AN49,SEARCH(";10:",$AN49)+4)-SEARCH(";10:",$AN49)-4)),ROUND($AL49*(1+$J49/100),0)))</f>
        <v/>
      </c>
      <c r="AN49" s="36" t="str">
        <f>";"&amp;SUBSTITUTE(SUBSTITUTE(SUBSTITUTE(SUBSTITUTE(SUBSTITUTE(SUBSTITUTE($K49," ",""),"،",";"),CHAR(10),";"),"=",":"),",",""),"٫",".")&amp;";"</f>
        <v>;;</v>
      </c>
      <c r="AO49" s="36" t="str">
        <f>IF($T49="ساري",$B49,"")</f>
        <v>P03-405</v>
      </c>
    </row>
    <row r="50" spans="1:41" x14ac:dyDescent="0.25">
      <c r="A50" t="s">
        <v>346</v>
      </c>
      <c r="B50" t="s">
        <v>347</v>
      </c>
      <c r="C50" t="s">
        <v>348</v>
      </c>
      <c r="D50" s="27" t="str">
        <f>IF($Y50="","",IFERROR(INDEX('المشاريع'!$B:$B,MATCH($Y50,'المشاريع'!$A:$A,0)),""))</f>
        <v>ابو بكر</v>
      </c>
      <c r="E50" s="27" t="str">
        <f>IF($B50="","",IFERROR(INDEX('الوحدات'!$D:$D,MATCH($B50,'الوحدات'!$A:$A,0)),""))</f>
        <v>406</v>
      </c>
      <c r="F50" s="27" t="str">
        <f>IF($C50="","",IFERROR(INDEX('العملاء'!$B:$B,MATCH($C50,'العملاء'!$A:$A,0)),""))</f>
        <v>شركة البركة للاستشارات الهندسية</v>
      </c>
      <c r="G50" s="33">
        <v>45302</v>
      </c>
      <c r="H50" s="33">
        <v>46397</v>
      </c>
      <c r="I50" s="39">
        <v>14565</v>
      </c>
      <c r="J50">
        <v>0</v>
      </c>
      <c r="K50" t="s">
        <v>606</v>
      </c>
      <c r="L50" s="39">
        <v>0</v>
      </c>
      <c r="M50" t="s">
        <v>584</v>
      </c>
      <c r="N50">
        <v>1</v>
      </c>
      <c r="O50" t="s">
        <v>35</v>
      </c>
      <c r="P50" t="s">
        <v>35</v>
      </c>
      <c r="Q50">
        <v>51</v>
      </c>
      <c r="R50" t="s">
        <v>35</v>
      </c>
      <c r="S50" s="33"/>
      <c r="T50" s="27" t="str">
        <f>IF(NOT(AND(ISNUMBER($G50),ISNUMBER($H50))),"تواريخ غير صحيحة",IF(TODAY()&lt;$G50,"لم يبدأ",IF(TODAY()&gt;$H50,IF(IF($A50="",0,COUNTIF($O:$O,$A50))+IF($B50="",0,COUNTIFS($B:$B,$B50,$G:$G,"&gt;"&amp;$H50)-IF($G50&gt;$H50,1,0))&gt;0,"منتهٍ (أُجِّرت بعده)","منتهٍ"),"ساري")))</f>
        <v>ساري</v>
      </c>
      <c r="U50" s="28">
        <f>IF($X50="","",IF($X50&gt;10,14565,INDEX($AD50:$AM50,1,$X50)))</f>
        <v>14565</v>
      </c>
      <c r="V50" s="28">
        <f>IF($A50="","",SUMIFS('المدفوعات'!$F:$F,'المدفوعات'!$B:$B,$A50))</f>
        <v>125350</v>
      </c>
      <c r="W50" s="35">
        <v>0</v>
      </c>
      <c r="X50" s="34">
        <f>IF(OR(NOT(ISNUMBER($G50)),NOT(ISNUMBER($H50)),$AA50=""),"",IF(TODAY()&lt;$G50,1,MIN($AA50,DATEDIF($G50,TODAY(),"y")+1)))</f>
        <v>3</v>
      </c>
      <c r="Y50" s="27" t="str">
        <f>IF($B50="","",IFERROR(INDEX('الوحدات'!$B:$B,MATCH($B50,'الوحدات'!$A:$A,0)),""))</f>
        <v>P03</v>
      </c>
      <c r="Z50" s="34">
        <f>IF(ISNUMBER($H50),$H50-TODAY(),"")</f>
        <v>92</v>
      </c>
      <c r="AA50" s="34">
        <f>IF(AND(ISNUMBER($G50),ISNUMBER($H50)),IFERROR(DATEDIF($G50,$H50,"y")+1,""),"")</f>
        <v>3</v>
      </c>
      <c r="AB50" s="37" t="str">
        <f>IF(OR($X50="",$X50&gt;=$AA50),"",DATE(YEAR($G50)+$X50,MONTH($G50),DAY($G50)))</f>
        <v/>
      </c>
      <c r="AC50" s="28" t="str">
        <f>IF($AB50="","",IF($X50+1&gt;10,0,INDEX($AD50:$AM50,1,$X50+1)))</f>
        <v/>
      </c>
      <c r="AD50" s="28">
        <f>IF($AA50="","",IFERROR(VALUE(MID($AN50,SEARCH(";1:",$AN50)+3,SEARCH(";",$AN50,SEARCH(";1:",$AN50)+3)-SEARCH(";1:",$AN50)-3)),$I50))</f>
        <v>14565</v>
      </c>
      <c r="AE50" s="28">
        <f>IF(OR($AA50="",2&gt;$AA50),"",IFERROR(VALUE(MID($AN50,SEARCH(";2:",$AN50)+3,SEARCH(";",$AN50,SEARCH(";2:",$AN50)+3)-SEARCH(";2:",$AN50)-3)),ROUND($AD50*(1+$J50/100),0)))</f>
        <v>14565</v>
      </c>
      <c r="AF50" s="28">
        <f>IF(OR($AA50="",3&gt;$AA50),"",IFERROR(VALUE(MID($AN50,SEARCH(";3:",$AN50)+3,SEARCH(";",$AN50,SEARCH(";3:",$AN50)+3)-SEARCH(";3:",$AN50)-3)),ROUND($AE50*(1+$J50/100),0)))</f>
        <v>14565</v>
      </c>
      <c r="AG50" s="28" t="str">
        <f>IF(OR($AA50="",4&gt;$AA50),"",IFERROR(VALUE(MID($AN50,SEARCH(";4:",$AN50)+3,SEARCH(";",$AN50,SEARCH(";4:",$AN50)+3)-SEARCH(";4:",$AN50)-3)),ROUND($AF50*(1+$J50/100),0)))</f>
        <v/>
      </c>
      <c r="AH50" s="28" t="str">
        <f>IF(OR($AA50="",5&gt;$AA50),"",IFERROR(VALUE(MID($AN50,SEARCH(";5:",$AN50)+3,SEARCH(";",$AN50,SEARCH(";5:",$AN50)+3)-SEARCH(";5:",$AN50)-3)),ROUND($AG50*(1+$J50/100),0)))</f>
        <v/>
      </c>
      <c r="AI50" s="28" t="str">
        <f>IF(OR($AA50="",6&gt;$AA50),"",IFERROR(VALUE(MID($AN50,SEARCH(";6:",$AN50)+3,SEARCH(";",$AN50,SEARCH(";6:",$AN50)+3)-SEARCH(";6:",$AN50)-3)),ROUND($AH50*(1+$J50/100),0)))</f>
        <v/>
      </c>
      <c r="AJ50" s="28" t="str">
        <f>IF(OR($AA50="",7&gt;$AA50),"",IFERROR(VALUE(MID($AN50,SEARCH(";7:",$AN50)+3,SEARCH(";",$AN50,SEARCH(";7:",$AN50)+3)-SEARCH(";7:",$AN50)-3)),ROUND($AI50*(1+$J50/100),0)))</f>
        <v/>
      </c>
      <c r="AK50" s="28" t="str">
        <f>IF(OR($AA50="",8&gt;$AA50),"",IFERROR(VALUE(MID($AN50,SEARCH(";8:",$AN50)+3,SEARCH(";",$AN50,SEARCH(";8:",$AN50)+3)-SEARCH(";8:",$AN50)-3)),ROUND($AJ50*(1+$J50/100),0)))</f>
        <v/>
      </c>
      <c r="AL50" s="28" t="str">
        <f>IF(OR($AA50="",9&gt;$AA50),"",IFERROR(VALUE(MID($AN50,SEARCH(";9:",$AN50)+3,SEARCH(";",$AN50,SEARCH(";9:",$AN50)+3)-SEARCH(";9:",$AN50)-3)),ROUND($AK50*(1+$J50/100),0)))</f>
        <v/>
      </c>
      <c r="AM50" s="28" t="str">
        <f>IF(OR($AA50="",10&gt;$AA50),"",IFERROR(VALUE(MID($AN50,SEARCH(";10:",$AN50)+4,SEARCH(";",$AN50,SEARCH(";10:",$AN50)+4)-SEARCH(";10:",$AN50)-4)),ROUND($AL50*(1+$J50/100),0)))</f>
        <v/>
      </c>
      <c r="AN50" s="36" t="str">
        <f>";"&amp;SUBSTITUTE(SUBSTITUTE(SUBSTITUTE(SUBSTITUTE(SUBSTITUTE(SUBSTITUTE($K50," ",""),"،",";"),CHAR(10),";"),"=",":"),",",""),"٫",".")&amp;";"</f>
        <v>;3:14565;</v>
      </c>
      <c r="AO50" s="36" t="str">
        <f>IF($T50="ساري",$B50,"")</f>
        <v>P03-406</v>
      </c>
    </row>
    <row r="51" spans="1:41" x14ac:dyDescent="0.25">
      <c r="A51" t="s">
        <v>353</v>
      </c>
      <c r="B51" t="s">
        <v>354</v>
      </c>
      <c r="C51" t="s">
        <v>355</v>
      </c>
      <c r="D51" s="27" t="str">
        <f>IF($Y51="","",IFERROR(INDEX('المشاريع'!$B:$B,MATCH($Y51,'المشاريع'!$A:$A,0)),""))</f>
        <v>ابو بكر</v>
      </c>
      <c r="E51" s="27" t="str">
        <f>IF($B51="","",IFERROR(INDEX('الوحدات'!$D:$D,MATCH($B51,'الوحدات'!$A:$A,0)),""))</f>
        <v>407</v>
      </c>
      <c r="F51" s="27" t="str">
        <f>IF($C51="","",IFERROR(INDEX('العملاء'!$B:$B,MATCH($C51,'العملاء'!$A:$A,0)),""))</f>
        <v>شركة الهرم لتكنولوجيا المعلومات</v>
      </c>
      <c r="G51" s="33">
        <v>46023</v>
      </c>
      <c r="H51" s="33">
        <v>46387</v>
      </c>
      <c r="I51" s="39">
        <v>16500</v>
      </c>
      <c r="J51">
        <v>0</v>
      </c>
      <c r="K51" t="s">
        <v>35</v>
      </c>
      <c r="L51" s="39">
        <v>0</v>
      </c>
      <c r="M51" t="s">
        <v>584</v>
      </c>
      <c r="N51">
        <v>1</v>
      </c>
      <c r="O51" t="s">
        <v>35</v>
      </c>
      <c r="P51" t="s">
        <v>352</v>
      </c>
      <c r="Q51">
        <v>52</v>
      </c>
      <c r="R51" t="s">
        <v>35</v>
      </c>
      <c r="S51" s="33"/>
      <c r="T51" s="27" t="str">
        <f>IF(NOT(AND(ISNUMBER($G51),ISNUMBER($H51))),"تواريخ غير صحيحة",IF(TODAY()&lt;$G51,"لم يبدأ",IF(TODAY()&gt;$H51,IF(IF($A51="",0,COUNTIF($O:$O,$A51))+IF($B51="",0,COUNTIFS($B:$B,$B51,$G:$G,"&gt;"&amp;$H51)-IF($G51&gt;$H51,1,0))&gt;0,"منتهٍ (أُجِّرت بعده)","منتهٍ"),"ساري")))</f>
        <v>ساري</v>
      </c>
      <c r="U51" s="28">
        <f>IF($X51="","",IF($X51&gt;10,16500,INDEX($AD51:$AM51,1,$X51)))</f>
        <v>16500</v>
      </c>
      <c r="V51" s="28">
        <f>IF($A51="","",SUMIFS('المدفوعات'!$F:$F,'المدفوعات'!$B:$B,$A51))</f>
        <v>132000</v>
      </c>
      <c r="W51" s="35">
        <v>0</v>
      </c>
      <c r="X51" s="34">
        <f>IF(OR(NOT(ISNUMBER($G51)),NOT(ISNUMBER($H51)),$AA51=""),"",IF(TODAY()&lt;$G51,1,MIN($AA51,DATEDIF($G51,TODAY(),"y")+1)))</f>
        <v>1</v>
      </c>
      <c r="Y51" s="27" t="str">
        <f>IF($B51="","",IFERROR(INDEX('الوحدات'!$B:$B,MATCH($B51,'الوحدات'!$A:$A,0)),""))</f>
        <v>P03</v>
      </c>
      <c r="Z51" s="34">
        <f>IF(ISNUMBER($H51),$H51-TODAY(),"")</f>
        <v>82</v>
      </c>
      <c r="AA51" s="34">
        <f>IF(AND(ISNUMBER($G51),ISNUMBER($H51)),IFERROR(DATEDIF($G51,$H51,"y")+1,""),"")</f>
        <v>1</v>
      </c>
      <c r="AB51" s="37" t="str">
        <f>IF(OR($X51="",$X51&gt;=$AA51),"",DATE(YEAR($G51)+$X51,MONTH($G51),DAY($G51)))</f>
        <v/>
      </c>
      <c r="AC51" s="28" t="str">
        <f>IF($AB51="","",IF($X51+1&gt;10,0,INDEX($AD51:$AM51,1,$X51+1)))</f>
        <v/>
      </c>
      <c r="AD51" s="28">
        <f>IF($AA51="","",IFERROR(VALUE(MID($AN51,SEARCH(";1:",$AN51)+3,SEARCH(";",$AN51,SEARCH(";1:",$AN51)+3)-SEARCH(";1:",$AN51)-3)),$I51))</f>
        <v>16500</v>
      </c>
      <c r="AE51" s="28" t="str">
        <f>IF(OR($AA51="",2&gt;$AA51),"",IFERROR(VALUE(MID($AN51,SEARCH(";2:",$AN51)+3,SEARCH(";",$AN51,SEARCH(";2:",$AN51)+3)-SEARCH(";2:",$AN51)-3)),ROUND($AD51*(1+$J51/100),0)))</f>
        <v/>
      </c>
      <c r="AF51" s="28" t="str">
        <f>IF(OR($AA51="",3&gt;$AA51),"",IFERROR(VALUE(MID($AN51,SEARCH(";3:",$AN51)+3,SEARCH(";",$AN51,SEARCH(";3:",$AN51)+3)-SEARCH(";3:",$AN51)-3)),ROUND($AE51*(1+$J51/100),0)))</f>
        <v/>
      </c>
      <c r="AG51" s="28" t="str">
        <f>IF(OR($AA51="",4&gt;$AA51),"",IFERROR(VALUE(MID($AN51,SEARCH(";4:",$AN51)+3,SEARCH(";",$AN51,SEARCH(";4:",$AN51)+3)-SEARCH(";4:",$AN51)-3)),ROUND($AF51*(1+$J51/100),0)))</f>
        <v/>
      </c>
      <c r="AH51" s="28" t="str">
        <f>IF(OR($AA51="",5&gt;$AA51),"",IFERROR(VALUE(MID($AN51,SEARCH(";5:",$AN51)+3,SEARCH(";",$AN51,SEARCH(";5:",$AN51)+3)-SEARCH(";5:",$AN51)-3)),ROUND($AG51*(1+$J51/100),0)))</f>
        <v/>
      </c>
      <c r="AI51" s="28" t="str">
        <f>IF(OR($AA51="",6&gt;$AA51),"",IFERROR(VALUE(MID($AN51,SEARCH(";6:",$AN51)+3,SEARCH(";",$AN51,SEARCH(";6:",$AN51)+3)-SEARCH(";6:",$AN51)-3)),ROUND($AH51*(1+$J51/100),0)))</f>
        <v/>
      </c>
      <c r="AJ51" s="28" t="str">
        <f>IF(OR($AA51="",7&gt;$AA51),"",IFERROR(VALUE(MID($AN51,SEARCH(";7:",$AN51)+3,SEARCH(";",$AN51,SEARCH(";7:",$AN51)+3)-SEARCH(";7:",$AN51)-3)),ROUND($AI51*(1+$J51/100),0)))</f>
        <v/>
      </c>
      <c r="AK51" s="28" t="str">
        <f>IF(OR($AA51="",8&gt;$AA51),"",IFERROR(VALUE(MID($AN51,SEARCH(";8:",$AN51)+3,SEARCH(";",$AN51,SEARCH(";8:",$AN51)+3)-SEARCH(";8:",$AN51)-3)),ROUND($AJ51*(1+$J51/100),0)))</f>
        <v/>
      </c>
      <c r="AL51" s="28" t="str">
        <f>IF(OR($AA51="",9&gt;$AA51),"",IFERROR(VALUE(MID($AN51,SEARCH(";9:",$AN51)+3,SEARCH(";",$AN51,SEARCH(";9:",$AN51)+3)-SEARCH(";9:",$AN51)-3)),ROUND($AK51*(1+$J51/100),0)))</f>
        <v/>
      </c>
      <c r="AM51" s="28" t="str">
        <f>IF(OR($AA51="",10&gt;$AA51),"",IFERROR(VALUE(MID($AN51,SEARCH(";10:",$AN51)+4,SEARCH(";",$AN51,SEARCH(";10:",$AN51)+4)-SEARCH(";10:",$AN51)-4)),ROUND($AL51*(1+$J51/100),0)))</f>
        <v/>
      </c>
      <c r="AN51" s="36" t="str">
        <f>";"&amp;SUBSTITUTE(SUBSTITUTE(SUBSTITUTE(SUBSTITUTE(SUBSTITUTE(SUBSTITUTE($K51," ",""),"،",";"),CHAR(10),";"),"=",":"),",",""),"٫",".")&amp;";"</f>
        <v>;;</v>
      </c>
      <c r="AO51" s="36" t="str">
        <f>IF($T51="ساري",$B51,"")</f>
        <v>P03-407</v>
      </c>
    </row>
    <row r="52" spans="1:41" x14ac:dyDescent="0.25">
      <c r="A52" t="s">
        <v>359</v>
      </c>
      <c r="B52" t="s">
        <v>360</v>
      </c>
      <c r="C52" t="s">
        <v>361</v>
      </c>
      <c r="D52" s="27" t="str">
        <f>IF($Y52="","",IFERROR(INDEX('المشاريع'!$B:$B,MATCH($Y52,'المشاريع'!$A:$A,0)),""))</f>
        <v>ابو بكر</v>
      </c>
      <c r="E52" s="27" t="str">
        <f>IF($B52="","",IFERROR(INDEX('الوحدات'!$D:$D,MATCH($B52,'الوحدات'!$A:$A,0)),""))</f>
        <v>408</v>
      </c>
      <c r="F52" s="27" t="str">
        <f>IF($C52="","",IFERROR(INDEX('العملاء'!$B:$B,MATCH($C52,'العملاء'!$A:$A,0)),""))</f>
        <v>مصطفى وليد الجندي</v>
      </c>
      <c r="G52" s="33">
        <v>45931</v>
      </c>
      <c r="H52" s="33">
        <v>46295</v>
      </c>
      <c r="I52" s="39">
        <v>18500</v>
      </c>
      <c r="J52">
        <v>0</v>
      </c>
      <c r="K52" t="s">
        <v>35</v>
      </c>
      <c r="L52" s="39">
        <v>0</v>
      </c>
      <c r="M52" t="s">
        <v>584</v>
      </c>
      <c r="N52">
        <v>1</v>
      </c>
      <c r="O52" t="s">
        <v>35</v>
      </c>
      <c r="P52" t="s">
        <v>35</v>
      </c>
      <c r="Q52">
        <v>53</v>
      </c>
      <c r="R52" t="s">
        <v>35</v>
      </c>
      <c r="S52" s="33"/>
      <c r="T52" s="27" t="str">
        <f>IF(NOT(AND(ISNUMBER($G52),ISNUMBER($H52))),"تواريخ غير صحيحة",IF(TODAY()&lt;$G52,"لم يبدأ",IF(TODAY()&gt;$H52,IF(IF($A52="",0,COUNTIF($O:$O,$A52))+IF($B52="",0,COUNTIFS($B:$B,$B52,$G:$G,"&gt;"&amp;$H52)-IF($G52&gt;$H52,1,0))&gt;0,"منتهٍ (أُجِّرت بعده)","منتهٍ"),"ساري")))</f>
        <v>منتهٍ</v>
      </c>
      <c r="U52" s="28">
        <f>IF($X52="","",IF($X52&gt;10,18500,INDEX($AD52:$AM52,1,$X52)))</f>
        <v>18500</v>
      </c>
      <c r="V52" s="28">
        <f>IF($A52="","",SUMIFS('المدفوعات'!$F:$F,'المدفوعات'!$B:$B,$A52))</f>
        <v>148000</v>
      </c>
      <c r="W52" s="35">
        <v>0</v>
      </c>
      <c r="X52" s="34">
        <f>IF(OR(NOT(ISNUMBER($G52)),NOT(ISNUMBER($H52)),$AA52=""),"",IF(TODAY()&lt;$G52,1,MIN($AA52,DATEDIF($G52,TODAY(),"y")+1)))</f>
        <v>1</v>
      </c>
      <c r="Y52" s="27" t="str">
        <f>IF($B52="","",IFERROR(INDEX('الوحدات'!$B:$B,MATCH($B52,'الوحدات'!$A:$A,0)),""))</f>
        <v>P03</v>
      </c>
      <c r="Z52" s="34">
        <f>IF(ISNUMBER($H52),$H52-TODAY(),"")</f>
        <v>-10</v>
      </c>
      <c r="AA52" s="34">
        <f>IF(AND(ISNUMBER($G52),ISNUMBER($H52)),IFERROR(DATEDIF($G52,$H52,"y")+1,""),"")</f>
        <v>1</v>
      </c>
      <c r="AB52" s="37" t="str">
        <f>IF(OR($X52="",$X52&gt;=$AA52),"",DATE(YEAR($G52)+$X52,MONTH($G52),DAY($G52)))</f>
        <v/>
      </c>
      <c r="AC52" s="28" t="str">
        <f>IF($AB52="","",IF($X52+1&gt;10,0,INDEX($AD52:$AM52,1,$X52+1)))</f>
        <v/>
      </c>
      <c r="AD52" s="28">
        <f>IF($AA52="","",IFERROR(VALUE(MID($AN52,SEARCH(";1:",$AN52)+3,SEARCH(";",$AN52,SEARCH(";1:",$AN52)+3)-SEARCH(";1:",$AN52)-3)),$I52))</f>
        <v>18500</v>
      </c>
      <c r="AE52" s="28" t="str">
        <f>IF(OR($AA52="",2&gt;$AA52),"",IFERROR(VALUE(MID($AN52,SEARCH(";2:",$AN52)+3,SEARCH(";",$AN52,SEARCH(";2:",$AN52)+3)-SEARCH(";2:",$AN52)-3)),ROUND($AD52*(1+$J52/100),0)))</f>
        <v/>
      </c>
      <c r="AF52" s="28" t="str">
        <f>IF(OR($AA52="",3&gt;$AA52),"",IFERROR(VALUE(MID($AN52,SEARCH(";3:",$AN52)+3,SEARCH(";",$AN52,SEARCH(";3:",$AN52)+3)-SEARCH(";3:",$AN52)-3)),ROUND($AE52*(1+$J52/100),0)))</f>
        <v/>
      </c>
      <c r="AG52" s="28" t="str">
        <f>IF(OR($AA52="",4&gt;$AA52),"",IFERROR(VALUE(MID($AN52,SEARCH(";4:",$AN52)+3,SEARCH(";",$AN52,SEARCH(";4:",$AN52)+3)-SEARCH(";4:",$AN52)-3)),ROUND($AF52*(1+$J52/100),0)))</f>
        <v/>
      </c>
      <c r="AH52" s="28" t="str">
        <f>IF(OR($AA52="",5&gt;$AA52),"",IFERROR(VALUE(MID($AN52,SEARCH(";5:",$AN52)+3,SEARCH(";",$AN52,SEARCH(";5:",$AN52)+3)-SEARCH(";5:",$AN52)-3)),ROUND($AG52*(1+$J52/100),0)))</f>
        <v/>
      </c>
      <c r="AI52" s="28" t="str">
        <f>IF(OR($AA52="",6&gt;$AA52),"",IFERROR(VALUE(MID($AN52,SEARCH(";6:",$AN52)+3,SEARCH(";",$AN52,SEARCH(";6:",$AN52)+3)-SEARCH(";6:",$AN52)-3)),ROUND($AH52*(1+$J52/100),0)))</f>
        <v/>
      </c>
      <c r="AJ52" s="28" t="str">
        <f>IF(OR($AA52="",7&gt;$AA52),"",IFERROR(VALUE(MID($AN52,SEARCH(";7:",$AN52)+3,SEARCH(";",$AN52,SEARCH(";7:",$AN52)+3)-SEARCH(";7:",$AN52)-3)),ROUND($AI52*(1+$J52/100),0)))</f>
        <v/>
      </c>
      <c r="AK52" s="28" t="str">
        <f>IF(OR($AA52="",8&gt;$AA52),"",IFERROR(VALUE(MID($AN52,SEARCH(";8:",$AN52)+3,SEARCH(";",$AN52,SEARCH(";8:",$AN52)+3)-SEARCH(";8:",$AN52)-3)),ROUND($AJ52*(1+$J52/100),0)))</f>
        <v/>
      </c>
      <c r="AL52" s="28" t="str">
        <f>IF(OR($AA52="",9&gt;$AA52),"",IFERROR(VALUE(MID($AN52,SEARCH(";9:",$AN52)+3,SEARCH(";",$AN52,SEARCH(";9:",$AN52)+3)-SEARCH(";9:",$AN52)-3)),ROUND($AK52*(1+$J52/100),0)))</f>
        <v/>
      </c>
      <c r="AM52" s="28" t="str">
        <f>IF(OR($AA52="",10&gt;$AA52),"",IFERROR(VALUE(MID($AN52,SEARCH(";10:",$AN52)+4,SEARCH(";",$AN52,SEARCH(";10:",$AN52)+4)-SEARCH(";10:",$AN52)-4)),ROUND($AL52*(1+$J52/100),0)))</f>
        <v/>
      </c>
      <c r="AN52" s="36" t="str">
        <f>";"&amp;SUBSTITUTE(SUBSTITUTE(SUBSTITUTE(SUBSTITUTE(SUBSTITUTE(SUBSTITUTE($K52," ",""),"،",";"),CHAR(10),";"),"=",":"),",",""),"٫",".")&amp;";"</f>
        <v>;;</v>
      </c>
      <c r="AO52" s="36" t="str">
        <f>IF($T52="ساري",$B52,"")</f>
        <v/>
      </c>
    </row>
    <row r="53" spans="1:41" x14ac:dyDescent="0.25">
      <c r="A53" t="s">
        <v>366</v>
      </c>
      <c r="B53" t="s">
        <v>367</v>
      </c>
      <c r="C53" t="s">
        <v>368</v>
      </c>
      <c r="D53" s="27" t="str">
        <f>IF($Y53="","",IFERROR(INDEX('المشاريع'!$B:$B,MATCH($Y53,'المشاريع'!$A:$A,0)),""))</f>
        <v>ابو بكر</v>
      </c>
      <c r="E53" s="27" t="str">
        <f>IF($B53="","",IFERROR(INDEX('الوحدات'!$D:$D,MATCH($B53,'الوحدات'!$A:$A,0)),""))</f>
        <v>501</v>
      </c>
      <c r="F53" s="27" t="str">
        <f>IF($C53="","",IFERROR(INDEX('العملاء'!$B:$B,MATCH($C53,'العملاء'!$A:$A,0)),""))</f>
        <v>شركة الياسمين للتسويق</v>
      </c>
      <c r="G53" s="33">
        <v>45870</v>
      </c>
      <c r="H53" s="33">
        <v>46234</v>
      </c>
      <c r="I53" s="39">
        <v>15000</v>
      </c>
      <c r="J53">
        <v>0</v>
      </c>
      <c r="K53" t="s">
        <v>35</v>
      </c>
      <c r="L53" s="39">
        <v>0</v>
      </c>
      <c r="M53" t="s">
        <v>584</v>
      </c>
      <c r="N53">
        <v>1</v>
      </c>
      <c r="O53" t="s">
        <v>35</v>
      </c>
      <c r="P53" t="s">
        <v>35</v>
      </c>
      <c r="Q53">
        <v>54</v>
      </c>
      <c r="R53" t="s">
        <v>35</v>
      </c>
      <c r="S53" s="33"/>
      <c r="T53" s="27" t="str">
        <f>IF(NOT(AND(ISNUMBER($G53),ISNUMBER($H53))),"تواريخ غير صحيحة",IF(TODAY()&lt;$G53,"لم يبدأ",IF(TODAY()&gt;$H53,IF(IF($A53="",0,COUNTIF($O:$O,$A53))+IF($B53="",0,COUNTIFS($B:$B,$B53,$G:$G,"&gt;"&amp;$H53)-IF($G53&gt;$H53,1,0))&gt;0,"منتهٍ (أُجِّرت بعده)","منتهٍ"),"ساري")))</f>
        <v>منتهٍ</v>
      </c>
      <c r="U53" s="28">
        <f>IF($X53="","",IF($X53&gt;10,15000,INDEX($AD53:$AM53,1,$X53)))</f>
        <v>15000</v>
      </c>
      <c r="V53" s="28">
        <f>IF($A53="","",SUMIFS('المدفوعات'!$F:$F,'المدفوعات'!$B:$B,$A53))</f>
        <v>105000</v>
      </c>
      <c r="W53" s="35">
        <v>0</v>
      </c>
      <c r="X53" s="34">
        <f>IF(OR(NOT(ISNUMBER($G53)),NOT(ISNUMBER($H53)),$AA53=""),"",IF(TODAY()&lt;$G53,1,MIN($AA53,DATEDIF($G53,TODAY(),"y")+1)))</f>
        <v>1</v>
      </c>
      <c r="Y53" s="27" t="str">
        <f>IF($B53="","",IFERROR(INDEX('الوحدات'!$B:$B,MATCH($B53,'الوحدات'!$A:$A,0)),""))</f>
        <v>P03</v>
      </c>
      <c r="Z53" s="34">
        <f>IF(ISNUMBER($H53),$H53-TODAY(),"")</f>
        <v>-71</v>
      </c>
      <c r="AA53" s="34">
        <f>IF(AND(ISNUMBER($G53),ISNUMBER($H53)),IFERROR(DATEDIF($G53,$H53,"y")+1,""),"")</f>
        <v>1</v>
      </c>
      <c r="AB53" s="37" t="str">
        <f>IF(OR($X53="",$X53&gt;=$AA53),"",DATE(YEAR($G53)+$X53,MONTH($G53),DAY($G53)))</f>
        <v/>
      </c>
      <c r="AC53" s="28" t="str">
        <f>IF($AB53="","",IF($X53+1&gt;10,0,INDEX($AD53:$AM53,1,$X53+1)))</f>
        <v/>
      </c>
      <c r="AD53" s="28">
        <f>IF($AA53="","",IFERROR(VALUE(MID($AN53,SEARCH(";1:",$AN53)+3,SEARCH(";",$AN53,SEARCH(";1:",$AN53)+3)-SEARCH(";1:",$AN53)-3)),$I53))</f>
        <v>15000</v>
      </c>
      <c r="AE53" s="28" t="str">
        <f>IF(OR($AA53="",2&gt;$AA53),"",IFERROR(VALUE(MID($AN53,SEARCH(";2:",$AN53)+3,SEARCH(";",$AN53,SEARCH(";2:",$AN53)+3)-SEARCH(";2:",$AN53)-3)),ROUND($AD53*(1+$J53/100),0)))</f>
        <v/>
      </c>
      <c r="AF53" s="28" t="str">
        <f>IF(OR($AA53="",3&gt;$AA53),"",IFERROR(VALUE(MID($AN53,SEARCH(";3:",$AN53)+3,SEARCH(";",$AN53,SEARCH(";3:",$AN53)+3)-SEARCH(";3:",$AN53)-3)),ROUND($AE53*(1+$J53/100),0)))</f>
        <v/>
      </c>
      <c r="AG53" s="28" t="str">
        <f>IF(OR($AA53="",4&gt;$AA53),"",IFERROR(VALUE(MID($AN53,SEARCH(";4:",$AN53)+3,SEARCH(";",$AN53,SEARCH(";4:",$AN53)+3)-SEARCH(";4:",$AN53)-3)),ROUND($AF53*(1+$J53/100),0)))</f>
        <v/>
      </c>
      <c r="AH53" s="28" t="str">
        <f>IF(OR($AA53="",5&gt;$AA53),"",IFERROR(VALUE(MID($AN53,SEARCH(";5:",$AN53)+3,SEARCH(";",$AN53,SEARCH(";5:",$AN53)+3)-SEARCH(";5:",$AN53)-3)),ROUND($AG53*(1+$J53/100),0)))</f>
        <v/>
      </c>
      <c r="AI53" s="28" t="str">
        <f>IF(OR($AA53="",6&gt;$AA53),"",IFERROR(VALUE(MID($AN53,SEARCH(";6:",$AN53)+3,SEARCH(";",$AN53,SEARCH(";6:",$AN53)+3)-SEARCH(";6:",$AN53)-3)),ROUND($AH53*(1+$J53/100),0)))</f>
        <v/>
      </c>
      <c r="AJ53" s="28" t="str">
        <f>IF(OR($AA53="",7&gt;$AA53),"",IFERROR(VALUE(MID($AN53,SEARCH(";7:",$AN53)+3,SEARCH(";",$AN53,SEARCH(";7:",$AN53)+3)-SEARCH(";7:",$AN53)-3)),ROUND($AI53*(1+$J53/100),0)))</f>
        <v/>
      </c>
      <c r="AK53" s="28" t="str">
        <f>IF(OR($AA53="",8&gt;$AA53),"",IFERROR(VALUE(MID($AN53,SEARCH(";8:",$AN53)+3,SEARCH(";",$AN53,SEARCH(";8:",$AN53)+3)-SEARCH(";8:",$AN53)-3)),ROUND($AJ53*(1+$J53/100),0)))</f>
        <v/>
      </c>
      <c r="AL53" s="28" t="str">
        <f>IF(OR($AA53="",9&gt;$AA53),"",IFERROR(VALUE(MID($AN53,SEARCH(";9:",$AN53)+3,SEARCH(";",$AN53,SEARCH(";9:",$AN53)+3)-SEARCH(";9:",$AN53)-3)),ROUND($AK53*(1+$J53/100),0)))</f>
        <v/>
      </c>
      <c r="AM53" s="28" t="str">
        <f>IF(OR($AA53="",10&gt;$AA53),"",IFERROR(VALUE(MID($AN53,SEARCH(";10:",$AN53)+4,SEARCH(";",$AN53,SEARCH(";10:",$AN53)+4)-SEARCH(";10:",$AN53)-4)),ROUND($AL53*(1+$J53/100),0)))</f>
        <v/>
      </c>
      <c r="AN53" s="36" t="str">
        <f>";"&amp;SUBSTITUTE(SUBSTITUTE(SUBSTITUTE(SUBSTITUTE(SUBSTITUTE(SUBSTITUTE($K53," ",""),"،",";"),CHAR(10),";"),"=",":"),",",""),"٫",".")&amp;";"</f>
        <v>;;</v>
      </c>
      <c r="AO53" s="36" t="str">
        <f>IF($T53="ساري",$B53,"")</f>
        <v/>
      </c>
    </row>
    <row r="54" spans="1:41" x14ac:dyDescent="0.25">
      <c r="A54" t="s">
        <v>369</v>
      </c>
      <c r="B54" t="s">
        <v>370</v>
      </c>
      <c r="C54" t="s">
        <v>368</v>
      </c>
      <c r="D54" s="27" t="str">
        <f>IF($Y54="","",IFERROR(INDEX('المشاريع'!$B:$B,MATCH($Y54,'المشاريع'!$A:$A,0)),""))</f>
        <v>ابو بكر</v>
      </c>
      <c r="E54" s="27" t="str">
        <f>IF($B54="","",IFERROR(INDEX('الوحدات'!$D:$D,MATCH($B54,'الوحدات'!$A:$A,0)),""))</f>
        <v>502</v>
      </c>
      <c r="F54" s="27" t="str">
        <f>IF($C54="","",IFERROR(INDEX('العملاء'!$B:$B,MATCH($C54,'العملاء'!$A:$A,0)),""))</f>
        <v>شركة الياسمين للتسويق</v>
      </c>
      <c r="G54" s="33">
        <v>45870</v>
      </c>
      <c r="H54" s="33">
        <v>46234</v>
      </c>
      <c r="I54" s="39">
        <v>15000</v>
      </c>
      <c r="J54">
        <v>0</v>
      </c>
      <c r="K54" t="s">
        <v>35</v>
      </c>
      <c r="L54" s="39">
        <v>0</v>
      </c>
      <c r="M54" t="s">
        <v>584</v>
      </c>
      <c r="N54">
        <v>1</v>
      </c>
      <c r="O54" t="s">
        <v>35</v>
      </c>
      <c r="P54" t="s">
        <v>35</v>
      </c>
      <c r="Q54">
        <v>55</v>
      </c>
      <c r="R54" t="s">
        <v>35</v>
      </c>
      <c r="S54" s="33"/>
      <c r="T54" s="27" t="str">
        <f>IF(NOT(AND(ISNUMBER($G54),ISNUMBER($H54))),"تواريخ غير صحيحة",IF(TODAY()&lt;$G54,"لم يبدأ",IF(TODAY()&gt;$H54,IF(IF($A54="",0,COUNTIF($O:$O,$A54))+IF($B54="",0,COUNTIFS($B:$B,$B54,$G:$G,"&gt;"&amp;$H54)-IF($G54&gt;$H54,1,0))&gt;0,"منتهٍ (أُجِّرت بعده)","منتهٍ"),"ساري")))</f>
        <v>منتهٍ</v>
      </c>
      <c r="U54" s="28">
        <f>IF($X54="","",IF($X54&gt;10,15000,INDEX($AD54:$AM54,1,$X54)))</f>
        <v>15000</v>
      </c>
      <c r="V54" s="28">
        <f>IF($A54="","",SUMIFS('المدفوعات'!$F:$F,'المدفوعات'!$B:$B,$A54))</f>
        <v>105000</v>
      </c>
      <c r="W54" s="35">
        <v>0</v>
      </c>
      <c r="X54" s="34">
        <f>IF(OR(NOT(ISNUMBER($G54)),NOT(ISNUMBER($H54)),$AA54=""),"",IF(TODAY()&lt;$G54,1,MIN($AA54,DATEDIF($G54,TODAY(),"y")+1)))</f>
        <v>1</v>
      </c>
      <c r="Y54" s="27" t="str">
        <f>IF($B54="","",IFERROR(INDEX('الوحدات'!$B:$B,MATCH($B54,'الوحدات'!$A:$A,0)),""))</f>
        <v>P03</v>
      </c>
      <c r="Z54" s="34">
        <f>IF(ISNUMBER($H54),$H54-TODAY(),"")</f>
        <v>-71</v>
      </c>
      <c r="AA54" s="34">
        <f>IF(AND(ISNUMBER($G54),ISNUMBER($H54)),IFERROR(DATEDIF($G54,$H54,"y")+1,""),"")</f>
        <v>1</v>
      </c>
      <c r="AB54" s="37" t="str">
        <f>IF(OR($X54="",$X54&gt;=$AA54),"",DATE(YEAR($G54)+$X54,MONTH($G54),DAY($G54)))</f>
        <v/>
      </c>
      <c r="AC54" s="28" t="str">
        <f>IF($AB54="","",IF($X54+1&gt;10,0,INDEX($AD54:$AM54,1,$X54+1)))</f>
        <v/>
      </c>
      <c r="AD54" s="28">
        <f>IF($AA54="","",IFERROR(VALUE(MID($AN54,SEARCH(";1:",$AN54)+3,SEARCH(";",$AN54,SEARCH(";1:",$AN54)+3)-SEARCH(";1:",$AN54)-3)),$I54))</f>
        <v>15000</v>
      </c>
      <c r="AE54" s="28" t="str">
        <f>IF(OR($AA54="",2&gt;$AA54),"",IFERROR(VALUE(MID($AN54,SEARCH(";2:",$AN54)+3,SEARCH(";",$AN54,SEARCH(";2:",$AN54)+3)-SEARCH(";2:",$AN54)-3)),ROUND($AD54*(1+$J54/100),0)))</f>
        <v/>
      </c>
      <c r="AF54" s="28" t="str">
        <f>IF(OR($AA54="",3&gt;$AA54),"",IFERROR(VALUE(MID($AN54,SEARCH(";3:",$AN54)+3,SEARCH(";",$AN54,SEARCH(";3:",$AN54)+3)-SEARCH(";3:",$AN54)-3)),ROUND($AE54*(1+$J54/100),0)))</f>
        <v/>
      </c>
      <c r="AG54" s="28" t="str">
        <f>IF(OR($AA54="",4&gt;$AA54),"",IFERROR(VALUE(MID($AN54,SEARCH(";4:",$AN54)+3,SEARCH(";",$AN54,SEARCH(";4:",$AN54)+3)-SEARCH(";4:",$AN54)-3)),ROUND($AF54*(1+$J54/100),0)))</f>
        <v/>
      </c>
      <c r="AH54" s="28" t="str">
        <f>IF(OR($AA54="",5&gt;$AA54),"",IFERROR(VALUE(MID($AN54,SEARCH(";5:",$AN54)+3,SEARCH(";",$AN54,SEARCH(";5:",$AN54)+3)-SEARCH(";5:",$AN54)-3)),ROUND($AG54*(1+$J54/100),0)))</f>
        <v/>
      </c>
      <c r="AI54" s="28" t="str">
        <f>IF(OR($AA54="",6&gt;$AA54),"",IFERROR(VALUE(MID($AN54,SEARCH(";6:",$AN54)+3,SEARCH(";",$AN54,SEARCH(";6:",$AN54)+3)-SEARCH(";6:",$AN54)-3)),ROUND($AH54*(1+$J54/100),0)))</f>
        <v/>
      </c>
      <c r="AJ54" s="28" t="str">
        <f>IF(OR($AA54="",7&gt;$AA54),"",IFERROR(VALUE(MID($AN54,SEARCH(";7:",$AN54)+3,SEARCH(";",$AN54,SEARCH(";7:",$AN54)+3)-SEARCH(";7:",$AN54)-3)),ROUND($AI54*(1+$J54/100),0)))</f>
        <v/>
      </c>
      <c r="AK54" s="28" t="str">
        <f>IF(OR($AA54="",8&gt;$AA54),"",IFERROR(VALUE(MID($AN54,SEARCH(";8:",$AN54)+3,SEARCH(";",$AN54,SEARCH(";8:",$AN54)+3)-SEARCH(";8:",$AN54)-3)),ROUND($AJ54*(1+$J54/100),0)))</f>
        <v/>
      </c>
      <c r="AL54" s="28" t="str">
        <f>IF(OR($AA54="",9&gt;$AA54),"",IFERROR(VALUE(MID($AN54,SEARCH(";9:",$AN54)+3,SEARCH(";",$AN54,SEARCH(";9:",$AN54)+3)-SEARCH(";9:",$AN54)-3)),ROUND($AK54*(1+$J54/100),0)))</f>
        <v/>
      </c>
      <c r="AM54" s="28" t="str">
        <f>IF(OR($AA54="",10&gt;$AA54),"",IFERROR(VALUE(MID($AN54,SEARCH(";10:",$AN54)+4,SEARCH(";",$AN54,SEARCH(";10:",$AN54)+4)-SEARCH(";10:",$AN54)-4)),ROUND($AL54*(1+$J54/100),0)))</f>
        <v/>
      </c>
      <c r="AN54" s="36" t="str">
        <f>";"&amp;SUBSTITUTE(SUBSTITUTE(SUBSTITUTE(SUBSTITUTE(SUBSTITUTE(SUBSTITUTE($K54," ",""),"،",";"),CHAR(10),";"),"=",":"),",",""),"٫",".")&amp;";"</f>
        <v>;;</v>
      </c>
      <c r="AO54" s="36" t="str">
        <f>IF($T54="ساري",$B54,"")</f>
        <v/>
      </c>
    </row>
    <row r="55" spans="1:41" x14ac:dyDescent="0.25">
      <c r="A55" t="s">
        <v>374</v>
      </c>
      <c r="B55" t="s">
        <v>375</v>
      </c>
      <c r="C55" t="s">
        <v>376</v>
      </c>
      <c r="D55" s="27" t="str">
        <f>IF($Y55="","",IFERROR(INDEX('المشاريع'!$B:$B,MATCH($Y55,'المشاريع'!$A:$A,0)),""))</f>
        <v>ابو بكر</v>
      </c>
      <c r="E55" s="27" t="str">
        <f>IF($B55="","",IFERROR(INDEX('الوحدات'!$D:$D,MATCH($B55,'الوحدات'!$A:$A,0)),""))</f>
        <v>503</v>
      </c>
      <c r="F55" s="27" t="str">
        <f>IF($C55="","",IFERROR(INDEX('العملاء'!$B:$B,MATCH($C55,'العملاء'!$A:$A,0)),""))</f>
        <v>إبراهيم أحمد البنا</v>
      </c>
      <c r="G55" s="33">
        <v>45231</v>
      </c>
      <c r="H55" s="33">
        <v>46326</v>
      </c>
      <c r="I55" s="39">
        <v>11195</v>
      </c>
      <c r="J55">
        <v>0</v>
      </c>
      <c r="K55" t="s">
        <v>602</v>
      </c>
      <c r="L55" s="39">
        <v>0</v>
      </c>
      <c r="M55" t="s">
        <v>584</v>
      </c>
      <c r="N55">
        <v>1</v>
      </c>
      <c r="O55" t="s">
        <v>35</v>
      </c>
      <c r="P55" t="s">
        <v>373</v>
      </c>
      <c r="Q55">
        <v>56</v>
      </c>
      <c r="R55" t="s">
        <v>35</v>
      </c>
      <c r="S55" s="33"/>
      <c r="T55" s="27" t="str">
        <f>IF(NOT(AND(ISNUMBER($G55),ISNUMBER($H55))),"تواريخ غير صحيحة",IF(TODAY()&lt;$G55,"لم يبدأ",IF(TODAY()&gt;$H55,IF(IF($A55="",0,COUNTIF($O:$O,$A55))+IF($B55="",0,COUNTIFS($B:$B,$B55,$G:$G,"&gt;"&amp;$H55)-IF($G55&gt;$H55,1,0))&gt;0,"منتهٍ (أُجِّرت بعده)","منتهٍ"),"ساري")))</f>
        <v>ساري</v>
      </c>
      <c r="U55" s="28">
        <f>IF($X55="","",IF($X55&gt;10,11195,INDEX($AD55:$AM55,1,$X55)))</f>
        <v>11195</v>
      </c>
      <c r="V55" s="28">
        <f>IF($A55="","",SUMIFS('المدفوعات'!$F:$F,'المدفوعات'!$B:$B,$A55))</f>
        <v>78305</v>
      </c>
      <c r="W55" s="35">
        <v>11255</v>
      </c>
      <c r="X55" s="34">
        <f>IF(OR(NOT(ISNUMBER($G55)),NOT(ISNUMBER($H55)),$AA55=""),"",IF(TODAY()&lt;$G55,1,MIN($AA55,DATEDIF($G55,TODAY(),"y")+1)))</f>
        <v>3</v>
      </c>
      <c r="Y55" s="27" t="str">
        <f>IF($B55="","",IFERROR(INDEX('الوحدات'!$B:$B,MATCH($B55,'الوحدات'!$A:$A,0)),""))</f>
        <v>P03</v>
      </c>
      <c r="Z55" s="34">
        <f>IF(ISNUMBER($H55),$H55-TODAY(),"")</f>
        <v>21</v>
      </c>
      <c r="AA55" s="34">
        <f>IF(AND(ISNUMBER($G55),ISNUMBER($H55)),IFERROR(DATEDIF($G55,$H55,"y")+1,""),"")</f>
        <v>3</v>
      </c>
      <c r="AB55" s="37" t="str">
        <f>IF(OR($X55="",$X55&gt;=$AA55),"",DATE(YEAR($G55)+$X55,MONTH($G55),DAY($G55)))</f>
        <v/>
      </c>
      <c r="AC55" s="28" t="str">
        <f>IF($AB55="","",IF($X55+1&gt;10,0,INDEX($AD55:$AM55,1,$X55+1)))</f>
        <v/>
      </c>
      <c r="AD55" s="28">
        <f>IF($AA55="","",IFERROR(VALUE(MID($AN55,SEARCH(";1:",$AN55)+3,SEARCH(";",$AN55,SEARCH(";1:",$AN55)+3)-SEARCH(";1:",$AN55)-3)),$I55))</f>
        <v>11195</v>
      </c>
      <c r="AE55" s="28">
        <f>IF(OR($AA55="",2&gt;$AA55),"",IFERROR(VALUE(MID($AN55,SEARCH(";2:",$AN55)+3,SEARCH(";",$AN55,SEARCH(";2:",$AN55)+3)-SEARCH(";2:",$AN55)-3)),ROUND($AD55*(1+$J55/100),0)))</f>
        <v>11195</v>
      </c>
      <c r="AF55" s="28">
        <f>IF(OR($AA55="",3&gt;$AA55),"",IFERROR(VALUE(MID($AN55,SEARCH(";3:",$AN55)+3,SEARCH(";",$AN55,SEARCH(";3:",$AN55)+3)-SEARCH(";3:",$AN55)-3)),ROUND($AE55*(1+$J55/100),0)))</f>
        <v>11195</v>
      </c>
      <c r="AG55" s="28" t="str">
        <f>IF(OR($AA55="",4&gt;$AA55),"",IFERROR(VALUE(MID($AN55,SEARCH(";4:",$AN55)+3,SEARCH(";",$AN55,SEARCH(";4:",$AN55)+3)-SEARCH(";4:",$AN55)-3)),ROUND($AF55*(1+$J55/100),0)))</f>
        <v/>
      </c>
      <c r="AH55" s="28" t="str">
        <f>IF(OR($AA55="",5&gt;$AA55),"",IFERROR(VALUE(MID($AN55,SEARCH(";5:",$AN55)+3,SEARCH(";",$AN55,SEARCH(";5:",$AN55)+3)-SEARCH(";5:",$AN55)-3)),ROUND($AG55*(1+$J55/100),0)))</f>
        <v/>
      </c>
      <c r="AI55" s="28" t="str">
        <f>IF(OR($AA55="",6&gt;$AA55),"",IFERROR(VALUE(MID($AN55,SEARCH(";6:",$AN55)+3,SEARCH(";",$AN55,SEARCH(";6:",$AN55)+3)-SEARCH(";6:",$AN55)-3)),ROUND($AH55*(1+$J55/100),0)))</f>
        <v/>
      </c>
      <c r="AJ55" s="28" t="str">
        <f>IF(OR($AA55="",7&gt;$AA55),"",IFERROR(VALUE(MID($AN55,SEARCH(";7:",$AN55)+3,SEARCH(";",$AN55,SEARCH(";7:",$AN55)+3)-SEARCH(";7:",$AN55)-3)),ROUND($AI55*(1+$J55/100),0)))</f>
        <v/>
      </c>
      <c r="AK55" s="28" t="str">
        <f>IF(OR($AA55="",8&gt;$AA55),"",IFERROR(VALUE(MID($AN55,SEARCH(";8:",$AN55)+3,SEARCH(";",$AN55,SEARCH(";8:",$AN55)+3)-SEARCH(";8:",$AN55)-3)),ROUND($AJ55*(1+$J55/100),0)))</f>
        <v/>
      </c>
      <c r="AL55" s="28" t="str">
        <f>IF(OR($AA55="",9&gt;$AA55),"",IFERROR(VALUE(MID($AN55,SEARCH(";9:",$AN55)+3,SEARCH(";",$AN55,SEARCH(";9:",$AN55)+3)-SEARCH(";9:",$AN55)-3)),ROUND($AK55*(1+$J55/100),0)))</f>
        <v/>
      </c>
      <c r="AM55" s="28" t="str">
        <f>IF(OR($AA55="",10&gt;$AA55),"",IFERROR(VALUE(MID($AN55,SEARCH(";10:",$AN55)+4,SEARCH(";",$AN55,SEARCH(";10:",$AN55)+4)-SEARCH(";10:",$AN55)-4)),ROUND($AL55*(1+$J55/100),0)))</f>
        <v/>
      </c>
      <c r="AN55" s="36" t="str">
        <f>";"&amp;SUBSTITUTE(SUBSTITUTE(SUBSTITUTE(SUBSTITUTE(SUBSTITUTE(SUBSTITUTE($K55," ",""),"،",";"),CHAR(10),";"),"=",":"),",",""),"٫",".")&amp;";"</f>
        <v>;3:11195;</v>
      </c>
      <c r="AO55" s="36" t="str">
        <f>IF($T55="ساري",$B55,"")</f>
        <v>P03-503</v>
      </c>
    </row>
    <row r="56" spans="1:41" x14ac:dyDescent="0.25">
      <c r="A56" t="s">
        <v>380</v>
      </c>
      <c r="B56" t="s">
        <v>381</v>
      </c>
      <c r="C56" t="s">
        <v>382</v>
      </c>
      <c r="D56" s="27" t="str">
        <f>IF($Y56="","",IFERROR(INDEX('المشاريع'!$B:$B,MATCH($Y56,'المشاريع'!$A:$A,0)),""))</f>
        <v>ابو بكر</v>
      </c>
      <c r="E56" s="27" t="str">
        <f>IF($B56="","",IFERROR(INDEX('الوحدات'!$D:$D,MATCH($B56,'الوحدات'!$A:$A,0)),""))</f>
        <v>504</v>
      </c>
      <c r="F56" s="27" t="str">
        <f>IF($C56="","",IFERROR(INDEX('العملاء'!$B:$B,MATCH($C56,'العملاء'!$A:$A,0)),""))</f>
        <v>شركة المستقبل للخدمات الطبية</v>
      </c>
      <c r="G56" s="33">
        <v>45901</v>
      </c>
      <c r="H56" s="33">
        <v>46265</v>
      </c>
      <c r="I56" s="39">
        <v>10000</v>
      </c>
      <c r="J56">
        <v>0</v>
      </c>
      <c r="K56" t="s">
        <v>35</v>
      </c>
      <c r="L56" s="39">
        <v>0</v>
      </c>
      <c r="M56" t="s">
        <v>584</v>
      </c>
      <c r="N56">
        <v>1</v>
      </c>
      <c r="O56" t="s">
        <v>35</v>
      </c>
      <c r="P56" t="s">
        <v>35</v>
      </c>
      <c r="Q56">
        <v>57</v>
      </c>
      <c r="R56" t="s">
        <v>35</v>
      </c>
      <c r="S56" s="33"/>
      <c r="T56" s="27" t="str">
        <f>IF(NOT(AND(ISNUMBER($G56),ISNUMBER($H56))),"تواريخ غير صحيحة",IF(TODAY()&lt;$G56,"لم يبدأ",IF(TODAY()&gt;$H56,IF(IF($A56="",0,COUNTIF($O:$O,$A56))+IF($B56="",0,COUNTIFS($B:$B,$B56,$G:$G,"&gt;"&amp;$H56)-IF($G56&gt;$H56,1,0))&gt;0,"منتهٍ (أُجِّرت بعده)","منتهٍ"),"ساري")))</f>
        <v>منتهٍ</v>
      </c>
      <c r="U56" s="28">
        <f>IF($X56="","",IF($X56&gt;10,10000,INDEX($AD56:$AM56,1,$X56)))</f>
        <v>10000</v>
      </c>
      <c r="V56" s="28">
        <f>IF($A56="","",SUMIFS('المدفوعات'!$F:$F,'المدفوعات'!$B:$B,$A56))</f>
        <v>80000</v>
      </c>
      <c r="W56" s="35">
        <v>0</v>
      </c>
      <c r="X56" s="34">
        <f>IF(OR(NOT(ISNUMBER($G56)),NOT(ISNUMBER($H56)),$AA56=""),"",IF(TODAY()&lt;$G56,1,MIN($AA56,DATEDIF($G56,TODAY(),"y")+1)))</f>
        <v>1</v>
      </c>
      <c r="Y56" s="27" t="str">
        <f>IF($B56="","",IFERROR(INDEX('الوحدات'!$B:$B,MATCH($B56,'الوحدات'!$A:$A,0)),""))</f>
        <v>P03</v>
      </c>
      <c r="Z56" s="34">
        <f>IF(ISNUMBER($H56),$H56-TODAY(),"")</f>
        <v>-40</v>
      </c>
      <c r="AA56" s="34">
        <f>IF(AND(ISNUMBER($G56),ISNUMBER($H56)),IFERROR(DATEDIF($G56,$H56,"y")+1,""),"")</f>
        <v>1</v>
      </c>
      <c r="AB56" s="37" t="str">
        <f>IF(OR($X56="",$X56&gt;=$AA56),"",DATE(YEAR($G56)+$X56,MONTH($G56),DAY($G56)))</f>
        <v/>
      </c>
      <c r="AC56" s="28" t="str">
        <f>IF($AB56="","",IF($X56+1&gt;10,0,INDEX($AD56:$AM56,1,$X56+1)))</f>
        <v/>
      </c>
      <c r="AD56" s="28">
        <f>IF($AA56="","",IFERROR(VALUE(MID($AN56,SEARCH(";1:",$AN56)+3,SEARCH(";",$AN56,SEARCH(";1:",$AN56)+3)-SEARCH(";1:",$AN56)-3)),$I56))</f>
        <v>10000</v>
      </c>
      <c r="AE56" s="28" t="str">
        <f>IF(OR($AA56="",2&gt;$AA56),"",IFERROR(VALUE(MID($AN56,SEARCH(";2:",$AN56)+3,SEARCH(";",$AN56,SEARCH(";2:",$AN56)+3)-SEARCH(";2:",$AN56)-3)),ROUND($AD56*(1+$J56/100),0)))</f>
        <v/>
      </c>
      <c r="AF56" s="28" t="str">
        <f>IF(OR($AA56="",3&gt;$AA56),"",IFERROR(VALUE(MID($AN56,SEARCH(";3:",$AN56)+3,SEARCH(";",$AN56,SEARCH(";3:",$AN56)+3)-SEARCH(";3:",$AN56)-3)),ROUND($AE56*(1+$J56/100),0)))</f>
        <v/>
      </c>
      <c r="AG56" s="28" t="str">
        <f>IF(OR($AA56="",4&gt;$AA56),"",IFERROR(VALUE(MID($AN56,SEARCH(";4:",$AN56)+3,SEARCH(";",$AN56,SEARCH(";4:",$AN56)+3)-SEARCH(";4:",$AN56)-3)),ROUND($AF56*(1+$J56/100),0)))</f>
        <v/>
      </c>
      <c r="AH56" s="28" t="str">
        <f>IF(OR($AA56="",5&gt;$AA56),"",IFERROR(VALUE(MID($AN56,SEARCH(";5:",$AN56)+3,SEARCH(";",$AN56,SEARCH(";5:",$AN56)+3)-SEARCH(";5:",$AN56)-3)),ROUND($AG56*(1+$J56/100),0)))</f>
        <v/>
      </c>
      <c r="AI56" s="28" t="str">
        <f>IF(OR($AA56="",6&gt;$AA56),"",IFERROR(VALUE(MID($AN56,SEARCH(";6:",$AN56)+3,SEARCH(";",$AN56,SEARCH(";6:",$AN56)+3)-SEARCH(";6:",$AN56)-3)),ROUND($AH56*(1+$J56/100),0)))</f>
        <v/>
      </c>
      <c r="AJ56" s="28" t="str">
        <f>IF(OR($AA56="",7&gt;$AA56),"",IFERROR(VALUE(MID($AN56,SEARCH(";7:",$AN56)+3,SEARCH(";",$AN56,SEARCH(";7:",$AN56)+3)-SEARCH(";7:",$AN56)-3)),ROUND($AI56*(1+$J56/100),0)))</f>
        <v/>
      </c>
      <c r="AK56" s="28" t="str">
        <f>IF(OR($AA56="",8&gt;$AA56),"",IFERROR(VALUE(MID($AN56,SEARCH(";8:",$AN56)+3,SEARCH(";",$AN56,SEARCH(";8:",$AN56)+3)-SEARCH(";8:",$AN56)-3)),ROUND($AJ56*(1+$J56/100),0)))</f>
        <v/>
      </c>
      <c r="AL56" s="28" t="str">
        <f>IF(OR($AA56="",9&gt;$AA56),"",IFERROR(VALUE(MID($AN56,SEARCH(";9:",$AN56)+3,SEARCH(";",$AN56,SEARCH(";9:",$AN56)+3)-SEARCH(";9:",$AN56)-3)),ROUND($AK56*(1+$J56/100),0)))</f>
        <v/>
      </c>
      <c r="AM56" s="28" t="str">
        <f>IF(OR($AA56="",10&gt;$AA56),"",IFERROR(VALUE(MID($AN56,SEARCH(";10:",$AN56)+4,SEARCH(";",$AN56,SEARCH(";10:",$AN56)+4)-SEARCH(";10:",$AN56)-4)),ROUND($AL56*(1+$J56/100),0)))</f>
        <v/>
      </c>
      <c r="AN56" s="36" t="str">
        <f>";"&amp;SUBSTITUTE(SUBSTITUTE(SUBSTITUTE(SUBSTITUTE(SUBSTITUTE(SUBSTITUTE($K56," ",""),"،",";"),CHAR(10),";"),"=",":"),",",""),"٫",".")&amp;";"</f>
        <v>;;</v>
      </c>
      <c r="AO56" s="36" t="str">
        <f>IF($T56="ساري",$B56,"")</f>
        <v/>
      </c>
    </row>
    <row r="57" spans="1:41" x14ac:dyDescent="0.25">
      <c r="A57" t="s">
        <v>386</v>
      </c>
      <c r="B57" t="s">
        <v>385</v>
      </c>
      <c r="C57" t="s">
        <v>209</v>
      </c>
      <c r="D57" s="27" t="str">
        <f>IF($Y57="","",IFERROR(INDEX('المشاريع'!$B:$B,MATCH($Y57,'المشاريع'!$A:$A,0)),""))</f>
        <v>ابو بكر</v>
      </c>
      <c r="E57" s="27" t="str">
        <f>IF($B57="","",IFERROR(INDEX('الوحدات'!$D:$D,MATCH($B57,'الوحدات'!$A:$A,0)),""))</f>
        <v>505</v>
      </c>
      <c r="F57" s="27" t="str">
        <f>IF($C57="","",IFERROR(INDEX('العملاء'!$B:$B,MATCH($C57,'العملاء'!$A:$A,0)),""))</f>
        <v>حسين أمير بدوي</v>
      </c>
      <c r="G57" s="33">
        <v>46204</v>
      </c>
      <c r="H57" s="33">
        <v>46568</v>
      </c>
      <c r="I57" s="39">
        <v>13000</v>
      </c>
      <c r="J57">
        <v>0</v>
      </c>
      <c r="K57" t="s">
        <v>35</v>
      </c>
      <c r="L57" s="39">
        <v>0</v>
      </c>
      <c r="M57" t="s">
        <v>584</v>
      </c>
      <c r="N57">
        <v>1</v>
      </c>
      <c r="O57" t="s">
        <v>384</v>
      </c>
      <c r="P57" t="s">
        <v>35</v>
      </c>
      <c r="Q57">
        <v>58</v>
      </c>
      <c r="R57" t="s">
        <v>35</v>
      </c>
      <c r="S57" s="33"/>
      <c r="T57" s="27" t="str">
        <f>IF(NOT(AND(ISNUMBER($G57),ISNUMBER($H57))),"تواريخ غير صحيحة",IF(TODAY()&lt;$G57,"لم يبدأ",IF(TODAY()&gt;$H57,IF(IF($A57="",0,COUNTIF($O:$O,$A57))+IF($B57="",0,COUNTIFS($B:$B,$B57,$G:$G,"&gt;"&amp;$H57)-IF($G57&gt;$H57,1,0))&gt;0,"منتهٍ (أُجِّرت بعده)","منتهٍ"),"ساري")))</f>
        <v>ساري</v>
      </c>
      <c r="U57" s="28">
        <f>IF($X57="","",IF($X57&gt;10,13000,INDEX($AD57:$AM57,1,$X57)))</f>
        <v>13000</v>
      </c>
      <c r="V57" s="28">
        <f>IF($A57="","",SUMIFS('المدفوعات'!$F:$F,'المدفوعات'!$B:$B,$A57))</f>
        <v>26000</v>
      </c>
      <c r="W57" s="35">
        <v>0</v>
      </c>
      <c r="X57" s="34">
        <f>IF(OR(NOT(ISNUMBER($G57)),NOT(ISNUMBER($H57)),$AA57=""),"",IF(TODAY()&lt;$G57,1,MIN($AA57,DATEDIF($G57,TODAY(),"y")+1)))</f>
        <v>1</v>
      </c>
      <c r="Y57" s="27" t="str">
        <f>IF($B57="","",IFERROR(INDEX('الوحدات'!$B:$B,MATCH($B57,'الوحدات'!$A:$A,0)),""))</f>
        <v>P03</v>
      </c>
      <c r="Z57" s="34">
        <f>IF(ISNUMBER($H57),$H57-TODAY(),"")</f>
        <v>263</v>
      </c>
      <c r="AA57" s="34">
        <f>IF(AND(ISNUMBER($G57),ISNUMBER($H57)),IFERROR(DATEDIF($G57,$H57,"y")+1,""),"")</f>
        <v>1</v>
      </c>
      <c r="AB57" s="37" t="str">
        <f>IF(OR($X57="",$X57&gt;=$AA57),"",DATE(YEAR($G57)+$X57,MONTH($G57),DAY($G57)))</f>
        <v/>
      </c>
      <c r="AC57" s="28" t="str">
        <f>IF($AB57="","",IF($X57+1&gt;10,0,INDEX($AD57:$AM57,1,$X57+1)))</f>
        <v/>
      </c>
      <c r="AD57" s="28">
        <f>IF($AA57="","",IFERROR(VALUE(MID($AN57,SEARCH(";1:",$AN57)+3,SEARCH(";",$AN57,SEARCH(";1:",$AN57)+3)-SEARCH(";1:",$AN57)-3)),$I57))</f>
        <v>13000</v>
      </c>
      <c r="AE57" s="28" t="str">
        <f>IF(OR($AA57="",2&gt;$AA57),"",IFERROR(VALUE(MID($AN57,SEARCH(";2:",$AN57)+3,SEARCH(";",$AN57,SEARCH(";2:",$AN57)+3)-SEARCH(";2:",$AN57)-3)),ROUND($AD57*(1+$J57/100),0)))</f>
        <v/>
      </c>
      <c r="AF57" s="28" t="str">
        <f>IF(OR($AA57="",3&gt;$AA57),"",IFERROR(VALUE(MID($AN57,SEARCH(";3:",$AN57)+3,SEARCH(";",$AN57,SEARCH(";3:",$AN57)+3)-SEARCH(";3:",$AN57)-3)),ROUND($AE57*(1+$J57/100),0)))</f>
        <v/>
      </c>
      <c r="AG57" s="28" t="str">
        <f>IF(OR($AA57="",4&gt;$AA57),"",IFERROR(VALUE(MID($AN57,SEARCH(";4:",$AN57)+3,SEARCH(";",$AN57,SEARCH(";4:",$AN57)+3)-SEARCH(";4:",$AN57)-3)),ROUND($AF57*(1+$J57/100),0)))</f>
        <v/>
      </c>
      <c r="AH57" s="28" t="str">
        <f>IF(OR($AA57="",5&gt;$AA57),"",IFERROR(VALUE(MID($AN57,SEARCH(";5:",$AN57)+3,SEARCH(";",$AN57,SEARCH(";5:",$AN57)+3)-SEARCH(";5:",$AN57)-3)),ROUND($AG57*(1+$J57/100),0)))</f>
        <v/>
      </c>
      <c r="AI57" s="28" t="str">
        <f>IF(OR($AA57="",6&gt;$AA57),"",IFERROR(VALUE(MID($AN57,SEARCH(";6:",$AN57)+3,SEARCH(";",$AN57,SEARCH(";6:",$AN57)+3)-SEARCH(";6:",$AN57)-3)),ROUND($AH57*(1+$J57/100),0)))</f>
        <v/>
      </c>
      <c r="AJ57" s="28" t="str">
        <f>IF(OR($AA57="",7&gt;$AA57),"",IFERROR(VALUE(MID($AN57,SEARCH(";7:",$AN57)+3,SEARCH(";",$AN57,SEARCH(";7:",$AN57)+3)-SEARCH(";7:",$AN57)-3)),ROUND($AI57*(1+$J57/100),0)))</f>
        <v/>
      </c>
      <c r="AK57" s="28" t="str">
        <f>IF(OR($AA57="",8&gt;$AA57),"",IFERROR(VALUE(MID($AN57,SEARCH(";8:",$AN57)+3,SEARCH(";",$AN57,SEARCH(";8:",$AN57)+3)-SEARCH(";8:",$AN57)-3)),ROUND($AJ57*(1+$J57/100),0)))</f>
        <v/>
      </c>
      <c r="AL57" s="28" t="str">
        <f>IF(OR($AA57="",9&gt;$AA57),"",IFERROR(VALUE(MID($AN57,SEARCH(";9:",$AN57)+3,SEARCH(";",$AN57,SEARCH(";9:",$AN57)+3)-SEARCH(";9:",$AN57)-3)),ROUND($AK57*(1+$J57/100),0)))</f>
        <v/>
      </c>
      <c r="AM57" s="28" t="str">
        <f>IF(OR($AA57="",10&gt;$AA57),"",IFERROR(VALUE(MID($AN57,SEARCH(";10:",$AN57)+4,SEARCH(";",$AN57,SEARCH(";10:",$AN57)+4)-SEARCH(";10:",$AN57)-4)),ROUND($AL57*(1+$J57/100),0)))</f>
        <v/>
      </c>
      <c r="AN57" s="36" t="str">
        <f>";"&amp;SUBSTITUTE(SUBSTITUTE(SUBSTITUTE(SUBSTITUTE(SUBSTITUTE(SUBSTITUTE($K57," ",""),"،",";"),CHAR(10),";"),"=",":"),",",""),"٫",".")&amp;";"</f>
        <v>;;</v>
      </c>
      <c r="AO57" s="36" t="str">
        <f>IF($T57="ساري",$B57,"")</f>
        <v>P03-505</v>
      </c>
    </row>
    <row r="58" spans="1:41" x14ac:dyDescent="0.25">
      <c r="A58" t="s">
        <v>394</v>
      </c>
      <c r="B58" t="s">
        <v>392</v>
      </c>
      <c r="C58" t="s">
        <v>393</v>
      </c>
      <c r="D58" s="27" t="str">
        <f>IF($Y58="","",IFERROR(INDEX('المشاريع'!$B:$B,MATCH($Y58,'المشاريع'!$A:$A,0)),""))</f>
        <v>ابو بكر</v>
      </c>
      <c r="E58" s="27" t="str">
        <f>IF($B58="","",IFERROR(INDEX('الوحدات'!$D:$D,MATCH($B58,'الوحدات'!$A:$A,0)),""))</f>
        <v>506</v>
      </c>
      <c r="F58" s="27" t="str">
        <f>IF($C58="","",IFERROR(INDEX('العملاء'!$B:$B,MATCH($C58,'العملاء'!$A:$A,0)),""))</f>
        <v>د/ آية هشام رشاد</v>
      </c>
      <c r="G58" s="33">
        <v>46174</v>
      </c>
      <c r="H58" s="33">
        <v>46538</v>
      </c>
      <c r="I58" s="39">
        <v>19000</v>
      </c>
      <c r="J58">
        <v>0</v>
      </c>
      <c r="K58" t="s">
        <v>35</v>
      </c>
      <c r="L58" s="39">
        <v>0</v>
      </c>
      <c r="M58" t="s">
        <v>584</v>
      </c>
      <c r="N58">
        <v>1</v>
      </c>
      <c r="O58" t="s">
        <v>391</v>
      </c>
      <c r="P58" t="s">
        <v>35</v>
      </c>
      <c r="Q58">
        <v>59</v>
      </c>
      <c r="R58" t="s">
        <v>35</v>
      </c>
      <c r="S58" s="33"/>
      <c r="T58" s="27" t="str">
        <f>IF(NOT(AND(ISNUMBER($G58),ISNUMBER($H58))),"تواريخ غير صحيحة",IF(TODAY()&lt;$G58,"لم يبدأ",IF(TODAY()&gt;$H58,IF(IF($A58="",0,COUNTIF($O:$O,$A58))+IF($B58="",0,COUNTIFS($B:$B,$B58,$G:$G,"&gt;"&amp;$H58)-IF($G58&gt;$H58,1,0))&gt;0,"منتهٍ (أُجِّرت بعده)","منتهٍ"),"ساري")))</f>
        <v>ساري</v>
      </c>
      <c r="U58" s="28">
        <f>IF($X58="","",IF($X58&gt;10,19000,INDEX($AD58:$AM58,1,$X58)))</f>
        <v>19000</v>
      </c>
      <c r="V58" s="28">
        <f>IF($A58="","",SUMIFS('المدفوعات'!$F:$F,'المدفوعات'!$B:$B,$A58))</f>
        <v>57000</v>
      </c>
      <c r="W58" s="35">
        <v>0</v>
      </c>
      <c r="X58" s="34">
        <f>IF(OR(NOT(ISNUMBER($G58)),NOT(ISNUMBER($H58)),$AA58=""),"",IF(TODAY()&lt;$G58,1,MIN($AA58,DATEDIF($G58,TODAY(),"y")+1)))</f>
        <v>1</v>
      </c>
      <c r="Y58" s="27" t="str">
        <f>IF($B58="","",IFERROR(INDEX('الوحدات'!$B:$B,MATCH($B58,'الوحدات'!$A:$A,0)),""))</f>
        <v>P03</v>
      </c>
      <c r="Z58" s="34">
        <f>IF(ISNUMBER($H58),$H58-TODAY(),"")</f>
        <v>233</v>
      </c>
      <c r="AA58" s="34">
        <f>IF(AND(ISNUMBER($G58),ISNUMBER($H58)),IFERROR(DATEDIF($G58,$H58,"y")+1,""),"")</f>
        <v>1</v>
      </c>
      <c r="AB58" s="37" t="str">
        <f>IF(OR($X58="",$X58&gt;=$AA58),"",DATE(YEAR($G58)+$X58,MONTH($G58),DAY($G58)))</f>
        <v/>
      </c>
      <c r="AC58" s="28" t="str">
        <f>IF($AB58="","",IF($X58+1&gt;10,0,INDEX($AD58:$AM58,1,$X58+1)))</f>
        <v/>
      </c>
      <c r="AD58" s="28">
        <f>IF($AA58="","",IFERROR(VALUE(MID($AN58,SEARCH(";1:",$AN58)+3,SEARCH(";",$AN58,SEARCH(";1:",$AN58)+3)-SEARCH(";1:",$AN58)-3)),$I58))</f>
        <v>19000</v>
      </c>
      <c r="AE58" s="28" t="str">
        <f>IF(OR($AA58="",2&gt;$AA58),"",IFERROR(VALUE(MID($AN58,SEARCH(";2:",$AN58)+3,SEARCH(";",$AN58,SEARCH(";2:",$AN58)+3)-SEARCH(";2:",$AN58)-3)),ROUND($AD58*(1+$J58/100),0)))</f>
        <v/>
      </c>
      <c r="AF58" s="28" t="str">
        <f>IF(OR($AA58="",3&gt;$AA58),"",IFERROR(VALUE(MID($AN58,SEARCH(";3:",$AN58)+3,SEARCH(";",$AN58,SEARCH(";3:",$AN58)+3)-SEARCH(";3:",$AN58)-3)),ROUND($AE58*(1+$J58/100),0)))</f>
        <v/>
      </c>
      <c r="AG58" s="28" t="str">
        <f>IF(OR($AA58="",4&gt;$AA58),"",IFERROR(VALUE(MID($AN58,SEARCH(";4:",$AN58)+3,SEARCH(";",$AN58,SEARCH(";4:",$AN58)+3)-SEARCH(";4:",$AN58)-3)),ROUND($AF58*(1+$J58/100),0)))</f>
        <v/>
      </c>
      <c r="AH58" s="28" t="str">
        <f>IF(OR($AA58="",5&gt;$AA58),"",IFERROR(VALUE(MID($AN58,SEARCH(";5:",$AN58)+3,SEARCH(";",$AN58,SEARCH(";5:",$AN58)+3)-SEARCH(";5:",$AN58)-3)),ROUND($AG58*(1+$J58/100),0)))</f>
        <v/>
      </c>
      <c r="AI58" s="28" t="str">
        <f>IF(OR($AA58="",6&gt;$AA58),"",IFERROR(VALUE(MID($AN58,SEARCH(";6:",$AN58)+3,SEARCH(";",$AN58,SEARCH(";6:",$AN58)+3)-SEARCH(";6:",$AN58)-3)),ROUND($AH58*(1+$J58/100),0)))</f>
        <v/>
      </c>
      <c r="AJ58" s="28" t="str">
        <f>IF(OR($AA58="",7&gt;$AA58),"",IFERROR(VALUE(MID($AN58,SEARCH(";7:",$AN58)+3,SEARCH(";",$AN58,SEARCH(";7:",$AN58)+3)-SEARCH(";7:",$AN58)-3)),ROUND($AI58*(1+$J58/100),0)))</f>
        <v/>
      </c>
      <c r="AK58" s="28" t="str">
        <f>IF(OR($AA58="",8&gt;$AA58),"",IFERROR(VALUE(MID($AN58,SEARCH(";8:",$AN58)+3,SEARCH(";",$AN58,SEARCH(";8:",$AN58)+3)-SEARCH(";8:",$AN58)-3)),ROUND($AJ58*(1+$J58/100),0)))</f>
        <v/>
      </c>
      <c r="AL58" s="28" t="str">
        <f>IF(OR($AA58="",9&gt;$AA58),"",IFERROR(VALUE(MID($AN58,SEARCH(";9:",$AN58)+3,SEARCH(";",$AN58,SEARCH(";9:",$AN58)+3)-SEARCH(";9:",$AN58)-3)),ROUND($AK58*(1+$J58/100),0)))</f>
        <v/>
      </c>
      <c r="AM58" s="28" t="str">
        <f>IF(OR($AA58="",10&gt;$AA58),"",IFERROR(VALUE(MID($AN58,SEARCH(";10:",$AN58)+4,SEARCH(";",$AN58,SEARCH(";10:",$AN58)+4)-SEARCH(";10:",$AN58)-4)),ROUND($AL58*(1+$J58/100),0)))</f>
        <v/>
      </c>
      <c r="AN58" s="36" t="str">
        <f>";"&amp;SUBSTITUTE(SUBSTITUTE(SUBSTITUTE(SUBSTITUTE(SUBSTITUTE(SUBSTITUTE($K58," ",""),"،",";"),CHAR(10),";"),"=",":"),",",""),"٫",".")&amp;";"</f>
        <v>;;</v>
      </c>
      <c r="AO58" s="36" t="str">
        <f>IF($T58="ساري",$B58,"")</f>
        <v>P03-506</v>
      </c>
    </row>
    <row r="59" spans="1:41" x14ac:dyDescent="0.25">
      <c r="A59" t="s">
        <v>400</v>
      </c>
      <c r="B59" t="s">
        <v>401</v>
      </c>
      <c r="C59" t="s">
        <v>402</v>
      </c>
      <c r="D59" s="27" t="str">
        <f>IF($Y59="","",IFERROR(INDEX('المشاريع'!$B:$B,MATCH($Y59,'المشاريع'!$A:$A,0)),""))</f>
        <v>ابو بكر</v>
      </c>
      <c r="E59" s="27" t="str">
        <f>IF($B59="","",IFERROR(INDEX('الوحدات'!$D:$D,MATCH($B59,'الوحدات'!$A:$A,0)),""))</f>
        <v>508</v>
      </c>
      <c r="F59" s="27" t="str">
        <f>IF($C59="","",IFERROR(INDEX('العملاء'!$B:$B,MATCH($C59,'العملاء'!$A:$A,0)),""))</f>
        <v>شركة الأصيل للاستشارات الهندسية</v>
      </c>
      <c r="G59" s="33">
        <v>46180</v>
      </c>
      <c r="H59" s="33">
        <v>46544</v>
      </c>
      <c r="I59" s="39">
        <v>18000</v>
      </c>
      <c r="J59">
        <v>0</v>
      </c>
      <c r="K59" t="s">
        <v>35</v>
      </c>
      <c r="L59" s="39">
        <v>0</v>
      </c>
      <c r="M59" t="s">
        <v>584</v>
      </c>
      <c r="N59">
        <v>1</v>
      </c>
      <c r="O59" t="s">
        <v>35</v>
      </c>
      <c r="P59" t="s">
        <v>35</v>
      </c>
      <c r="Q59">
        <v>60</v>
      </c>
      <c r="R59" t="s">
        <v>35</v>
      </c>
      <c r="S59" s="33"/>
      <c r="T59" s="27" t="str">
        <f>IF(NOT(AND(ISNUMBER($G59),ISNUMBER($H59))),"تواريخ غير صحيحة",IF(TODAY()&lt;$G59,"لم يبدأ",IF(TODAY()&gt;$H59,IF(IF($A59="",0,COUNTIF($O:$O,$A59))+IF($B59="",0,COUNTIFS($B:$B,$B59,$G:$G,"&gt;"&amp;$H59)-IF($G59&gt;$H59,1,0))&gt;0,"منتهٍ (أُجِّرت بعده)","منتهٍ"),"ساري")))</f>
        <v>ساري</v>
      </c>
      <c r="U59" s="28">
        <f>IF($X59="","",IF($X59&gt;10,18000,INDEX($AD59:$AM59,1,$X59)))</f>
        <v>18000</v>
      </c>
      <c r="V59" s="28">
        <f>IF($A59="","",SUMIFS('المدفوعات'!$F:$F,'المدفوعات'!$B:$B,$A59))</f>
        <v>49500</v>
      </c>
      <c r="W59" s="35">
        <v>900</v>
      </c>
      <c r="X59" s="34">
        <f>IF(OR(NOT(ISNUMBER($G59)),NOT(ISNUMBER($H59)),$AA59=""),"",IF(TODAY()&lt;$G59,1,MIN($AA59,DATEDIF($G59,TODAY(),"y")+1)))</f>
        <v>1</v>
      </c>
      <c r="Y59" s="27" t="str">
        <f>IF($B59="","",IFERROR(INDEX('الوحدات'!$B:$B,MATCH($B59,'الوحدات'!$A:$A,0)),""))</f>
        <v>P03</v>
      </c>
      <c r="Z59" s="34">
        <f>IF(ISNUMBER($H59),$H59-TODAY(),"")</f>
        <v>239</v>
      </c>
      <c r="AA59" s="34">
        <f>IF(AND(ISNUMBER($G59),ISNUMBER($H59)),IFERROR(DATEDIF($G59,$H59,"y")+1,""),"")</f>
        <v>1</v>
      </c>
      <c r="AB59" s="37" t="str">
        <f>IF(OR($X59="",$X59&gt;=$AA59),"",DATE(YEAR($G59)+$X59,MONTH($G59),DAY($G59)))</f>
        <v/>
      </c>
      <c r="AC59" s="28" t="str">
        <f>IF($AB59="","",IF($X59+1&gt;10,0,INDEX($AD59:$AM59,1,$X59+1)))</f>
        <v/>
      </c>
      <c r="AD59" s="28">
        <f>IF($AA59="","",IFERROR(VALUE(MID($AN59,SEARCH(";1:",$AN59)+3,SEARCH(";",$AN59,SEARCH(";1:",$AN59)+3)-SEARCH(";1:",$AN59)-3)),$I59))</f>
        <v>18000</v>
      </c>
      <c r="AE59" s="28" t="str">
        <f>IF(OR($AA59="",2&gt;$AA59),"",IFERROR(VALUE(MID($AN59,SEARCH(";2:",$AN59)+3,SEARCH(";",$AN59,SEARCH(";2:",$AN59)+3)-SEARCH(";2:",$AN59)-3)),ROUND($AD59*(1+$J59/100),0)))</f>
        <v/>
      </c>
      <c r="AF59" s="28" t="str">
        <f>IF(OR($AA59="",3&gt;$AA59),"",IFERROR(VALUE(MID($AN59,SEARCH(";3:",$AN59)+3,SEARCH(";",$AN59,SEARCH(";3:",$AN59)+3)-SEARCH(";3:",$AN59)-3)),ROUND($AE59*(1+$J59/100),0)))</f>
        <v/>
      </c>
      <c r="AG59" s="28" t="str">
        <f>IF(OR($AA59="",4&gt;$AA59),"",IFERROR(VALUE(MID($AN59,SEARCH(";4:",$AN59)+3,SEARCH(";",$AN59,SEARCH(";4:",$AN59)+3)-SEARCH(";4:",$AN59)-3)),ROUND($AF59*(1+$J59/100),0)))</f>
        <v/>
      </c>
      <c r="AH59" s="28" t="str">
        <f>IF(OR($AA59="",5&gt;$AA59),"",IFERROR(VALUE(MID($AN59,SEARCH(";5:",$AN59)+3,SEARCH(";",$AN59,SEARCH(";5:",$AN59)+3)-SEARCH(";5:",$AN59)-3)),ROUND($AG59*(1+$J59/100),0)))</f>
        <v/>
      </c>
      <c r="AI59" s="28" t="str">
        <f>IF(OR($AA59="",6&gt;$AA59),"",IFERROR(VALUE(MID($AN59,SEARCH(";6:",$AN59)+3,SEARCH(";",$AN59,SEARCH(";6:",$AN59)+3)-SEARCH(";6:",$AN59)-3)),ROUND($AH59*(1+$J59/100),0)))</f>
        <v/>
      </c>
      <c r="AJ59" s="28" t="str">
        <f>IF(OR($AA59="",7&gt;$AA59),"",IFERROR(VALUE(MID($AN59,SEARCH(";7:",$AN59)+3,SEARCH(";",$AN59,SEARCH(";7:",$AN59)+3)-SEARCH(";7:",$AN59)-3)),ROUND($AI59*(1+$J59/100),0)))</f>
        <v/>
      </c>
      <c r="AK59" s="28" t="str">
        <f>IF(OR($AA59="",8&gt;$AA59),"",IFERROR(VALUE(MID($AN59,SEARCH(";8:",$AN59)+3,SEARCH(";",$AN59,SEARCH(";8:",$AN59)+3)-SEARCH(";8:",$AN59)-3)),ROUND($AJ59*(1+$J59/100),0)))</f>
        <v/>
      </c>
      <c r="AL59" s="28" t="str">
        <f>IF(OR($AA59="",9&gt;$AA59),"",IFERROR(VALUE(MID($AN59,SEARCH(";9:",$AN59)+3,SEARCH(";",$AN59,SEARCH(";9:",$AN59)+3)-SEARCH(";9:",$AN59)-3)),ROUND($AK59*(1+$J59/100),0)))</f>
        <v/>
      </c>
      <c r="AM59" s="28" t="str">
        <f>IF(OR($AA59="",10&gt;$AA59),"",IFERROR(VALUE(MID($AN59,SEARCH(";10:",$AN59)+4,SEARCH(";",$AN59,SEARCH(";10:",$AN59)+4)-SEARCH(";10:",$AN59)-4)),ROUND($AL59*(1+$J59/100),0)))</f>
        <v/>
      </c>
      <c r="AN59" s="36" t="str">
        <f>";"&amp;SUBSTITUTE(SUBSTITUTE(SUBSTITUTE(SUBSTITUTE(SUBSTITUTE(SUBSTITUTE($K59," ",""),"،",";"),CHAR(10),";"),"=",":"),",",""),"٫",".")&amp;";"</f>
        <v>;;</v>
      </c>
      <c r="AO59" s="36" t="str">
        <f>IF($T59="ساري",$B59,"")</f>
        <v>P03-508</v>
      </c>
    </row>
    <row r="60" spans="1:41" x14ac:dyDescent="0.25">
      <c r="A60" t="s">
        <v>407</v>
      </c>
      <c r="B60" t="s">
        <v>408</v>
      </c>
      <c r="C60" t="s">
        <v>409</v>
      </c>
      <c r="D60" s="27" t="str">
        <f>IF($Y60="","",IFERROR(INDEX('المشاريع'!$B:$B,MATCH($Y60,'المشاريع'!$A:$A,0)),""))</f>
        <v>ابو بكر</v>
      </c>
      <c r="E60" s="27" t="str">
        <f>IF($B60="","",IFERROR(INDEX('الوحدات'!$D:$D,MATCH($B60,'الوحدات'!$A:$A,0)),""))</f>
        <v>601</v>
      </c>
      <c r="F60" s="27" t="str">
        <f>IF($C60="","",IFERROR(INDEX('العملاء'!$B:$B,MATCH($C60,'العملاء'!$A:$A,0)),""))</f>
        <v>شركة الوادي للتنمية</v>
      </c>
      <c r="G60" s="33">
        <v>45170</v>
      </c>
      <c r="H60" s="33">
        <v>46265</v>
      </c>
      <c r="I60" s="39">
        <v>9680</v>
      </c>
      <c r="J60">
        <v>0</v>
      </c>
      <c r="K60" t="s">
        <v>607</v>
      </c>
      <c r="L60" s="39">
        <v>0</v>
      </c>
      <c r="M60" t="s">
        <v>584</v>
      </c>
      <c r="N60">
        <v>1</v>
      </c>
      <c r="O60" t="s">
        <v>35</v>
      </c>
      <c r="P60" t="s">
        <v>35</v>
      </c>
      <c r="Q60">
        <v>61</v>
      </c>
      <c r="R60" t="s">
        <v>35</v>
      </c>
      <c r="S60" s="33"/>
      <c r="T60" s="27" t="str">
        <f>IF(NOT(AND(ISNUMBER($G60),ISNUMBER($H60))),"تواريخ غير صحيحة",IF(TODAY()&lt;$G60,"لم يبدأ",IF(TODAY()&gt;$H60,IF(IF($A60="",0,COUNTIF($O:$O,$A60))+IF($B60="",0,COUNTIFS($B:$B,$B60,$G:$G,"&gt;"&amp;$H60)-IF($G60&gt;$H60,1,0))&gt;0,"منتهٍ (أُجِّرت بعده)","منتهٍ"),"ساري")))</f>
        <v>منتهٍ</v>
      </c>
      <c r="U60" s="28">
        <f>IF($X60="","",IF($X60&gt;10,9680,INDEX($AD60:$AM60,1,$X60)))</f>
        <v>9680</v>
      </c>
      <c r="V60" s="28">
        <f>IF($A60="","",SUMIFS('المدفوعات'!$F:$F,'المدفوعات'!$B:$B,$A60))</f>
        <v>77440</v>
      </c>
      <c r="W60" s="35">
        <v>0</v>
      </c>
      <c r="X60" s="34">
        <f>IF(OR(NOT(ISNUMBER($G60)),NOT(ISNUMBER($H60)),$AA60=""),"",IF(TODAY()&lt;$G60,1,MIN($AA60,DATEDIF($G60,TODAY(),"y")+1)))</f>
        <v>3</v>
      </c>
      <c r="Y60" s="27" t="str">
        <f>IF($B60="","",IFERROR(INDEX('الوحدات'!$B:$B,MATCH($B60,'الوحدات'!$A:$A,0)),""))</f>
        <v>P03</v>
      </c>
      <c r="Z60" s="34">
        <f>IF(ISNUMBER($H60),$H60-TODAY(),"")</f>
        <v>-40</v>
      </c>
      <c r="AA60" s="34">
        <f>IF(AND(ISNUMBER($G60),ISNUMBER($H60)),IFERROR(DATEDIF($G60,$H60,"y")+1,""),"")</f>
        <v>3</v>
      </c>
      <c r="AB60" s="37" t="str">
        <f>IF(OR($X60="",$X60&gt;=$AA60),"",DATE(YEAR($G60)+$X60,MONTH($G60),DAY($G60)))</f>
        <v/>
      </c>
      <c r="AC60" s="28" t="str">
        <f>IF($AB60="","",IF($X60+1&gt;10,0,INDEX($AD60:$AM60,1,$X60+1)))</f>
        <v/>
      </c>
      <c r="AD60" s="28">
        <f>IF($AA60="","",IFERROR(VALUE(MID($AN60,SEARCH(";1:",$AN60)+3,SEARCH(";",$AN60,SEARCH(";1:",$AN60)+3)-SEARCH(";1:",$AN60)-3)),$I60))</f>
        <v>9680</v>
      </c>
      <c r="AE60" s="28">
        <f>IF(OR($AA60="",2&gt;$AA60),"",IFERROR(VALUE(MID($AN60,SEARCH(";2:",$AN60)+3,SEARCH(";",$AN60,SEARCH(";2:",$AN60)+3)-SEARCH(";2:",$AN60)-3)),ROUND($AD60*(1+$J60/100),0)))</f>
        <v>9680</v>
      </c>
      <c r="AF60" s="28">
        <f>IF(OR($AA60="",3&gt;$AA60),"",IFERROR(VALUE(MID($AN60,SEARCH(";3:",$AN60)+3,SEARCH(";",$AN60,SEARCH(";3:",$AN60)+3)-SEARCH(";3:",$AN60)-3)),ROUND($AE60*(1+$J60/100),0)))</f>
        <v>9680</v>
      </c>
      <c r="AG60" s="28" t="str">
        <f>IF(OR($AA60="",4&gt;$AA60),"",IFERROR(VALUE(MID($AN60,SEARCH(";4:",$AN60)+3,SEARCH(";",$AN60,SEARCH(";4:",$AN60)+3)-SEARCH(";4:",$AN60)-3)),ROUND($AF60*(1+$J60/100),0)))</f>
        <v/>
      </c>
      <c r="AH60" s="28" t="str">
        <f>IF(OR($AA60="",5&gt;$AA60),"",IFERROR(VALUE(MID($AN60,SEARCH(";5:",$AN60)+3,SEARCH(";",$AN60,SEARCH(";5:",$AN60)+3)-SEARCH(";5:",$AN60)-3)),ROUND($AG60*(1+$J60/100),0)))</f>
        <v/>
      </c>
      <c r="AI60" s="28" t="str">
        <f>IF(OR($AA60="",6&gt;$AA60),"",IFERROR(VALUE(MID($AN60,SEARCH(";6:",$AN60)+3,SEARCH(";",$AN60,SEARCH(";6:",$AN60)+3)-SEARCH(";6:",$AN60)-3)),ROUND($AH60*(1+$J60/100),0)))</f>
        <v/>
      </c>
      <c r="AJ60" s="28" t="str">
        <f>IF(OR($AA60="",7&gt;$AA60),"",IFERROR(VALUE(MID($AN60,SEARCH(";7:",$AN60)+3,SEARCH(";",$AN60,SEARCH(";7:",$AN60)+3)-SEARCH(";7:",$AN60)-3)),ROUND($AI60*(1+$J60/100),0)))</f>
        <v/>
      </c>
      <c r="AK60" s="28" t="str">
        <f>IF(OR($AA60="",8&gt;$AA60),"",IFERROR(VALUE(MID($AN60,SEARCH(";8:",$AN60)+3,SEARCH(";",$AN60,SEARCH(";8:",$AN60)+3)-SEARCH(";8:",$AN60)-3)),ROUND($AJ60*(1+$J60/100),0)))</f>
        <v/>
      </c>
      <c r="AL60" s="28" t="str">
        <f>IF(OR($AA60="",9&gt;$AA60),"",IFERROR(VALUE(MID($AN60,SEARCH(";9:",$AN60)+3,SEARCH(";",$AN60,SEARCH(";9:",$AN60)+3)-SEARCH(";9:",$AN60)-3)),ROUND($AK60*(1+$J60/100),0)))</f>
        <v/>
      </c>
      <c r="AM60" s="28" t="str">
        <f>IF(OR($AA60="",10&gt;$AA60),"",IFERROR(VALUE(MID($AN60,SEARCH(";10:",$AN60)+4,SEARCH(";",$AN60,SEARCH(";10:",$AN60)+4)-SEARCH(";10:",$AN60)-4)),ROUND($AL60*(1+$J60/100),0)))</f>
        <v/>
      </c>
      <c r="AN60" s="36" t="str">
        <f>";"&amp;SUBSTITUTE(SUBSTITUTE(SUBSTITUTE(SUBSTITUTE(SUBSTITUTE(SUBSTITUTE($K60," ",""),"،",";"),CHAR(10),";"),"=",":"),",",""),"٫",".")&amp;";"</f>
        <v>;3:9680;</v>
      </c>
      <c r="AO60" s="36" t="str">
        <f>IF($T60="ساري",$B60,"")</f>
        <v/>
      </c>
    </row>
    <row r="61" spans="1:41" x14ac:dyDescent="0.25">
      <c r="A61" t="s">
        <v>415</v>
      </c>
      <c r="B61" t="s">
        <v>416</v>
      </c>
      <c r="C61" t="s">
        <v>417</v>
      </c>
      <c r="D61" s="27" t="str">
        <f>IF($Y61="","",IFERROR(INDEX('المشاريع'!$B:$B,MATCH($Y61,'المشاريع'!$A:$A,0)),""))</f>
        <v>ابو بكر</v>
      </c>
      <c r="E61" s="27" t="str">
        <f>IF($B61="","",IFERROR(INDEX('الوحدات'!$D:$D,MATCH($B61,'الوحدات'!$A:$A,0)),""))</f>
        <v>602</v>
      </c>
      <c r="F61" s="27" t="str">
        <f>IF($C61="","",IFERROR(INDEX('العملاء'!$B:$B,MATCH($C61,'العملاء'!$A:$A,0)),""))</f>
        <v>شركة الوفاء للاستشارات الهندسية</v>
      </c>
      <c r="G61" s="33">
        <v>45931</v>
      </c>
      <c r="H61" s="33">
        <v>46295</v>
      </c>
      <c r="I61" s="39">
        <v>19000</v>
      </c>
      <c r="J61">
        <v>0</v>
      </c>
      <c r="K61" t="s">
        <v>35</v>
      </c>
      <c r="L61" s="39">
        <v>0</v>
      </c>
      <c r="M61" t="s">
        <v>584</v>
      </c>
      <c r="N61">
        <v>1</v>
      </c>
      <c r="O61" t="s">
        <v>35</v>
      </c>
      <c r="P61" t="s">
        <v>35</v>
      </c>
      <c r="Q61">
        <v>62</v>
      </c>
      <c r="R61" t="s">
        <v>35</v>
      </c>
      <c r="S61" s="33"/>
      <c r="T61" s="27" t="str">
        <f>IF(NOT(AND(ISNUMBER($G61),ISNUMBER($H61))),"تواريخ غير صحيحة",IF(TODAY()&lt;$G61,"لم يبدأ",IF(TODAY()&gt;$H61,IF(IF($A61="",0,COUNTIF($O:$O,$A61))+IF($B61="",0,COUNTIFS($B:$B,$B61,$G:$G,"&gt;"&amp;$H61)-IF($G61&gt;$H61,1,0))&gt;0,"منتهٍ (أُجِّرت بعده)","منتهٍ"),"ساري")))</f>
        <v>منتهٍ</v>
      </c>
      <c r="U61" s="28">
        <f>IF($X61="","",IF($X61&gt;10,19000,INDEX($AD61:$AM61,1,$X61)))</f>
        <v>19000</v>
      </c>
      <c r="V61" s="28">
        <f>IF($A61="","",SUMIFS('المدفوعات'!$F:$F,'المدفوعات'!$B:$B,$A61))</f>
        <v>152000</v>
      </c>
      <c r="W61" s="35">
        <v>0</v>
      </c>
      <c r="X61" s="34">
        <f>IF(OR(NOT(ISNUMBER($G61)),NOT(ISNUMBER($H61)),$AA61=""),"",IF(TODAY()&lt;$G61,1,MIN($AA61,DATEDIF($G61,TODAY(),"y")+1)))</f>
        <v>1</v>
      </c>
      <c r="Y61" s="27" t="str">
        <f>IF($B61="","",IFERROR(INDEX('الوحدات'!$B:$B,MATCH($B61,'الوحدات'!$A:$A,0)),""))</f>
        <v>P03</v>
      </c>
      <c r="Z61" s="34">
        <f>IF(ISNUMBER($H61),$H61-TODAY(),"")</f>
        <v>-10</v>
      </c>
      <c r="AA61" s="34">
        <f>IF(AND(ISNUMBER($G61),ISNUMBER($H61)),IFERROR(DATEDIF($G61,$H61,"y")+1,""),"")</f>
        <v>1</v>
      </c>
      <c r="AB61" s="37" t="str">
        <f>IF(OR($X61="",$X61&gt;=$AA61),"",DATE(YEAR($G61)+$X61,MONTH($G61),DAY($G61)))</f>
        <v/>
      </c>
      <c r="AC61" s="28" t="str">
        <f>IF($AB61="","",IF($X61+1&gt;10,0,INDEX($AD61:$AM61,1,$X61+1)))</f>
        <v/>
      </c>
      <c r="AD61" s="28">
        <f>IF($AA61="","",IFERROR(VALUE(MID($AN61,SEARCH(";1:",$AN61)+3,SEARCH(";",$AN61,SEARCH(";1:",$AN61)+3)-SEARCH(";1:",$AN61)-3)),$I61))</f>
        <v>19000</v>
      </c>
      <c r="AE61" s="28" t="str">
        <f>IF(OR($AA61="",2&gt;$AA61),"",IFERROR(VALUE(MID($AN61,SEARCH(";2:",$AN61)+3,SEARCH(";",$AN61,SEARCH(";2:",$AN61)+3)-SEARCH(";2:",$AN61)-3)),ROUND($AD61*(1+$J61/100),0)))</f>
        <v/>
      </c>
      <c r="AF61" s="28" t="str">
        <f>IF(OR($AA61="",3&gt;$AA61),"",IFERROR(VALUE(MID($AN61,SEARCH(";3:",$AN61)+3,SEARCH(";",$AN61,SEARCH(";3:",$AN61)+3)-SEARCH(";3:",$AN61)-3)),ROUND($AE61*(1+$J61/100),0)))</f>
        <v/>
      </c>
      <c r="AG61" s="28" t="str">
        <f>IF(OR($AA61="",4&gt;$AA61),"",IFERROR(VALUE(MID($AN61,SEARCH(";4:",$AN61)+3,SEARCH(";",$AN61,SEARCH(";4:",$AN61)+3)-SEARCH(";4:",$AN61)-3)),ROUND($AF61*(1+$J61/100),0)))</f>
        <v/>
      </c>
      <c r="AH61" s="28" t="str">
        <f>IF(OR($AA61="",5&gt;$AA61),"",IFERROR(VALUE(MID($AN61,SEARCH(";5:",$AN61)+3,SEARCH(";",$AN61,SEARCH(";5:",$AN61)+3)-SEARCH(";5:",$AN61)-3)),ROUND($AG61*(1+$J61/100),0)))</f>
        <v/>
      </c>
      <c r="AI61" s="28" t="str">
        <f>IF(OR($AA61="",6&gt;$AA61),"",IFERROR(VALUE(MID($AN61,SEARCH(";6:",$AN61)+3,SEARCH(";",$AN61,SEARCH(";6:",$AN61)+3)-SEARCH(";6:",$AN61)-3)),ROUND($AH61*(1+$J61/100),0)))</f>
        <v/>
      </c>
      <c r="AJ61" s="28" t="str">
        <f>IF(OR($AA61="",7&gt;$AA61),"",IFERROR(VALUE(MID($AN61,SEARCH(";7:",$AN61)+3,SEARCH(";",$AN61,SEARCH(";7:",$AN61)+3)-SEARCH(";7:",$AN61)-3)),ROUND($AI61*(1+$J61/100),0)))</f>
        <v/>
      </c>
      <c r="AK61" s="28" t="str">
        <f>IF(OR($AA61="",8&gt;$AA61),"",IFERROR(VALUE(MID($AN61,SEARCH(";8:",$AN61)+3,SEARCH(";",$AN61,SEARCH(";8:",$AN61)+3)-SEARCH(";8:",$AN61)-3)),ROUND($AJ61*(1+$J61/100),0)))</f>
        <v/>
      </c>
      <c r="AL61" s="28" t="str">
        <f>IF(OR($AA61="",9&gt;$AA61),"",IFERROR(VALUE(MID($AN61,SEARCH(";9:",$AN61)+3,SEARCH(";",$AN61,SEARCH(";9:",$AN61)+3)-SEARCH(";9:",$AN61)-3)),ROUND($AK61*(1+$J61/100),0)))</f>
        <v/>
      </c>
      <c r="AM61" s="28" t="str">
        <f>IF(OR($AA61="",10&gt;$AA61),"",IFERROR(VALUE(MID($AN61,SEARCH(";10:",$AN61)+4,SEARCH(";",$AN61,SEARCH(";10:",$AN61)+4)-SEARCH(";10:",$AN61)-4)),ROUND($AL61*(1+$J61/100),0)))</f>
        <v/>
      </c>
      <c r="AN61" s="36" t="str">
        <f>";"&amp;SUBSTITUTE(SUBSTITUTE(SUBSTITUTE(SUBSTITUTE(SUBSTITUTE(SUBSTITUTE($K61," ",""),"،",";"),CHAR(10),";"),"=",":"),",",""),"٫",".")&amp;";"</f>
        <v>;;</v>
      </c>
      <c r="AO61" s="36" t="str">
        <f>IF($T61="ساري",$B61,"")</f>
        <v/>
      </c>
    </row>
    <row r="62" spans="1:41" x14ac:dyDescent="0.25">
      <c r="A62" t="s">
        <v>421</v>
      </c>
      <c r="B62" t="s">
        <v>422</v>
      </c>
      <c r="C62" t="s">
        <v>423</v>
      </c>
      <c r="D62" s="27" t="str">
        <f>IF($Y62="","",IFERROR(INDEX('المشاريع'!$B:$B,MATCH($Y62,'المشاريع'!$A:$A,0)),""))</f>
        <v>ابو بكر</v>
      </c>
      <c r="E62" s="27" t="str">
        <f>IF($B62="","",IFERROR(INDEX('الوحدات'!$D:$D,MATCH($B62,'الوحدات'!$A:$A,0)),""))</f>
        <v>603</v>
      </c>
      <c r="F62" s="27" t="str">
        <f>IF($C62="","",IFERROR(INDEX('العملاء'!$B:$B,MATCH($C62,'العملاء'!$A:$A,0)),""))</f>
        <v>عادل باسم حسنين</v>
      </c>
      <c r="G62" s="33">
        <v>45231</v>
      </c>
      <c r="H62" s="33">
        <v>46326</v>
      </c>
      <c r="I62" s="39">
        <v>11495</v>
      </c>
      <c r="J62">
        <v>0</v>
      </c>
      <c r="K62" t="s">
        <v>599</v>
      </c>
      <c r="L62" s="39">
        <v>0</v>
      </c>
      <c r="M62" t="s">
        <v>584</v>
      </c>
      <c r="N62">
        <v>1</v>
      </c>
      <c r="O62" t="s">
        <v>35</v>
      </c>
      <c r="P62" t="s">
        <v>35</v>
      </c>
      <c r="Q62">
        <v>63</v>
      </c>
      <c r="R62" t="s">
        <v>35</v>
      </c>
      <c r="S62" s="33"/>
      <c r="T62" s="27" t="str">
        <f>IF(NOT(AND(ISNUMBER($G62),ISNUMBER($H62))),"تواريخ غير صحيحة",IF(TODAY()&lt;$G62,"لم يبدأ",IF(TODAY()&gt;$H62,IF(IF($A62="",0,COUNTIF($O:$O,$A62))+IF($B62="",0,COUNTIFS($B:$B,$B62,$G:$G,"&gt;"&amp;$H62)-IF($G62&gt;$H62,1,0))&gt;0,"منتهٍ (أُجِّرت بعده)","منتهٍ"),"ساري")))</f>
        <v>ساري</v>
      </c>
      <c r="U62" s="28">
        <f>IF($X62="","",IF($X62&gt;10,11495,INDEX($AD62:$AM62,1,$X62)))</f>
        <v>11495</v>
      </c>
      <c r="V62" s="28">
        <f>IF($A62="","",SUMIFS('المدفوعات'!$F:$F,'المدفوعات'!$B:$B,$A62))</f>
        <v>91960</v>
      </c>
      <c r="W62" s="35">
        <v>0</v>
      </c>
      <c r="X62" s="34">
        <f>IF(OR(NOT(ISNUMBER($G62)),NOT(ISNUMBER($H62)),$AA62=""),"",IF(TODAY()&lt;$G62,1,MIN($AA62,DATEDIF($G62,TODAY(),"y")+1)))</f>
        <v>3</v>
      </c>
      <c r="Y62" s="27" t="str">
        <f>IF($B62="","",IFERROR(INDEX('الوحدات'!$B:$B,MATCH($B62,'الوحدات'!$A:$A,0)),""))</f>
        <v>P03</v>
      </c>
      <c r="Z62" s="34">
        <f>IF(ISNUMBER($H62),$H62-TODAY(),"")</f>
        <v>21</v>
      </c>
      <c r="AA62" s="34">
        <f>IF(AND(ISNUMBER($G62),ISNUMBER($H62)),IFERROR(DATEDIF($G62,$H62,"y")+1,""),"")</f>
        <v>3</v>
      </c>
      <c r="AB62" s="37" t="str">
        <f>IF(OR($X62="",$X62&gt;=$AA62),"",DATE(YEAR($G62)+$X62,MONTH($G62),DAY($G62)))</f>
        <v/>
      </c>
      <c r="AC62" s="28" t="str">
        <f>IF($AB62="","",IF($X62+1&gt;10,0,INDEX($AD62:$AM62,1,$X62+1)))</f>
        <v/>
      </c>
      <c r="AD62" s="28">
        <f>IF($AA62="","",IFERROR(VALUE(MID($AN62,SEARCH(";1:",$AN62)+3,SEARCH(";",$AN62,SEARCH(";1:",$AN62)+3)-SEARCH(";1:",$AN62)-3)),$I62))</f>
        <v>11495</v>
      </c>
      <c r="AE62" s="28">
        <f>IF(OR($AA62="",2&gt;$AA62),"",IFERROR(VALUE(MID($AN62,SEARCH(";2:",$AN62)+3,SEARCH(";",$AN62,SEARCH(";2:",$AN62)+3)-SEARCH(";2:",$AN62)-3)),ROUND($AD62*(1+$J62/100),0)))</f>
        <v>11495</v>
      </c>
      <c r="AF62" s="28">
        <f>IF(OR($AA62="",3&gt;$AA62),"",IFERROR(VALUE(MID($AN62,SEARCH(";3:",$AN62)+3,SEARCH(";",$AN62,SEARCH(";3:",$AN62)+3)-SEARCH(";3:",$AN62)-3)),ROUND($AE62*(1+$J62/100),0)))</f>
        <v>11495</v>
      </c>
      <c r="AG62" s="28" t="str">
        <f>IF(OR($AA62="",4&gt;$AA62),"",IFERROR(VALUE(MID($AN62,SEARCH(";4:",$AN62)+3,SEARCH(";",$AN62,SEARCH(";4:",$AN62)+3)-SEARCH(";4:",$AN62)-3)),ROUND($AF62*(1+$J62/100),0)))</f>
        <v/>
      </c>
      <c r="AH62" s="28" t="str">
        <f>IF(OR($AA62="",5&gt;$AA62),"",IFERROR(VALUE(MID($AN62,SEARCH(";5:",$AN62)+3,SEARCH(";",$AN62,SEARCH(";5:",$AN62)+3)-SEARCH(";5:",$AN62)-3)),ROUND($AG62*(1+$J62/100),0)))</f>
        <v/>
      </c>
      <c r="AI62" s="28" t="str">
        <f>IF(OR($AA62="",6&gt;$AA62),"",IFERROR(VALUE(MID($AN62,SEARCH(";6:",$AN62)+3,SEARCH(";",$AN62,SEARCH(";6:",$AN62)+3)-SEARCH(";6:",$AN62)-3)),ROUND($AH62*(1+$J62/100),0)))</f>
        <v/>
      </c>
      <c r="AJ62" s="28" t="str">
        <f>IF(OR($AA62="",7&gt;$AA62),"",IFERROR(VALUE(MID($AN62,SEARCH(";7:",$AN62)+3,SEARCH(";",$AN62,SEARCH(";7:",$AN62)+3)-SEARCH(";7:",$AN62)-3)),ROUND($AI62*(1+$J62/100),0)))</f>
        <v/>
      </c>
      <c r="AK62" s="28" t="str">
        <f>IF(OR($AA62="",8&gt;$AA62),"",IFERROR(VALUE(MID($AN62,SEARCH(";8:",$AN62)+3,SEARCH(";",$AN62,SEARCH(";8:",$AN62)+3)-SEARCH(";8:",$AN62)-3)),ROUND($AJ62*(1+$J62/100),0)))</f>
        <v/>
      </c>
      <c r="AL62" s="28" t="str">
        <f>IF(OR($AA62="",9&gt;$AA62),"",IFERROR(VALUE(MID($AN62,SEARCH(";9:",$AN62)+3,SEARCH(";",$AN62,SEARCH(";9:",$AN62)+3)-SEARCH(";9:",$AN62)-3)),ROUND($AK62*(1+$J62/100),0)))</f>
        <v/>
      </c>
      <c r="AM62" s="28" t="str">
        <f>IF(OR($AA62="",10&gt;$AA62),"",IFERROR(VALUE(MID($AN62,SEARCH(";10:",$AN62)+4,SEARCH(";",$AN62,SEARCH(";10:",$AN62)+4)-SEARCH(";10:",$AN62)-4)),ROUND($AL62*(1+$J62/100),0)))</f>
        <v/>
      </c>
      <c r="AN62" s="36" t="str">
        <f>";"&amp;SUBSTITUTE(SUBSTITUTE(SUBSTITUTE(SUBSTITUTE(SUBSTITUTE(SUBSTITUTE($K62," ",""),"،",";"),CHAR(10),";"),"=",":"),",",""),"٫",".")&amp;";"</f>
        <v>;3:11495;</v>
      </c>
      <c r="AO62" s="36" t="str">
        <f>IF($T62="ساري",$B62,"")</f>
        <v>P03-603</v>
      </c>
    </row>
    <row r="63" spans="1:41" x14ac:dyDescent="0.25">
      <c r="A63" t="s">
        <v>427</v>
      </c>
      <c r="B63" t="s">
        <v>428</v>
      </c>
      <c r="C63" t="s">
        <v>429</v>
      </c>
      <c r="D63" s="27" t="str">
        <f>IF($Y63="","",IFERROR(INDEX('المشاريع'!$B:$B,MATCH($Y63,'المشاريع'!$A:$A,0)),""))</f>
        <v>ابو بكر</v>
      </c>
      <c r="E63" s="27" t="str">
        <f>IF($B63="","",IFERROR(INDEX('الوحدات'!$D:$D,MATCH($B63,'الوحدات'!$A:$A,0)),""))</f>
        <v>604</v>
      </c>
      <c r="F63" s="27" t="str">
        <f>IF($C63="","",IFERROR(INDEX('العملاء'!$B:$B,MATCH($C63,'العملاء'!$A:$A,0)),""))</f>
        <v>ندى وليد حسنين</v>
      </c>
      <c r="G63" s="33">
        <v>45962</v>
      </c>
      <c r="H63" s="33">
        <v>46326</v>
      </c>
      <c r="I63" s="39">
        <v>11000</v>
      </c>
      <c r="J63">
        <v>0</v>
      </c>
      <c r="K63" t="s">
        <v>35</v>
      </c>
      <c r="L63" s="39">
        <v>0</v>
      </c>
      <c r="M63" t="s">
        <v>584</v>
      </c>
      <c r="N63">
        <v>1</v>
      </c>
      <c r="O63" t="s">
        <v>35</v>
      </c>
      <c r="P63" t="s">
        <v>35</v>
      </c>
      <c r="Q63">
        <v>64</v>
      </c>
      <c r="R63" t="s">
        <v>35</v>
      </c>
      <c r="S63" s="33"/>
      <c r="T63" s="27" t="str">
        <f>IF(NOT(AND(ISNUMBER($G63),ISNUMBER($H63))),"تواريخ غير صحيحة",IF(TODAY()&lt;$G63,"لم يبدأ",IF(TODAY()&gt;$H63,IF(IF($A63="",0,COUNTIF($O:$O,$A63))+IF($B63="",0,COUNTIFS($B:$B,$B63,$G:$G,"&gt;"&amp;$H63)-IF($G63&gt;$H63,1,0))&gt;0,"منتهٍ (أُجِّرت بعده)","منتهٍ"),"ساري")))</f>
        <v>ساري</v>
      </c>
      <c r="U63" s="28">
        <f>IF($X63="","",IF($X63&gt;10,11000,INDEX($AD63:$AM63,1,$X63)))</f>
        <v>11000</v>
      </c>
      <c r="V63" s="28">
        <f>IF($A63="","",SUMIFS('المدفوعات'!$F:$F,'المدفوعات'!$B:$B,$A63))</f>
        <v>88000</v>
      </c>
      <c r="W63" s="35">
        <v>0</v>
      </c>
      <c r="X63" s="34">
        <f>IF(OR(NOT(ISNUMBER($G63)),NOT(ISNUMBER($H63)),$AA63=""),"",IF(TODAY()&lt;$G63,1,MIN($AA63,DATEDIF($G63,TODAY(),"y")+1)))</f>
        <v>1</v>
      </c>
      <c r="Y63" s="27" t="str">
        <f>IF($B63="","",IFERROR(INDEX('الوحدات'!$B:$B,MATCH($B63,'الوحدات'!$A:$A,0)),""))</f>
        <v>P03</v>
      </c>
      <c r="Z63" s="34">
        <f>IF(ISNUMBER($H63),$H63-TODAY(),"")</f>
        <v>21</v>
      </c>
      <c r="AA63" s="34">
        <f>IF(AND(ISNUMBER($G63),ISNUMBER($H63)),IFERROR(DATEDIF($G63,$H63,"y")+1,""),"")</f>
        <v>1</v>
      </c>
      <c r="AB63" s="37" t="str">
        <f>IF(OR($X63="",$X63&gt;=$AA63),"",DATE(YEAR($G63)+$X63,MONTH($G63),DAY($G63)))</f>
        <v/>
      </c>
      <c r="AC63" s="28" t="str">
        <f>IF($AB63="","",IF($X63+1&gt;10,0,INDEX($AD63:$AM63,1,$X63+1)))</f>
        <v/>
      </c>
      <c r="AD63" s="28">
        <f>IF($AA63="","",IFERROR(VALUE(MID($AN63,SEARCH(";1:",$AN63)+3,SEARCH(";",$AN63,SEARCH(";1:",$AN63)+3)-SEARCH(";1:",$AN63)-3)),$I63))</f>
        <v>11000</v>
      </c>
      <c r="AE63" s="28" t="str">
        <f>IF(OR($AA63="",2&gt;$AA63),"",IFERROR(VALUE(MID($AN63,SEARCH(";2:",$AN63)+3,SEARCH(";",$AN63,SEARCH(";2:",$AN63)+3)-SEARCH(";2:",$AN63)-3)),ROUND($AD63*(1+$J63/100),0)))</f>
        <v/>
      </c>
      <c r="AF63" s="28" t="str">
        <f>IF(OR($AA63="",3&gt;$AA63),"",IFERROR(VALUE(MID($AN63,SEARCH(";3:",$AN63)+3,SEARCH(";",$AN63,SEARCH(";3:",$AN63)+3)-SEARCH(";3:",$AN63)-3)),ROUND($AE63*(1+$J63/100),0)))</f>
        <v/>
      </c>
      <c r="AG63" s="28" t="str">
        <f>IF(OR($AA63="",4&gt;$AA63),"",IFERROR(VALUE(MID($AN63,SEARCH(";4:",$AN63)+3,SEARCH(";",$AN63,SEARCH(";4:",$AN63)+3)-SEARCH(";4:",$AN63)-3)),ROUND($AF63*(1+$J63/100),0)))</f>
        <v/>
      </c>
      <c r="AH63" s="28" t="str">
        <f>IF(OR($AA63="",5&gt;$AA63),"",IFERROR(VALUE(MID($AN63,SEARCH(";5:",$AN63)+3,SEARCH(";",$AN63,SEARCH(";5:",$AN63)+3)-SEARCH(";5:",$AN63)-3)),ROUND($AG63*(1+$J63/100),0)))</f>
        <v/>
      </c>
      <c r="AI63" s="28" t="str">
        <f>IF(OR($AA63="",6&gt;$AA63),"",IFERROR(VALUE(MID($AN63,SEARCH(";6:",$AN63)+3,SEARCH(";",$AN63,SEARCH(";6:",$AN63)+3)-SEARCH(";6:",$AN63)-3)),ROUND($AH63*(1+$J63/100),0)))</f>
        <v/>
      </c>
      <c r="AJ63" s="28" t="str">
        <f>IF(OR($AA63="",7&gt;$AA63),"",IFERROR(VALUE(MID($AN63,SEARCH(";7:",$AN63)+3,SEARCH(";",$AN63,SEARCH(";7:",$AN63)+3)-SEARCH(";7:",$AN63)-3)),ROUND($AI63*(1+$J63/100),0)))</f>
        <v/>
      </c>
      <c r="AK63" s="28" t="str">
        <f>IF(OR($AA63="",8&gt;$AA63),"",IFERROR(VALUE(MID($AN63,SEARCH(";8:",$AN63)+3,SEARCH(";",$AN63,SEARCH(";8:",$AN63)+3)-SEARCH(";8:",$AN63)-3)),ROUND($AJ63*(1+$J63/100),0)))</f>
        <v/>
      </c>
      <c r="AL63" s="28" t="str">
        <f>IF(OR($AA63="",9&gt;$AA63),"",IFERROR(VALUE(MID($AN63,SEARCH(";9:",$AN63)+3,SEARCH(";",$AN63,SEARCH(";9:",$AN63)+3)-SEARCH(";9:",$AN63)-3)),ROUND($AK63*(1+$J63/100),0)))</f>
        <v/>
      </c>
      <c r="AM63" s="28" t="str">
        <f>IF(OR($AA63="",10&gt;$AA63),"",IFERROR(VALUE(MID($AN63,SEARCH(";10:",$AN63)+4,SEARCH(";",$AN63,SEARCH(";10:",$AN63)+4)-SEARCH(";10:",$AN63)-4)),ROUND($AL63*(1+$J63/100),0)))</f>
        <v/>
      </c>
      <c r="AN63" s="36" t="str">
        <f>";"&amp;SUBSTITUTE(SUBSTITUTE(SUBSTITUTE(SUBSTITUTE(SUBSTITUTE(SUBSTITUTE($K63," ",""),"،",";"),CHAR(10),";"),"=",":"),",",""),"٫",".")&amp;";"</f>
        <v>;;</v>
      </c>
      <c r="AO63" s="36" t="str">
        <f>IF($T63="ساري",$B63,"")</f>
        <v>P03-604</v>
      </c>
    </row>
    <row r="64" spans="1:41" x14ac:dyDescent="0.25">
      <c r="A64" t="s">
        <v>438</v>
      </c>
      <c r="B64" t="s">
        <v>434</v>
      </c>
      <c r="C64" t="s">
        <v>435</v>
      </c>
      <c r="D64" s="27" t="str">
        <f>IF($Y64="","",IFERROR(INDEX('المشاريع'!$B:$B,MATCH($Y64,'المشاريع'!$A:$A,0)),""))</f>
        <v>ابو بكر</v>
      </c>
      <c r="E64" s="27" t="str">
        <f>IF($B64="","",IFERROR(INDEX('الوحدات'!$D:$D,MATCH($B64,'الوحدات'!$A:$A,0)),""))</f>
        <v>605</v>
      </c>
      <c r="F64" s="27" t="str">
        <f>IF($C64="","",IFERROR(INDEX('العملاء'!$B:$B,MATCH($C64,'العملاء'!$A:$A,0)),""))</f>
        <v>شريف هاني فهمي</v>
      </c>
      <c r="G64" s="33">
        <v>46219</v>
      </c>
      <c r="H64" s="33">
        <v>46583</v>
      </c>
      <c r="I64" s="39">
        <v>11390</v>
      </c>
      <c r="J64">
        <v>0</v>
      </c>
      <c r="K64" t="s">
        <v>35</v>
      </c>
      <c r="L64" s="39">
        <v>0</v>
      </c>
      <c r="M64" t="s">
        <v>584</v>
      </c>
      <c r="N64">
        <v>1</v>
      </c>
      <c r="O64" t="s">
        <v>433</v>
      </c>
      <c r="P64" t="s">
        <v>437</v>
      </c>
      <c r="Q64">
        <v>65</v>
      </c>
      <c r="R64" t="s">
        <v>35</v>
      </c>
      <c r="S64" s="33"/>
      <c r="T64" s="27" t="str">
        <f>IF(NOT(AND(ISNUMBER($G64),ISNUMBER($H64))),"تواريخ غير صحيحة",IF(TODAY()&lt;$G64,"لم يبدأ",IF(TODAY()&gt;$H64,IF(IF($A64="",0,COUNTIF($O:$O,$A64))+IF($B64="",0,COUNTIFS($B:$B,$B64,$G:$G,"&gt;"&amp;$H64)-IF($G64&gt;$H64,1,0))&gt;0,"منتهٍ (أُجِّرت بعده)","منتهٍ"),"ساري")))</f>
        <v>ساري</v>
      </c>
      <c r="U64" s="28">
        <f>IF($X64="","",IF($X64&gt;10,11390,INDEX($AD64:$AM64,1,$X64)))</f>
        <v>11390</v>
      </c>
      <c r="V64" s="28">
        <f>IF($A64="","",SUMIFS('المدفوعات'!$F:$F,'المدفوعات'!$B:$B,$A64))</f>
        <v>11390</v>
      </c>
      <c r="W64" s="35">
        <v>11390</v>
      </c>
      <c r="X64" s="34">
        <f>IF(OR(NOT(ISNUMBER($G64)),NOT(ISNUMBER($H64)),$AA64=""),"",IF(TODAY()&lt;$G64,1,MIN($AA64,DATEDIF($G64,TODAY(),"y")+1)))</f>
        <v>1</v>
      </c>
      <c r="Y64" s="27" t="str">
        <f>IF($B64="","",IFERROR(INDEX('الوحدات'!$B:$B,MATCH($B64,'الوحدات'!$A:$A,0)),""))</f>
        <v>P03</v>
      </c>
      <c r="Z64" s="34">
        <f>IF(ISNUMBER($H64),$H64-TODAY(),"")</f>
        <v>278</v>
      </c>
      <c r="AA64" s="34">
        <f>IF(AND(ISNUMBER($G64),ISNUMBER($H64)),IFERROR(DATEDIF($G64,$H64,"y")+1,""),"")</f>
        <v>1</v>
      </c>
      <c r="AB64" s="37" t="str">
        <f>IF(OR($X64="",$X64&gt;=$AA64),"",DATE(YEAR($G64)+$X64,MONTH($G64),DAY($G64)))</f>
        <v/>
      </c>
      <c r="AC64" s="28" t="str">
        <f>IF($AB64="","",IF($X64+1&gt;10,0,INDEX($AD64:$AM64,1,$X64+1)))</f>
        <v/>
      </c>
      <c r="AD64" s="28">
        <f>IF($AA64="","",IFERROR(VALUE(MID($AN64,SEARCH(";1:",$AN64)+3,SEARCH(";",$AN64,SEARCH(";1:",$AN64)+3)-SEARCH(";1:",$AN64)-3)),$I64))</f>
        <v>11390</v>
      </c>
      <c r="AE64" s="28" t="str">
        <f>IF(OR($AA64="",2&gt;$AA64),"",IFERROR(VALUE(MID($AN64,SEARCH(";2:",$AN64)+3,SEARCH(";",$AN64,SEARCH(";2:",$AN64)+3)-SEARCH(";2:",$AN64)-3)),ROUND($AD64*(1+$J64/100),0)))</f>
        <v/>
      </c>
      <c r="AF64" s="28" t="str">
        <f>IF(OR($AA64="",3&gt;$AA64),"",IFERROR(VALUE(MID($AN64,SEARCH(";3:",$AN64)+3,SEARCH(";",$AN64,SEARCH(";3:",$AN64)+3)-SEARCH(";3:",$AN64)-3)),ROUND($AE64*(1+$J64/100),0)))</f>
        <v/>
      </c>
      <c r="AG64" s="28" t="str">
        <f>IF(OR($AA64="",4&gt;$AA64),"",IFERROR(VALUE(MID($AN64,SEARCH(";4:",$AN64)+3,SEARCH(";",$AN64,SEARCH(";4:",$AN64)+3)-SEARCH(";4:",$AN64)-3)),ROUND($AF64*(1+$J64/100),0)))</f>
        <v/>
      </c>
      <c r="AH64" s="28" t="str">
        <f>IF(OR($AA64="",5&gt;$AA64),"",IFERROR(VALUE(MID($AN64,SEARCH(";5:",$AN64)+3,SEARCH(";",$AN64,SEARCH(";5:",$AN64)+3)-SEARCH(";5:",$AN64)-3)),ROUND($AG64*(1+$J64/100),0)))</f>
        <v/>
      </c>
      <c r="AI64" s="28" t="str">
        <f>IF(OR($AA64="",6&gt;$AA64),"",IFERROR(VALUE(MID($AN64,SEARCH(";6:",$AN64)+3,SEARCH(";",$AN64,SEARCH(";6:",$AN64)+3)-SEARCH(";6:",$AN64)-3)),ROUND($AH64*(1+$J64/100),0)))</f>
        <v/>
      </c>
      <c r="AJ64" s="28" t="str">
        <f>IF(OR($AA64="",7&gt;$AA64),"",IFERROR(VALUE(MID($AN64,SEARCH(";7:",$AN64)+3,SEARCH(";",$AN64,SEARCH(";7:",$AN64)+3)-SEARCH(";7:",$AN64)-3)),ROUND($AI64*(1+$J64/100),0)))</f>
        <v/>
      </c>
      <c r="AK64" s="28" t="str">
        <f>IF(OR($AA64="",8&gt;$AA64),"",IFERROR(VALUE(MID($AN64,SEARCH(";8:",$AN64)+3,SEARCH(";",$AN64,SEARCH(";8:",$AN64)+3)-SEARCH(";8:",$AN64)-3)),ROUND($AJ64*(1+$J64/100),0)))</f>
        <v/>
      </c>
      <c r="AL64" s="28" t="str">
        <f>IF(OR($AA64="",9&gt;$AA64),"",IFERROR(VALUE(MID($AN64,SEARCH(";9:",$AN64)+3,SEARCH(";",$AN64,SEARCH(";9:",$AN64)+3)-SEARCH(";9:",$AN64)-3)),ROUND($AK64*(1+$J64/100),0)))</f>
        <v/>
      </c>
      <c r="AM64" s="28" t="str">
        <f>IF(OR($AA64="",10&gt;$AA64),"",IFERROR(VALUE(MID($AN64,SEARCH(";10:",$AN64)+4,SEARCH(";",$AN64,SEARCH(";10:",$AN64)+4)-SEARCH(";10:",$AN64)-4)),ROUND($AL64*(1+$J64/100),0)))</f>
        <v/>
      </c>
      <c r="AN64" s="36" t="str">
        <f>";"&amp;SUBSTITUTE(SUBSTITUTE(SUBSTITUTE(SUBSTITUTE(SUBSTITUTE(SUBSTITUTE($K64," ",""),"،",";"),CHAR(10),";"),"=",":"),",",""),"٫",".")&amp;";"</f>
        <v>;;</v>
      </c>
      <c r="AO64" s="36" t="str">
        <f>IF($T64="ساري",$B64,"")</f>
        <v>P03-605</v>
      </c>
    </row>
    <row r="65" spans="1:41" x14ac:dyDescent="0.25">
      <c r="A65" t="s">
        <v>446</v>
      </c>
      <c r="B65" t="s">
        <v>444</v>
      </c>
      <c r="C65" t="s">
        <v>445</v>
      </c>
      <c r="D65" s="27" t="str">
        <f>IF($Y65="","",IFERROR(INDEX('المشاريع'!$B:$B,MATCH($Y65,'المشاريع'!$A:$A,0)),""))</f>
        <v>ابو بكر</v>
      </c>
      <c r="E65" s="27" t="str">
        <f>IF($B65="","",IFERROR(INDEX('الوحدات'!$D:$D,MATCH($B65,'الوحدات'!$A:$A,0)),""))</f>
        <v>606</v>
      </c>
      <c r="F65" s="27" t="str">
        <f>IF($C65="","",IFERROR(INDEX('العملاء'!$B:$B,MATCH($C65,'العملاء'!$A:$A,0)),""))</f>
        <v>شركة الياسمين للاستشارات الهندسية</v>
      </c>
      <c r="G65" s="33">
        <v>46219</v>
      </c>
      <c r="H65" s="33">
        <v>46583</v>
      </c>
      <c r="I65" s="39">
        <v>19000</v>
      </c>
      <c r="J65">
        <v>0</v>
      </c>
      <c r="K65" t="s">
        <v>35</v>
      </c>
      <c r="L65" s="39">
        <v>0</v>
      </c>
      <c r="M65" t="s">
        <v>584</v>
      </c>
      <c r="N65">
        <v>1</v>
      </c>
      <c r="O65" t="s">
        <v>443</v>
      </c>
      <c r="P65" t="s">
        <v>35</v>
      </c>
      <c r="Q65">
        <v>66</v>
      </c>
      <c r="R65" t="s">
        <v>35</v>
      </c>
      <c r="S65" s="33"/>
      <c r="T65" s="27" t="str">
        <f>IF(NOT(AND(ISNUMBER($G65),ISNUMBER($H65))),"تواريخ غير صحيحة",IF(TODAY()&lt;$G65,"لم يبدأ",IF(TODAY()&gt;$H65,IF(IF($A65="",0,COUNTIF($O:$O,$A65))+IF($B65="",0,COUNTIFS($B:$B,$B65,$G:$G,"&gt;"&amp;$H65)-IF($G65&gt;$H65,1,0))&gt;0,"منتهٍ (أُجِّرت بعده)","منتهٍ"),"ساري")))</f>
        <v>ساري</v>
      </c>
      <c r="U65" s="28">
        <f>IF($X65="","",IF($X65&gt;10,19000,INDEX($AD65:$AM65,1,$X65)))</f>
        <v>19000</v>
      </c>
      <c r="V65" s="28">
        <f>IF($A65="","",SUMIFS('المدفوعات'!$F:$F,'المدفوعات'!$B:$B,$A65))</f>
        <v>36000</v>
      </c>
      <c r="W65" s="35">
        <v>0</v>
      </c>
      <c r="X65" s="34">
        <f>IF(OR(NOT(ISNUMBER($G65)),NOT(ISNUMBER($H65)),$AA65=""),"",IF(TODAY()&lt;$G65,1,MIN($AA65,DATEDIF($G65,TODAY(),"y")+1)))</f>
        <v>1</v>
      </c>
      <c r="Y65" s="27" t="str">
        <f>IF($B65="","",IFERROR(INDEX('الوحدات'!$B:$B,MATCH($B65,'الوحدات'!$A:$A,0)),""))</f>
        <v>P03</v>
      </c>
      <c r="Z65" s="34">
        <f>IF(ISNUMBER($H65),$H65-TODAY(),"")</f>
        <v>278</v>
      </c>
      <c r="AA65" s="34">
        <f>IF(AND(ISNUMBER($G65),ISNUMBER($H65)),IFERROR(DATEDIF($G65,$H65,"y")+1,""),"")</f>
        <v>1</v>
      </c>
      <c r="AB65" s="37" t="str">
        <f>IF(OR($X65="",$X65&gt;=$AA65),"",DATE(YEAR($G65)+$X65,MONTH($G65),DAY($G65)))</f>
        <v/>
      </c>
      <c r="AC65" s="28" t="str">
        <f>IF($AB65="","",IF($X65+1&gt;10,0,INDEX($AD65:$AM65,1,$X65+1)))</f>
        <v/>
      </c>
      <c r="AD65" s="28">
        <f>IF($AA65="","",IFERROR(VALUE(MID($AN65,SEARCH(";1:",$AN65)+3,SEARCH(";",$AN65,SEARCH(";1:",$AN65)+3)-SEARCH(";1:",$AN65)-3)),$I65))</f>
        <v>19000</v>
      </c>
      <c r="AE65" s="28" t="str">
        <f>IF(OR($AA65="",2&gt;$AA65),"",IFERROR(VALUE(MID($AN65,SEARCH(";2:",$AN65)+3,SEARCH(";",$AN65,SEARCH(";2:",$AN65)+3)-SEARCH(";2:",$AN65)-3)),ROUND($AD65*(1+$J65/100),0)))</f>
        <v/>
      </c>
      <c r="AF65" s="28" t="str">
        <f>IF(OR($AA65="",3&gt;$AA65),"",IFERROR(VALUE(MID($AN65,SEARCH(";3:",$AN65)+3,SEARCH(";",$AN65,SEARCH(";3:",$AN65)+3)-SEARCH(";3:",$AN65)-3)),ROUND($AE65*(1+$J65/100),0)))</f>
        <v/>
      </c>
      <c r="AG65" s="28" t="str">
        <f>IF(OR($AA65="",4&gt;$AA65),"",IFERROR(VALUE(MID($AN65,SEARCH(";4:",$AN65)+3,SEARCH(";",$AN65,SEARCH(";4:",$AN65)+3)-SEARCH(";4:",$AN65)-3)),ROUND($AF65*(1+$J65/100),0)))</f>
        <v/>
      </c>
      <c r="AH65" s="28" t="str">
        <f>IF(OR($AA65="",5&gt;$AA65),"",IFERROR(VALUE(MID($AN65,SEARCH(";5:",$AN65)+3,SEARCH(";",$AN65,SEARCH(";5:",$AN65)+3)-SEARCH(";5:",$AN65)-3)),ROUND($AG65*(1+$J65/100),0)))</f>
        <v/>
      </c>
      <c r="AI65" s="28" t="str">
        <f>IF(OR($AA65="",6&gt;$AA65),"",IFERROR(VALUE(MID($AN65,SEARCH(";6:",$AN65)+3,SEARCH(";",$AN65,SEARCH(";6:",$AN65)+3)-SEARCH(";6:",$AN65)-3)),ROUND($AH65*(1+$J65/100),0)))</f>
        <v/>
      </c>
      <c r="AJ65" s="28" t="str">
        <f>IF(OR($AA65="",7&gt;$AA65),"",IFERROR(VALUE(MID($AN65,SEARCH(";7:",$AN65)+3,SEARCH(";",$AN65,SEARCH(";7:",$AN65)+3)-SEARCH(";7:",$AN65)-3)),ROUND($AI65*(1+$J65/100),0)))</f>
        <v/>
      </c>
      <c r="AK65" s="28" t="str">
        <f>IF(OR($AA65="",8&gt;$AA65),"",IFERROR(VALUE(MID($AN65,SEARCH(";8:",$AN65)+3,SEARCH(";",$AN65,SEARCH(";8:",$AN65)+3)-SEARCH(";8:",$AN65)-3)),ROUND($AJ65*(1+$J65/100),0)))</f>
        <v/>
      </c>
      <c r="AL65" s="28" t="str">
        <f>IF(OR($AA65="",9&gt;$AA65),"",IFERROR(VALUE(MID($AN65,SEARCH(";9:",$AN65)+3,SEARCH(";",$AN65,SEARCH(";9:",$AN65)+3)-SEARCH(";9:",$AN65)-3)),ROUND($AK65*(1+$J65/100),0)))</f>
        <v/>
      </c>
      <c r="AM65" s="28" t="str">
        <f>IF(OR($AA65="",10&gt;$AA65),"",IFERROR(VALUE(MID($AN65,SEARCH(";10:",$AN65)+4,SEARCH(";",$AN65,SEARCH(";10:",$AN65)+4)-SEARCH(";10:",$AN65)-4)),ROUND($AL65*(1+$J65/100),0)))</f>
        <v/>
      </c>
      <c r="AN65" s="36" t="str">
        <f>";"&amp;SUBSTITUTE(SUBSTITUTE(SUBSTITUTE(SUBSTITUTE(SUBSTITUTE(SUBSTITUTE($K65," ",""),"،",";"),CHAR(10),";"),"=",":"),",",""),"٫",".")&amp;";"</f>
        <v>;;</v>
      </c>
      <c r="AO65" s="36" t="str">
        <f>IF($T65="ساري",$B65,"")</f>
        <v>P03-606</v>
      </c>
    </row>
    <row r="66" spans="1:41" x14ac:dyDescent="0.25">
      <c r="A66" t="s">
        <v>452</v>
      </c>
      <c r="B66" t="s">
        <v>453</v>
      </c>
      <c r="C66" t="s">
        <v>454</v>
      </c>
      <c r="D66" s="27" t="str">
        <f>IF($Y66="","",IFERROR(INDEX('المشاريع'!$B:$B,MATCH($Y66,'المشاريع'!$A:$A,0)),""))</f>
        <v>ابو بكر</v>
      </c>
      <c r="E66" s="27" t="str">
        <f>IF($B66="","",IFERROR(INDEX('الوحدات'!$D:$D,MATCH($B66,'الوحدات'!$A:$A,0)),""))</f>
        <v>607</v>
      </c>
      <c r="F66" s="27" t="str">
        <f>IF($C66="","",IFERROR(INDEX('العملاء'!$B:$B,MATCH($C66,'العملاء'!$A:$A,0)),""))</f>
        <v>شركة الدلتا للتجارة</v>
      </c>
      <c r="G66" s="33">
        <v>45778</v>
      </c>
      <c r="H66" s="33">
        <v>46142</v>
      </c>
      <c r="I66" s="39">
        <v>10500</v>
      </c>
      <c r="J66">
        <v>0</v>
      </c>
      <c r="K66" t="s">
        <v>35</v>
      </c>
      <c r="L66" s="39">
        <v>0</v>
      </c>
      <c r="M66" t="s">
        <v>584</v>
      </c>
      <c r="N66">
        <v>1</v>
      </c>
      <c r="O66" t="s">
        <v>35</v>
      </c>
      <c r="P66" t="s">
        <v>451</v>
      </c>
      <c r="Q66">
        <v>67</v>
      </c>
      <c r="R66" t="s">
        <v>35</v>
      </c>
      <c r="S66" s="33"/>
      <c r="T66" s="27" t="str">
        <f>IF(NOT(AND(ISNUMBER($G66),ISNUMBER($H66))),"تواريخ غير صحيحة",IF(TODAY()&lt;$G66,"لم يبدأ",IF(TODAY()&gt;$H66,IF(IF($A66="",0,COUNTIF($O:$O,$A66))+IF($B66="",0,COUNTIFS($B:$B,$B66,$G:$G,"&gt;"&amp;$H66)-IF($G66&gt;$H66,1,0))&gt;0,"منتهٍ (أُجِّرت بعده)","منتهٍ"),"ساري")))</f>
        <v>منتهٍ</v>
      </c>
      <c r="U66" s="28">
        <f>IF($X66="","",IF($X66&gt;10,10500,INDEX($AD66:$AM66,1,$X66)))</f>
        <v>10500</v>
      </c>
      <c r="V66" s="28">
        <f>IF($A66="","",SUMIFS('المدفوعات'!$F:$F,'المدفوعات'!$B:$B,$A66))</f>
        <v>42000</v>
      </c>
      <c r="W66" s="35">
        <v>0</v>
      </c>
      <c r="X66" s="34">
        <f>IF(OR(NOT(ISNUMBER($G66)),NOT(ISNUMBER($H66)),$AA66=""),"",IF(TODAY()&lt;$G66,1,MIN($AA66,DATEDIF($G66,TODAY(),"y")+1)))</f>
        <v>1</v>
      </c>
      <c r="Y66" s="27" t="str">
        <f>IF($B66="","",IFERROR(INDEX('الوحدات'!$B:$B,MATCH($B66,'الوحدات'!$A:$A,0)),""))</f>
        <v>P03</v>
      </c>
      <c r="Z66" s="34">
        <f>IF(ISNUMBER($H66),$H66-TODAY(),"")</f>
        <v>-163</v>
      </c>
      <c r="AA66" s="34">
        <f>IF(AND(ISNUMBER($G66),ISNUMBER($H66)),IFERROR(DATEDIF($G66,$H66,"y")+1,""),"")</f>
        <v>1</v>
      </c>
      <c r="AB66" s="37" t="str">
        <f>IF(OR($X66="",$X66&gt;=$AA66),"",DATE(YEAR($G66)+$X66,MONTH($G66),DAY($G66)))</f>
        <v/>
      </c>
      <c r="AC66" s="28" t="str">
        <f>IF($AB66="","",IF($X66+1&gt;10,0,INDEX($AD66:$AM66,1,$X66+1)))</f>
        <v/>
      </c>
      <c r="AD66" s="28">
        <f>IF($AA66="","",IFERROR(VALUE(MID($AN66,SEARCH(";1:",$AN66)+3,SEARCH(";",$AN66,SEARCH(";1:",$AN66)+3)-SEARCH(";1:",$AN66)-3)),$I66))</f>
        <v>10500</v>
      </c>
      <c r="AE66" s="28" t="str">
        <f>IF(OR($AA66="",2&gt;$AA66),"",IFERROR(VALUE(MID($AN66,SEARCH(";2:",$AN66)+3,SEARCH(";",$AN66,SEARCH(";2:",$AN66)+3)-SEARCH(";2:",$AN66)-3)),ROUND($AD66*(1+$J66/100),0)))</f>
        <v/>
      </c>
      <c r="AF66" s="28" t="str">
        <f>IF(OR($AA66="",3&gt;$AA66),"",IFERROR(VALUE(MID($AN66,SEARCH(";3:",$AN66)+3,SEARCH(";",$AN66,SEARCH(";3:",$AN66)+3)-SEARCH(";3:",$AN66)-3)),ROUND($AE66*(1+$J66/100),0)))</f>
        <v/>
      </c>
      <c r="AG66" s="28" t="str">
        <f>IF(OR($AA66="",4&gt;$AA66),"",IFERROR(VALUE(MID($AN66,SEARCH(";4:",$AN66)+3,SEARCH(";",$AN66,SEARCH(";4:",$AN66)+3)-SEARCH(";4:",$AN66)-3)),ROUND($AF66*(1+$J66/100),0)))</f>
        <v/>
      </c>
      <c r="AH66" s="28" t="str">
        <f>IF(OR($AA66="",5&gt;$AA66),"",IFERROR(VALUE(MID($AN66,SEARCH(";5:",$AN66)+3,SEARCH(";",$AN66,SEARCH(";5:",$AN66)+3)-SEARCH(";5:",$AN66)-3)),ROUND($AG66*(1+$J66/100),0)))</f>
        <v/>
      </c>
      <c r="AI66" s="28" t="str">
        <f>IF(OR($AA66="",6&gt;$AA66),"",IFERROR(VALUE(MID($AN66,SEARCH(";6:",$AN66)+3,SEARCH(";",$AN66,SEARCH(";6:",$AN66)+3)-SEARCH(";6:",$AN66)-3)),ROUND($AH66*(1+$J66/100),0)))</f>
        <v/>
      </c>
      <c r="AJ66" s="28" t="str">
        <f>IF(OR($AA66="",7&gt;$AA66),"",IFERROR(VALUE(MID($AN66,SEARCH(";7:",$AN66)+3,SEARCH(";",$AN66,SEARCH(";7:",$AN66)+3)-SEARCH(";7:",$AN66)-3)),ROUND($AI66*(1+$J66/100),0)))</f>
        <v/>
      </c>
      <c r="AK66" s="28" t="str">
        <f>IF(OR($AA66="",8&gt;$AA66),"",IFERROR(VALUE(MID($AN66,SEARCH(";8:",$AN66)+3,SEARCH(";",$AN66,SEARCH(";8:",$AN66)+3)-SEARCH(";8:",$AN66)-3)),ROUND($AJ66*(1+$J66/100),0)))</f>
        <v/>
      </c>
      <c r="AL66" s="28" t="str">
        <f>IF(OR($AA66="",9&gt;$AA66),"",IFERROR(VALUE(MID($AN66,SEARCH(";9:",$AN66)+3,SEARCH(";",$AN66,SEARCH(";9:",$AN66)+3)-SEARCH(";9:",$AN66)-3)),ROUND($AK66*(1+$J66/100),0)))</f>
        <v/>
      </c>
      <c r="AM66" s="28" t="str">
        <f>IF(OR($AA66="",10&gt;$AA66),"",IFERROR(VALUE(MID($AN66,SEARCH(";10:",$AN66)+4,SEARCH(";",$AN66,SEARCH(";10:",$AN66)+4)-SEARCH(";10:",$AN66)-4)),ROUND($AL66*(1+$J66/100),0)))</f>
        <v/>
      </c>
      <c r="AN66" s="36" t="str">
        <f>";"&amp;SUBSTITUTE(SUBSTITUTE(SUBSTITUTE(SUBSTITUTE(SUBSTITUTE(SUBSTITUTE($K66," ",""),"،",";"),CHAR(10),";"),"=",":"),",",""),"٫",".")&amp;";"</f>
        <v>;;</v>
      </c>
      <c r="AO66" s="36" t="str">
        <f>IF($T66="ساري",$B66,"")</f>
        <v/>
      </c>
    </row>
    <row r="67" spans="1:41" x14ac:dyDescent="0.25">
      <c r="A67" t="s">
        <v>459</v>
      </c>
      <c r="B67" t="s">
        <v>460</v>
      </c>
      <c r="C67" t="s">
        <v>461</v>
      </c>
      <c r="D67" s="27" t="str">
        <f>IF($Y67="","",IFERROR(INDEX('المشاريع'!$B:$B,MATCH($Y67,'المشاريع'!$A:$A,0)),""))</f>
        <v>ابو بكر</v>
      </c>
      <c r="E67" s="27" t="str">
        <f>IF($B67="","",IFERROR(INDEX('الوحدات'!$D:$D,MATCH($B67,'الوحدات'!$A:$A,0)),""))</f>
        <v>608</v>
      </c>
      <c r="F67" s="27" t="str">
        <f>IF($C67="","",IFERROR(INDEX('العملاء'!$B:$B,MATCH($C67,'العملاء'!$A:$A,0)),""))</f>
        <v>شركة السلام للتسويق</v>
      </c>
      <c r="G67" s="33">
        <v>45839</v>
      </c>
      <c r="H67" s="33">
        <v>46203</v>
      </c>
      <c r="I67" s="39">
        <v>13000</v>
      </c>
      <c r="J67">
        <v>0</v>
      </c>
      <c r="K67" t="s">
        <v>35</v>
      </c>
      <c r="L67" s="39">
        <v>0</v>
      </c>
      <c r="M67" t="s">
        <v>584</v>
      </c>
      <c r="N67">
        <v>1</v>
      </c>
      <c r="O67" t="s">
        <v>35</v>
      </c>
      <c r="P67" t="s">
        <v>35</v>
      </c>
      <c r="Q67">
        <v>68</v>
      </c>
      <c r="R67" t="s">
        <v>35</v>
      </c>
      <c r="S67" s="33"/>
      <c r="T67" s="27" t="str">
        <f>IF(NOT(AND(ISNUMBER($G67),ISNUMBER($H67))),"تواريخ غير صحيحة",IF(TODAY()&lt;$G67,"لم يبدأ",IF(TODAY()&gt;$H67,IF(IF($A67="",0,COUNTIF($O:$O,$A67))+IF($B67="",0,COUNTIFS($B:$B,$B67,$G:$G,"&gt;"&amp;$H67)-IF($G67&gt;$H67,1,0))&gt;0,"منتهٍ (أُجِّرت بعده)","منتهٍ"),"ساري")))</f>
        <v>منتهٍ</v>
      </c>
      <c r="U67" s="28">
        <f>IF($X67="","",IF($X67&gt;10,13000,INDEX($AD67:$AM67,1,$X67)))</f>
        <v>13000</v>
      </c>
      <c r="V67" s="28">
        <f>IF($A67="","",SUMIFS('المدفوعات'!$F:$F,'المدفوعات'!$B:$B,$A67))</f>
        <v>78000</v>
      </c>
      <c r="W67" s="35">
        <v>0</v>
      </c>
      <c r="X67" s="34">
        <f>IF(OR(NOT(ISNUMBER($G67)),NOT(ISNUMBER($H67)),$AA67=""),"",IF(TODAY()&lt;$G67,1,MIN($AA67,DATEDIF($G67,TODAY(),"y")+1)))</f>
        <v>1</v>
      </c>
      <c r="Y67" s="27" t="str">
        <f>IF($B67="","",IFERROR(INDEX('الوحدات'!$B:$B,MATCH($B67,'الوحدات'!$A:$A,0)),""))</f>
        <v>P03</v>
      </c>
      <c r="Z67" s="34">
        <f>IF(ISNUMBER($H67),$H67-TODAY(),"")</f>
        <v>-102</v>
      </c>
      <c r="AA67" s="34">
        <f>IF(AND(ISNUMBER($G67),ISNUMBER($H67)),IFERROR(DATEDIF($G67,$H67,"y")+1,""),"")</f>
        <v>1</v>
      </c>
      <c r="AB67" s="37" t="str">
        <f>IF(OR($X67="",$X67&gt;=$AA67),"",DATE(YEAR($G67)+$X67,MONTH($G67),DAY($G67)))</f>
        <v/>
      </c>
      <c r="AC67" s="28" t="str">
        <f>IF($AB67="","",IF($X67+1&gt;10,0,INDEX($AD67:$AM67,1,$X67+1)))</f>
        <v/>
      </c>
      <c r="AD67" s="28">
        <f>IF($AA67="","",IFERROR(VALUE(MID($AN67,SEARCH(";1:",$AN67)+3,SEARCH(";",$AN67,SEARCH(";1:",$AN67)+3)-SEARCH(";1:",$AN67)-3)),$I67))</f>
        <v>13000</v>
      </c>
      <c r="AE67" s="28" t="str">
        <f>IF(OR($AA67="",2&gt;$AA67),"",IFERROR(VALUE(MID($AN67,SEARCH(";2:",$AN67)+3,SEARCH(";",$AN67,SEARCH(";2:",$AN67)+3)-SEARCH(";2:",$AN67)-3)),ROUND($AD67*(1+$J67/100),0)))</f>
        <v/>
      </c>
      <c r="AF67" s="28" t="str">
        <f>IF(OR($AA67="",3&gt;$AA67),"",IFERROR(VALUE(MID($AN67,SEARCH(";3:",$AN67)+3,SEARCH(";",$AN67,SEARCH(";3:",$AN67)+3)-SEARCH(";3:",$AN67)-3)),ROUND($AE67*(1+$J67/100),0)))</f>
        <v/>
      </c>
      <c r="AG67" s="28" t="str">
        <f>IF(OR($AA67="",4&gt;$AA67),"",IFERROR(VALUE(MID($AN67,SEARCH(";4:",$AN67)+3,SEARCH(";",$AN67,SEARCH(";4:",$AN67)+3)-SEARCH(";4:",$AN67)-3)),ROUND($AF67*(1+$J67/100),0)))</f>
        <v/>
      </c>
      <c r="AH67" s="28" t="str">
        <f>IF(OR($AA67="",5&gt;$AA67),"",IFERROR(VALUE(MID($AN67,SEARCH(";5:",$AN67)+3,SEARCH(";",$AN67,SEARCH(";5:",$AN67)+3)-SEARCH(";5:",$AN67)-3)),ROUND($AG67*(1+$J67/100),0)))</f>
        <v/>
      </c>
      <c r="AI67" s="28" t="str">
        <f>IF(OR($AA67="",6&gt;$AA67),"",IFERROR(VALUE(MID($AN67,SEARCH(";6:",$AN67)+3,SEARCH(";",$AN67,SEARCH(";6:",$AN67)+3)-SEARCH(";6:",$AN67)-3)),ROUND($AH67*(1+$J67/100),0)))</f>
        <v/>
      </c>
      <c r="AJ67" s="28" t="str">
        <f>IF(OR($AA67="",7&gt;$AA67),"",IFERROR(VALUE(MID($AN67,SEARCH(";7:",$AN67)+3,SEARCH(";",$AN67,SEARCH(";7:",$AN67)+3)-SEARCH(";7:",$AN67)-3)),ROUND($AI67*(1+$J67/100),0)))</f>
        <v/>
      </c>
      <c r="AK67" s="28" t="str">
        <f>IF(OR($AA67="",8&gt;$AA67),"",IFERROR(VALUE(MID($AN67,SEARCH(";8:",$AN67)+3,SEARCH(";",$AN67,SEARCH(";8:",$AN67)+3)-SEARCH(";8:",$AN67)-3)),ROUND($AJ67*(1+$J67/100),0)))</f>
        <v/>
      </c>
      <c r="AL67" s="28" t="str">
        <f>IF(OR($AA67="",9&gt;$AA67),"",IFERROR(VALUE(MID($AN67,SEARCH(";9:",$AN67)+3,SEARCH(";",$AN67,SEARCH(";9:",$AN67)+3)-SEARCH(";9:",$AN67)-3)),ROUND($AK67*(1+$J67/100),0)))</f>
        <v/>
      </c>
      <c r="AM67" s="28" t="str">
        <f>IF(OR($AA67="",10&gt;$AA67),"",IFERROR(VALUE(MID($AN67,SEARCH(";10:",$AN67)+4,SEARCH(";",$AN67,SEARCH(";10:",$AN67)+4)-SEARCH(";10:",$AN67)-4)),ROUND($AL67*(1+$J67/100),0)))</f>
        <v/>
      </c>
      <c r="AN67" s="36" t="str">
        <f>";"&amp;SUBSTITUTE(SUBSTITUTE(SUBSTITUTE(SUBSTITUTE(SUBSTITUTE(SUBSTITUTE($K67," ",""),"،",";"),CHAR(10),";"),"=",":"),",",""),"٫",".")&amp;";"</f>
        <v>;;</v>
      </c>
      <c r="AO67" s="36" t="str">
        <f>IF($T67="ساري",$B67,"")</f>
        <v/>
      </c>
    </row>
    <row r="68" spans="1:41" x14ac:dyDescent="0.25">
      <c r="A68" t="s">
        <v>467</v>
      </c>
      <c r="B68" t="s">
        <v>468</v>
      </c>
      <c r="C68" t="s">
        <v>469</v>
      </c>
      <c r="D68" s="27" t="str">
        <f>IF($Y68="","",IFERROR(INDEX('المشاريع'!$B:$B,MATCH($Y68,'المشاريع'!$A:$A,0)),""))</f>
        <v>ابو بكر</v>
      </c>
      <c r="E68" s="27" t="str">
        <f>IF($B68="","",IFERROR(INDEX('الوحدات'!$D:$D,MATCH($B68,'الوحدات'!$A:$A,0)),""))</f>
        <v>701</v>
      </c>
      <c r="F68" s="27" t="str">
        <f>IF($C68="","",IFERROR(INDEX('العملاء'!$B:$B,MATCH($C68,'العملاء'!$A:$A,0)),""))</f>
        <v>شركة المستقبل للتنمية</v>
      </c>
      <c r="G68" s="33">
        <v>45916</v>
      </c>
      <c r="H68" s="33">
        <v>46280</v>
      </c>
      <c r="I68" s="39">
        <v>17000</v>
      </c>
      <c r="J68">
        <v>0</v>
      </c>
      <c r="K68" t="s">
        <v>35</v>
      </c>
      <c r="L68" s="39">
        <v>0</v>
      </c>
      <c r="M68" t="s">
        <v>584</v>
      </c>
      <c r="N68">
        <v>1</v>
      </c>
      <c r="O68" t="s">
        <v>35</v>
      </c>
      <c r="P68" t="s">
        <v>35</v>
      </c>
      <c r="Q68">
        <v>69</v>
      </c>
      <c r="R68" t="s">
        <v>35</v>
      </c>
      <c r="S68" s="33"/>
      <c r="T68" s="27" t="str">
        <f>IF(NOT(AND(ISNUMBER($G68),ISNUMBER($H68))),"تواريخ غير صحيحة",IF(TODAY()&lt;$G68,"لم يبدأ",IF(TODAY()&gt;$H68,IF(IF($A68="",0,COUNTIF($O:$O,$A68))+IF($B68="",0,COUNTIFS($B:$B,$B68,$G:$G,"&gt;"&amp;$H68)-IF($G68&gt;$H68,1,0))&gt;0,"منتهٍ (أُجِّرت بعده)","منتهٍ"),"ساري")))</f>
        <v>منتهٍ</v>
      </c>
      <c r="U68" s="28">
        <f>IF($X68="","",IF($X68&gt;10,17000,INDEX($AD68:$AM68,1,$X68)))</f>
        <v>17000</v>
      </c>
      <c r="V68" s="28">
        <f>IF($A68="","",SUMIFS('المدفوعات'!$F:$F,'المدفوعات'!$B:$B,$A68))</f>
        <v>136000</v>
      </c>
      <c r="W68" s="35">
        <v>0</v>
      </c>
      <c r="X68" s="34">
        <f>IF(OR(NOT(ISNUMBER($G68)),NOT(ISNUMBER($H68)),$AA68=""),"",IF(TODAY()&lt;$G68,1,MIN($AA68,DATEDIF($G68,TODAY(),"y")+1)))</f>
        <v>1</v>
      </c>
      <c r="Y68" s="27" t="str">
        <f>IF($B68="","",IFERROR(INDEX('الوحدات'!$B:$B,MATCH($B68,'الوحدات'!$A:$A,0)),""))</f>
        <v>P03</v>
      </c>
      <c r="Z68" s="34">
        <f>IF(ISNUMBER($H68),$H68-TODAY(),"")</f>
        <v>-25</v>
      </c>
      <c r="AA68" s="34">
        <f>IF(AND(ISNUMBER($G68),ISNUMBER($H68)),IFERROR(DATEDIF($G68,$H68,"y")+1,""),"")</f>
        <v>1</v>
      </c>
      <c r="AB68" s="37" t="str">
        <f>IF(OR($X68="",$X68&gt;=$AA68),"",DATE(YEAR($G68)+$X68,MONTH($G68),DAY($G68)))</f>
        <v/>
      </c>
      <c r="AC68" s="28" t="str">
        <f>IF($AB68="","",IF($X68+1&gt;10,0,INDEX($AD68:$AM68,1,$X68+1)))</f>
        <v/>
      </c>
      <c r="AD68" s="28">
        <f>IF($AA68="","",IFERROR(VALUE(MID($AN68,SEARCH(";1:",$AN68)+3,SEARCH(";",$AN68,SEARCH(";1:",$AN68)+3)-SEARCH(";1:",$AN68)-3)),$I68))</f>
        <v>17000</v>
      </c>
      <c r="AE68" s="28" t="str">
        <f>IF(OR($AA68="",2&gt;$AA68),"",IFERROR(VALUE(MID($AN68,SEARCH(";2:",$AN68)+3,SEARCH(";",$AN68,SEARCH(";2:",$AN68)+3)-SEARCH(";2:",$AN68)-3)),ROUND($AD68*(1+$J68/100),0)))</f>
        <v/>
      </c>
      <c r="AF68" s="28" t="str">
        <f>IF(OR($AA68="",3&gt;$AA68),"",IFERROR(VALUE(MID($AN68,SEARCH(";3:",$AN68)+3,SEARCH(";",$AN68,SEARCH(";3:",$AN68)+3)-SEARCH(";3:",$AN68)-3)),ROUND($AE68*(1+$J68/100),0)))</f>
        <v/>
      </c>
      <c r="AG68" s="28" t="str">
        <f>IF(OR($AA68="",4&gt;$AA68),"",IFERROR(VALUE(MID($AN68,SEARCH(";4:",$AN68)+3,SEARCH(";",$AN68,SEARCH(";4:",$AN68)+3)-SEARCH(";4:",$AN68)-3)),ROUND($AF68*(1+$J68/100),0)))</f>
        <v/>
      </c>
      <c r="AH68" s="28" t="str">
        <f>IF(OR($AA68="",5&gt;$AA68),"",IFERROR(VALUE(MID($AN68,SEARCH(";5:",$AN68)+3,SEARCH(";",$AN68,SEARCH(";5:",$AN68)+3)-SEARCH(";5:",$AN68)-3)),ROUND($AG68*(1+$J68/100),0)))</f>
        <v/>
      </c>
      <c r="AI68" s="28" t="str">
        <f>IF(OR($AA68="",6&gt;$AA68),"",IFERROR(VALUE(MID($AN68,SEARCH(";6:",$AN68)+3,SEARCH(";",$AN68,SEARCH(";6:",$AN68)+3)-SEARCH(";6:",$AN68)-3)),ROUND($AH68*(1+$J68/100),0)))</f>
        <v/>
      </c>
      <c r="AJ68" s="28" t="str">
        <f>IF(OR($AA68="",7&gt;$AA68),"",IFERROR(VALUE(MID($AN68,SEARCH(";7:",$AN68)+3,SEARCH(";",$AN68,SEARCH(";7:",$AN68)+3)-SEARCH(";7:",$AN68)-3)),ROUND($AI68*(1+$J68/100),0)))</f>
        <v/>
      </c>
      <c r="AK68" s="28" t="str">
        <f>IF(OR($AA68="",8&gt;$AA68),"",IFERROR(VALUE(MID($AN68,SEARCH(";8:",$AN68)+3,SEARCH(";",$AN68,SEARCH(";8:",$AN68)+3)-SEARCH(";8:",$AN68)-3)),ROUND($AJ68*(1+$J68/100),0)))</f>
        <v/>
      </c>
      <c r="AL68" s="28" t="str">
        <f>IF(OR($AA68="",9&gt;$AA68),"",IFERROR(VALUE(MID($AN68,SEARCH(";9:",$AN68)+3,SEARCH(";",$AN68,SEARCH(";9:",$AN68)+3)-SEARCH(";9:",$AN68)-3)),ROUND($AK68*(1+$J68/100),0)))</f>
        <v/>
      </c>
      <c r="AM68" s="28" t="str">
        <f>IF(OR($AA68="",10&gt;$AA68),"",IFERROR(VALUE(MID($AN68,SEARCH(";10:",$AN68)+4,SEARCH(";",$AN68,SEARCH(";10:",$AN68)+4)-SEARCH(";10:",$AN68)-4)),ROUND($AL68*(1+$J68/100),0)))</f>
        <v/>
      </c>
      <c r="AN68" s="36" t="str">
        <f>";"&amp;SUBSTITUTE(SUBSTITUTE(SUBSTITUTE(SUBSTITUTE(SUBSTITUTE(SUBSTITUTE($K68," ",""),"،",";"),CHAR(10),";"),"=",":"),",",""),"٫",".")&amp;";"</f>
        <v>;;</v>
      </c>
      <c r="AO68" s="36" t="str">
        <f>IF($T68="ساري",$B68,"")</f>
        <v/>
      </c>
    </row>
    <row r="69" spans="1:41" x14ac:dyDescent="0.25">
      <c r="A69" t="s">
        <v>474</v>
      </c>
      <c r="B69" t="s">
        <v>475</v>
      </c>
      <c r="C69" t="s">
        <v>476</v>
      </c>
      <c r="D69" s="27" t="str">
        <f>IF($Y69="","",IFERROR(INDEX('المشاريع'!$B:$B,MATCH($Y69,'المشاريع'!$A:$A,0)),""))</f>
        <v>ابو بكر</v>
      </c>
      <c r="E69" s="27" t="str">
        <f>IF($B69="","",IFERROR(INDEX('الوحدات'!$D:$D,MATCH($B69,'الوحدات'!$A:$A,0)),""))</f>
        <v>703</v>
      </c>
      <c r="F69" s="27" t="str">
        <f>IF($C69="","",IFERROR(INDEX('العملاء'!$B:$B,MATCH($C69,'العملاء'!$A:$A,0)),""))</f>
        <v>شركة النخبة للتنمية</v>
      </c>
      <c r="G69" s="33">
        <v>46204</v>
      </c>
      <c r="H69" s="33">
        <v>46568</v>
      </c>
      <c r="I69" s="39">
        <v>20000</v>
      </c>
      <c r="J69">
        <v>0</v>
      </c>
      <c r="K69" t="s">
        <v>35</v>
      </c>
      <c r="L69" s="39">
        <v>0</v>
      </c>
      <c r="M69" t="s">
        <v>584</v>
      </c>
      <c r="N69">
        <v>1</v>
      </c>
      <c r="O69" t="s">
        <v>35</v>
      </c>
      <c r="P69" t="s">
        <v>35</v>
      </c>
      <c r="Q69">
        <v>70</v>
      </c>
      <c r="R69" t="s">
        <v>35</v>
      </c>
      <c r="S69" s="33"/>
      <c r="T69" s="27" t="str">
        <f>IF(NOT(AND(ISNUMBER($G69),ISNUMBER($H69))),"تواريخ غير صحيحة",IF(TODAY()&lt;$G69,"لم يبدأ",IF(TODAY()&gt;$H69,IF(IF($A69="",0,COUNTIF($O:$O,$A69))+IF($B69="",0,COUNTIFS($B:$B,$B69,$G:$G,"&gt;"&amp;$H69)-IF($G69&gt;$H69,1,0))&gt;0,"منتهٍ (أُجِّرت بعده)","منتهٍ"),"ساري")))</f>
        <v>ساري</v>
      </c>
      <c r="U69" s="28">
        <f>IF($X69="","",IF($X69&gt;10,20000,INDEX($AD69:$AM69,1,$X69)))</f>
        <v>20000</v>
      </c>
      <c r="V69" s="28">
        <f>IF($A69="","",SUMIFS('المدفوعات'!$F:$F,'المدفوعات'!$B:$B,$A69))</f>
        <v>40000</v>
      </c>
      <c r="W69" s="35">
        <v>0</v>
      </c>
      <c r="X69" s="34">
        <f>IF(OR(NOT(ISNUMBER($G69)),NOT(ISNUMBER($H69)),$AA69=""),"",IF(TODAY()&lt;$G69,1,MIN($AA69,DATEDIF($G69,TODAY(),"y")+1)))</f>
        <v>1</v>
      </c>
      <c r="Y69" s="27" t="str">
        <f>IF($B69="","",IFERROR(INDEX('الوحدات'!$B:$B,MATCH($B69,'الوحدات'!$A:$A,0)),""))</f>
        <v>P03</v>
      </c>
      <c r="Z69" s="34">
        <f>IF(ISNUMBER($H69),$H69-TODAY(),"")</f>
        <v>263</v>
      </c>
      <c r="AA69" s="34">
        <f>IF(AND(ISNUMBER($G69),ISNUMBER($H69)),IFERROR(DATEDIF($G69,$H69,"y")+1,""),"")</f>
        <v>1</v>
      </c>
      <c r="AB69" s="37" t="str">
        <f>IF(OR($X69="",$X69&gt;=$AA69),"",DATE(YEAR($G69)+$X69,MONTH($G69),DAY($G69)))</f>
        <v/>
      </c>
      <c r="AC69" s="28" t="str">
        <f>IF($AB69="","",IF($X69+1&gt;10,0,INDEX($AD69:$AM69,1,$X69+1)))</f>
        <v/>
      </c>
      <c r="AD69" s="28">
        <f>IF($AA69="","",IFERROR(VALUE(MID($AN69,SEARCH(";1:",$AN69)+3,SEARCH(";",$AN69,SEARCH(";1:",$AN69)+3)-SEARCH(";1:",$AN69)-3)),$I69))</f>
        <v>20000</v>
      </c>
      <c r="AE69" s="28" t="str">
        <f>IF(OR($AA69="",2&gt;$AA69),"",IFERROR(VALUE(MID($AN69,SEARCH(";2:",$AN69)+3,SEARCH(";",$AN69,SEARCH(";2:",$AN69)+3)-SEARCH(";2:",$AN69)-3)),ROUND($AD69*(1+$J69/100),0)))</f>
        <v/>
      </c>
      <c r="AF69" s="28" t="str">
        <f>IF(OR($AA69="",3&gt;$AA69),"",IFERROR(VALUE(MID($AN69,SEARCH(";3:",$AN69)+3,SEARCH(";",$AN69,SEARCH(";3:",$AN69)+3)-SEARCH(";3:",$AN69)-3)),ROUND($AE69*(1+$J69/100),0)))</f>
        <v/>
      </c>
      <c r="AG69" s="28" t="str">
        <f>IF(OR($AA69="",4&gt;$AA69),"",IFERROR(VALUE(MID($AN69,SEARCH(";4:",$AN69)+3,SEARCH(";",$AN69,SEARCH(";4:",$AN69)+3)-SEARCH(";4:",$AN69)-3)),ROUND($AF69*(1+$J69/100),0)))</f>
        <v/>
      </c>
      <c r="AH69" s="28" t="str">
        <f>IF(OR($AA69="",5&gt;$AA69),"",IFERROR(VALUE(MID($AN69,SEARCH(";5:",$AN69)+3,SEARCH(";",$AN69,SEARCH(";5:",$AN69)+3)-SEARCH(";5:",$AN69)-3)),ROUND($AG69*(1+$J69/100),0)))</f>
        <v/>
      </c>
      <c r="AI69" s="28" t="str">
        <f>IF(OR($AA69="",6&gt;$AA69),"",IFERROR(VALUE(MID($AN69,SEARCH(";6:",$AN69)+3,SEARCH(";",$AN69,SEARCH(";6:",$AN69)+3)-SEARCH(";6:",$AN69)-3)),ROUND($AH69*(1+$J69/100),0)))</f>
        <v/>
      </c>
      <c r="AJ69" s="28" t="str">
        <f>IF(OR($AA69="",7&gt;$AA69),"",IFERROR(VALUE(MID($AN69,SEARCH(";7:",$AN69)+3,SEARCH(";",$AN69,SEARCH(";7:",$AN69)+3)-SEARCH(";7:",$AN69)-3)),ROUND($AI69*(1+$J69/100),0)))</f>
        <v/>
      </c>
      <c r="AK69" s="28" t="str">
        <f>IF(OR($AA69="",8&gt;$AA69),"",IFERROR(VALUE(MID($AN69,SEARCH(";8:",$AN69)+3,SEARCH(";",$AN69,SEARCH(";8:",$AN69)+3)-SEARCH(";8:",$AN69)-3)),ROUND($AJ69*(1+$J69/100),0)))</f>
        <v/>
      </c>
      <c r="AL69" s="28" t="str">
        <f>IF(OR($AA69="",9&gt;$AA69),"",IFERROR(VALUE(MID($AN69,SEARCH(";9:",$AN69)+3,SEARCH(";",$AN69,SEARCH(";9:",$AN69)+3)-SEARCH(";9:",$AN69)-3)),ROUND($AK69*(1+$J69/100),0)))</f>
        <v/>
      </c>
      <c r="AM69" s="28" t="str">
        <f>IF(OR($AA69="",10&gt;$AA69),"",IFERROR(VALUE(MID($AN69,SEARCH(";10:",$AN69)+4,SEARCH(";",$AN69,SEARCH(";10:",$AN69)+4)-SEARCH(";10:",$AN69)-4)),ROUND($AL69*(1+$J69/100),0)))</f>
        <v/>
      </c>
      <c r="AN69" s="36" t="str">
        <f>";"&amp;SUBSTITUTE(SUBSTITUTE(SUBSTITUTE(SUBSTITUTE(SUBSTITUTE(SUBSTITUTE($K69," ",""),"،",";"),CHAR(10),";"),"=",":"),",",""),"٫",".")&amp;";"</f>
        <v>;;</v>
      </c>
      <c r="AO69" s="36" t="str">
        <f>IF($T69="ساري",$B69,"")</f>
        <v>P03-703</v>
      </c>
    </row>
    <row r="70" spans="1:41" x14ac:dyDescent="0.25">
      <c r="A70" t="s">
        <v>481</v>
      </c>
      <c r="B70" t="s">
        <v>482</v>
      </c>
      <c r="C70" t="s">
        <v>483</v>
      </c>
      <c r="D70" s="27" t="str">
        <f>IF($Y70="","",IFERROR(INDEX('المشاريع'!$B:$B,MATCH($Y70,'المشاريع'!$A:$A,0)),""))</f>
        <v>ابو بكر</v>
      </c>
      <c r="E70" s="27" t="str">
        <f>IF($B70="","",IFERROR(INDEX('الوحدات'!$D:$D,MATCH($B70,'الوحدات'!$A:$A,0)),""))</f>
        <v>704</v>
      </c>
      <c r="F70" s="27" t="str">
        <f>IF($C70="","",IFERROR(INDEX('العملاء'!$B:$B,MATCH($C70,'العملاء'!$A:$A,0)),""))</f>
        <v>شركة البركة للتسويق</v>
      </c>
      <c r="G70" s="33">
        <v>45946</v>
      </c>
      <c r="H70" s="33">
        <v>46310</v>
      </c>
      <c r="I70" s="39">
        <v>11000</v>
      </c>
      <c r="J70">
        <v>0</v>
      </c>
      <c r="K70" t="s">
        <v>35</v>
      </c>
      <c r="L70" s="39">
        <v>0</v>
      </c>
      <c r="M70" t="s">
        <v>584</v>
      </c>
      <c r="N70">
        <v>1</v>
      </c>
      <c r="O70" t="s">
        <v>35</v>
      </c>
      <c r="P70" t="s">
        <v>35</v>
      </c>
      <c r="Q70">
        <v>71</v>
      </c>
      <c r="R70" t="s">
        <v>35</v>
      </c>
      <c r="S70" s="33"/>
      <c r="T70" s="27" t="str">
        <f>IF(NOT(AND(ISNUMBER($G70),ISNUMBER($H70))),"تواريخ غير صحيحة",IF(TODAY()&lt;$G70,"لم يبدأ",IF(TODAY()&gt;$H70,IF(IF($A70="",0,COUNTIF($O:$O,$A70))+IF($B70="",0,COUNTIFS($B:$B,$B70,$G:$G,"&gt;"&amp;$H70)-IF($G70&gt;$H70,1,0))&gt;0,"منتهٍ (أُجِّرت بعده)","منتهٍ"),"ساري")))</f>
        <v>ساري</v>
      </c>
      <c r="U70" s="28">
        <f>IF($X70="","",IF($X70&gt;10,11000,INDEX($AD70:$AM70,1,$X70)))</f>
        <v>11000</v>
      </c>
      <c r="V70" s="28">
        <f>IF($A70="","",SUMIFS('المدفوعات'!$F:$F,'المدفوعات'!$B:$B,$A70))</f>
        <v>77000</v>
      </c>
      <c r="W70" s="35">
        <v>11000</v>
      </c>
      <c r="X70" s="34">
        <f>IF(OR(NOT(ISNUMBER($G70)),NOT(ISNUMBER($H70)),$AA70=""),"",IF(TODAY()&lt;$G70,1,MIN($AA70,DATEDIF($G70,TODAY(),"y")+1)))</f>
        <v>1</v>
      </c>
      <c r="Y70" s="27" t="str">
        <f>IF($B70="","",IFERROR(INDEX('الوحدات'!$B:$B,MATCH($B70,'الوحدات'!$A:$A,0)),""))</f>
        <v>P03</v>
      </c>
      <c r="Z70" s="34">
        <f>IF(ISNUMBER($H70),$H70-TODAY(),"")</f>
        <v>5</v>
      </c>
      <c r="AA70" s="34">
        <f>IF(AND(ISNUMBER($G70),ISNUMBER($H70)),IFERROR(DATEDIF($G70,$H70,"y")+1,""),"")</f>
        <v>1</v>
      </c>
      <c r="AB70" s="37" t="str">
        <f>IF(OR($X70="",$X70&gt;=$AA70),"",DATE(YEAR($G70)+$X70,MONTH($G70),DAY($G70)))</f>
        <v/>
      </c>
      <c r="AC70" s="28" t="str">
        <f>IF($AB70="","",IF($X70+1&gt;10,0,INDEX($AD70:$AM70,1,$X70+1)))</f>
        <v/>
      </c>
      <c r="AD70" s="28">
        <f>IF($AA70="","",IFERROR(VALUE(MID($AN70,SEARCH(";1:",$AN70)+3,SEARCH(";",$AN70,SEARCH(";1:",$AN70)+3)-SEARCH(";1:",$AN70)-3)),$I70))</f>
        <v>11000</v>
      </c>
      <c r="AE70" s="28" t="str">
        <f>IF(OR($AA70="",2&gt;$AA70),"",IFERROR(VALUE(MID($AN70,SEARCH(";2:",$AN70)+3,SEARCH(";",$AN70,SEARCH(";2:",$AN70)+3)-SEARCH(";2:",$AN70)-3)),ROUND($AD70*(1+$J70/100),0)))</f>
        <v/>
      </c>
      <c r="AF70" s="28" t="str">
        <f>IF(OR($AA70="",3&gt;$AA70),"",IFERROR(VALUE(MID($AN70,SEARCH(";3:",$AN70)+3,SEARCH(";",$AN70,SEARCH(";3:",$AN70)+3)-SEARCH(";3:",$AN70)-3)),ROUND($AE70*(1+$J70/100),0)))</f>
        <v/>
      </c>
      <c r="AG70" s="28" t="str">
        <f>IF(OR($AA70="",4&gt;$AA70),"",IFERROR(VALUE(MID($AN70,SEARCH(";4:",$AN70)+3,SEARCH(";",$AN70,SEARCH(";4:",$AN70)+3)-SEARCH(";4:",$AN70)-3)),ROUND($AF70*(1+$J70/100),0)))</f>
        <v/>
      </c>
      <c r="AH70" s="28" t="str">
        <f>IF(OR($AA70="",5&gt;$AA70),"",IFERROR(VALUE(MID($AN70,SEARCH(";5:",$AN70)+3,SEARCH(";",$AN70,SEARCH(";5:",$AN70)+3)-SEARCH(";5:",$AN70)-3)),ROUND($AG70*(1+$J70/100),0)))</f>
        <v/>
      </c>
      <c r="AI70" s="28" t="str">
        <f>IF(OR($AA70="",6&gt;$AA70),"",IFERROR(VALUE(MID($AN70,SEARCH(";6:",$AN70)+3,SEARCH(";",$AN70,SEARCH(";6:",$AN70)+3)-SEARCH(";6:",$AN70)-3)),ROUND($AH70*(1+$J70/100),0)))</f>
        <v/>
      </c>
      <c r="AJ70" s="28" t="str">
        <f>IF(OR($AA70="",7&gt;$AA70),"",IFERROR(VALUE(MID($AN70,SEARCH(";7:",$AN70)+3,SEARCH(";",$AN70,SEARCH(";7:",$AN70)+3)-SEARCH(";7:",$AN70)-3)),ROUND($AI70*(1+$J70/100),0)))</f>
        <v/>
      </c>
      <c r="AK70" s="28" t="str">
        <f>IF(OR($AA70="",8&gt;$AA70),"",IFERROR(VALUE(MID($AN70,SEARCH(";8:",$AN70)+3,SEARCH(";",$AN70,SEARCH(";8:",$AN70)+3)-SEARCH(";8:",$AN70)-3)),ROUND($AJ70*(1+$J70/100),0)))</f>
        <v/>
      </c>
      <c r="AL70" s="28" t="str">
        <f>IF(OR($AA70="",9&gt;$AA70),"",IFERROR(VALUE(MID($AN70,SEARCH(";9:",$AN70)+3,SEARCH(";",$AN70,SEARCH(";9:",$AN70)+3)-SEARCH(";9:",$AN70)-3)),ROUND($AK70*(1+$J70/100),0)))</f>
        <v/>
      </c>
      <c r="AM70" s="28" t="str">
        <f>IF(OR($AA70="",10&gt;$AA70),"",IFERROR(VALUE(MID($AN70,SEARCH(";10:",$AN70)+4,SEARCH(";",$AN70,SEARCH(";10:",$AN70)+4)-SEARCH(";10:",$AN70)-4)),ROUND($AL70*(1+$J70/100),0)))</f>
        <v/>
      </c>
      <c r="AN70" s="36" t="str">
        <f>";"&amp;SUBSTITUTE(SUBSTITUTE(SUBSTITUTE(SUBSTITUTE(SUBSTITUTE(SUBSTITUTE($K70," ",""),"،",";"),CHAR(10),";"),"=",":"),",",""),"٫",".")&amp;";"</f>
        <v>;;</v>
      </c>
      <c r="AO70" s="36" t="str">
        <f>IF($T70="ساري",$B70,"")</f>
        <v>P03-704</v>
      </c>
    </row>
    <row r="71" spans="1:41" x14ac:dyDescent="0.25">
      <c r="A71" t="s">
        <v>487</v>
      </c>
      <c r="B71" t="s">
        <v>488</v>
      </c>
      <c r="C71" t="s">
        <v>489</v>
      </c>
      <c r="D71" s="27" t="str">
        <f>IF($Y71="","",IFERROR(INDEX('المشاريع'!$B:$B,MATCH($Y71,'المشاريع'!$A:$A,0)),""))</f>
        <v>ابو بكر</v>
      </c>
      <c r="E71" s="27" t="str">
        <f>IF($B71="","",IFERROR(INDEX('الوحدات'!$D:$D,MATCH($B71,'الوحدات'!$A:$A,0)),""))</f>
        <v>705</v>
      </c>
      <c r="F71" s="27" t="str">
        <f>IF($C71="","",IFERROR(INDEX('العملاء'!$B:$B,MATCH($C71,'العملاء'!$A:$A,0)),""))</f>
        <v>عمر مروان غانم</v>
      </c>
      <c r="G71" s="33">
        <v>45938</v>
      </c>
      <c r="H71" s="33">
        <v>46302</v>
      </c>
      <c r="I71" s="39">
        <v>11000</v>
      </c>
      <c r="J71">
        <v>0</v>
      </c>
      <c r="K71" t="s">
        <v>35</v>
      </c>
      <c r="L71" s="39">
        <v>0</v>
      </c>
      <c r="M71" t="s">
        <v>584</v>
      </c>
      <c r="N71">
        <v>1</v>
      </c>
      <c r="O71" t="s">
        <v>35</v>
      </c>
      <c r="P71" t="s">
        <v>35</v>
      </c>
      <c r="Q71">
        <v>72</v>
      </c>
      <c r="R71" t="s">
        <v>35</v>
      </c>
      <c r="S71" s="33"/>
      <c r="T71" s="27" t="str">
        <f>IF(NOT(AND(ISNUMBER($G71),ISNUMBER($H71))),"تواريخ غير صحيحة",IF(TODAY()&lt;$G71,"لم يبدأ",IF(TODAY()&gt;$H71,IF(IF($A71="",0,COUNTIF($O:$O,$A71))+IF($B71="",0,COUNTIFS($B:$B,$B71,$G:$G,"&gt;"&amp;$H71)-IF($G71&gt;$H71,1,0))&gt;0,"منتهٍ (أُجِّرت بعده)","منتهٍ"),"ساري")))</f>
        <v>منتهٍ</v>
      </c>
      <c r="U71" s="28">
        <f>IF($X71="","",IF($X71&gt;10,11000,INDEX($AD71:$AM71,1,$X71)))</f>
        <v>11000</v>
      </c>
      <c r="V71" s="28">
        <f>IF($A71="","",SUMIFS('المدفوعات'!$F:$F,'المدفوعات'!$B:$B,$A71))</f>
        <v>55000</v>
      </c>
      <c r="W71" s="35">
        <v>33000</v>
      </c>
      <c r="X71" s="34">
        <f>IF(OR(NOT(ISNUMBER($G71)),NOT(ISNUMBER($H71)),$AA71=""),"",IF(TODAY()&lt;$G71,1,MIN($AA71,DATEDIF($G71,TODAY(),"y")+1)))</f>
        <v>1</v>
      </c>
      <c r="Y71" s="27" t="str">
        <f>IF($B71="","",IFERROR(INDEX('الوحدات'!$B:$B,MATCH($B71,'الوحدات'!$A:$A,0)),""))</f>
        <v>P03</v>
      </c>
      <c r="Z71" s="34">
        <f>IF(ISNUMBER($H71),$H71-TODAY(),"")</f>
        <v>-3</v>
      </c>
      <c r="AA71" s="34">
        <f>IF(AND(ISNUMBER($G71),ISNUMBER($H71)),IFERROR(DATEDIF($G71,$H71,"y")+1,""),"")</f>
        <v>1</v>
      </c>
      <c r="AB71" s="37" t="str">
        <f>IF(OR($X71="",$X71&gt;=$AA71),"",DATE(YEAR($G71)+$X71,MONTH($G71),DAY($G71)))</f>
        <v/>
      </c>
      <c r="AC71" s="28" t="str">
        <f>IF($AB71="","",IF($X71+1&gt;10,0,INDEX($AD71:$AM71,1,$X71+1)))</f>
        <v/>
      </c>
      <c r="AD71" s="28">
        <f>IF($AA71="","",IFERROR(VALUE(MID($AN71,SEARCH(";1:",$AN71)+3,SEARCH(";",$AN71,SEARCH(";1:",$AN71)+3)-SEARCH(";1:",$AN71)-3)),$I71))</f>
        <v>11000</v>
      </c>
      <c r="AE71" s="28" t="str">
        <f>IF(OR($AA71="",2&gt;$AA71),"",IFERROR(VALUE(MID($AN71,SEARCH(";2:",$AN71)+3,SEARCH(";",$AN71,SEARCH(";2:",$AN71)+3)-SEARCH(";2:",$AN71)-3)),ROUND($AD71*(1+$J71/100),0)))</f>
        <v/>
      </c>
      <c r="AF71" s="28" t="str">
        <f>IF(OR($AA71="",3&gt;$AA71),"",IFERROR(VALUE(MID($AN71,SEARCH(";3:",$AN71)+3,SEARCH(";",$AN71,SEARCH(";3:",$AN71)+3)-SEARCH(";3:",$AN71)-3)),ROUND($AE71*(1+$J71/100),0)))</f>
        <v/>
      </c>
      <c r="AG71" s="28" t="str">
        <f>IF(OR($AA71="",4&gt;$AA71),"",IFERROR(VALUE(MID($AN71,SEARCH(";4:",$AN71)+3,SEARCH(";",$AN71,SEARCH(";4:",$AN71)+3)-SEARCH(";4:",$AN71)-3)),ROUND($AF71*(1+$J71/100),0)))</f>
        <v/>
      </c>
      <c r="AH71" s="28" t="str">
        <f>IF(OR($AA71="",5&gt;$AA71),"",IFERROR(VALUE(MID($AN71,SEARCH(";5:",$AN71)+3,SEARCH(";",$AN71,SEARCH(";5:",$AN71)+3)-SEARCH(";5:",$AN71)-3)),ROUND($AG71*(1+$J71/100),0)))</f>
        <v/>
      </c>
      <c r="AI71" s="28" t="str">
        <f>IF(OR($AA71="",6&gt;$AA71),"",IFERROR(VALUE(MID($AN71,SEARCH(";6:",$AN71)+3,SEARCH(";",$AN71,SEARCH(";6:",$AN71)+3)-SEARCH(";6:",$AN71)-3)),ROUND($AH71*(1+$J71/100),0)))</f>
        <v/>
      </c>
      <c r="AJ71" s="28" t="str">
        <f>IF(OR($AA71="",7&gt;$AA71),"",IFERROR(VALUE(MID($AN71,SEARCH(";7:",$AN71)+3,SEARCH(";",$AN71,SEARCH(";7:",$AN71)+3)-SEARCH(";7:",$AN71)-3)),ROUND($AI71*(1+$J71/100),0)))</f>
        <v/>
      </c>
      <c r="AK71" s="28" t="str">
        <f>IF(OR($AA71="",8&gt;$AA71),"",IFERROR(VALUE(MID($AN71,SEARCH(";8:",$AN71)+3,SEARCH(";",$AN71,SEARCH(";8:",$AN71)+3)-SEARCH(";8:",$AN71)-3)),ROUND($AJ71*(1+$J71/100),0)))</f>
        <v/>
      </c>
      <c r="AL71" s="28" t="str">
        <f>IF(OR($AA71="",9&gt;$AA71),"",IFERROR(VALUE(MID($AN71,SEARCH(";9:",$AN71)+3,SEARCH(";",$AN71,SEARCH(";9:",$AN71)+3)-SEARCH(";9:",$AN71)-3)),ROUND($AK71*(1+$J71/100),0)))</f>
        <v/>
      </c>
      <c r="AM71" s="28" t="str">
        <f>IF(OR($AA71="",10&gt;$AA71),"",IFERROR(VALUE(MID($AN71,SEARCH(";10:",$AN71)+4,SEARCH(";",$AN71,SEARCH(";10:",$AN71)+4)-SEARCH(";10:",$AN71)-4)),ROUND($AL71*(1+$J71/100),0)))</f>
        <v/>
      </c>
      <c r="AN71" s="36" t="str">
        <f>";"&amp;SUBSTITUTE(SUBSTITUTE(SUBSTITUTE(SUBSTITUTE(SUBSTITUTE(SUBSTITUTE($K71," ",""),"،",";"),CHAR(10),";"),"=",":"),",",""),"٫",".")&amp;";"</f>
        <v>;;</v>
      </c>
      <c r="AO71" s="36" t="str">
        <f>IF($T71="ساري",$B71,"")</f>
        <v/>
      </c>
    </row>
    <row r="72" spans="1:41" x14ac:dyDescent="0.25">
      <c r="A72" t="s">
        <v>495</v>
      </c>
      <c r="B72" t="s">
        <v>496</v>
      </c>
      <c r="C72" t="s">
        <v>497</v>
      </c>
      <c r="D72" s="27" t="str">
        <f>IF($Y72="","",IFERROR(INDEX('المشاريع'!$B:$B,MATCH($Y72,'المشاريع'!$A:$A,0)),""))</f>
        <v>ابو بكر</v>
      </c>
      <c r="E72" s="27" t="str">
        <f>IF($B72="","",IFERROR(INDEX('الوحدات'!$D:$D,MATCH($B72,'الوحدات'!$A:$A,0)),""))</f>
        <v>706</v>
      </c>
      <c r="F72" s="27" t="str">
        <f>IF($C72="","",IFERROR(INDEX('العملاء'!$B:$B,MATCH($C72,'العملاء'!$A:$A,0)),""))</f>
        <v>شركة الأمل للتسويق</v>
      </c>
      <c r="G72" s="33">
        <v>45139</v>
      </c>
      <c r="H72" s="33">
        <v>46234</v>
      </c>
      <c r="I72" s="39">
        <v>10890</v>
      </c>
      <c r="J72">
        <v>0</v>
      </c>
      <c r="K72" t="s">
        <v>608</v>
      </c>
      <c r="L72" s="39">
        <v>0</v>
      </c>
      <c r="M72" t="s">
        <v>584</v>
      </c>
      <c r="N72">
        <v>1</v>
      </c>
      <c r="O72" t="s">
        <v>35</v>
      </c>
      <c r="P72" t="s">
        <v>35</v>
      </c>
      <c r="Q72">
        <v>73</v>
      </c>
      <c r="R72" t="s">
        <v>35</v>
      </c>
      <c r="S72" s="33"/>
      <c r="T72" s="27" t="str">
        <f>IF(NOT(AND(ISNUMBER($G72),ISNUMBER($H72))),"تواريخ غير صحيحة",IF(TODAY()&lt;$G72,"لم يبدأ",IF(TODAY()&gt;$H72,IF(IF($A72="",0,COUNTIF($O:$O,$A72))+IF($B72="",0,COUNTIFS($B:$B,$B72,$G:$G,"&gt;"&amp;$H72)-IF($G72&gt;$H72,1,0))&gt;0,"منتهٍ (أُجِّرت بعده)","منتهٍ"),"ساري")))</f>
        <v>منتهٍ</v>
      </c>
      <c r="U72" s="28">
        <f>IF($X72="","",IF($X72&gt;10,10890,INDEX($AD72:$AM72,1,$X72)))</f>
        <v>10890</v>
      </c>
      <c r="V72" s="28">
        <f>IF($A72="","",SUMIFS('المدفوعات'!$F:$F,'المدفوعات'!$B:$B,$A72))</f>
        <v>65340</v>
      </c>
      <c r="W72" s="35">
        <v>10890</v>
      </c>
      <c r="X72" s="34">
        <f>IF(OR(NOT(ISNUMBER($G72)),NOT(ISNUMBER($H72)),$AA72=""),"",IF(TODAY()&lt;$G72,1,MIN($AA72,DATEDIF($G72,TODAY(),"y")+1)))</f>
        <v>3</v>
      </c>
      <c r="Y72" s="27" t="str">
        <f>IF($B72="","",IFERROR(INDEX('الوحدات'!$B:$B,MATCH($B72,'الوحدات'!$A:$A,0)),""))</f>
        <v>P03</v>
      </c>
      <c r="Z72" s="34">
        <f>IF(ISNUMBER($H72),$H72-TODAY(),"")</f>
        <v>-71</v>
      </c>
      <c r="AA72" s="34">
        <f>IF(AND(ISNUMBER($G72),ISNUMBER($H72)),IFERROR(DATEDIF($G72,$H72,"y")+1,""),"")</f>
        <v>3</v>
      </c>
      <c r="AB72" s="37" t="str">
        <f>IF(OR($X72="",$X72&gt;=$AA72),"",DATE(YEAR($G72)+$X72,MONTH($G72),DAY($G72)))</f>
        <v/>
      </c>
      <c r="AC72" s="28" t="str">
        <f>IF($AB72="","",IF($X72+1&gt;10,0,INDEX($AD72:$AM72,1,$X72+1)))</f>
        <v/>
      </c>
      <c r="AD72" s="28">
        <f>IF($AA72="","",IFERROR(VALUE(MID($AN72,SEARCH(";1:",$AN72)+3,SEARCH(";",$AN72,SEARCH(";1:",$AN72)+3)-SEARCH(";1:",$AN72)-3)),$I72))</f>
        <v>10890</v>
      </c>
      <c r="AE72" s="28">
        <f>IF(OR($AA72="",2&gt;$AA72),"",IFERROR(VALUE(MID($AN72,SEARCH(";2:",$AN72)+3,SEARCH(";",$AN72,SEARCH(";2:",$AN72)+3)-SEARCH(";2:",$AN72)-3)),ROUND($AD72*(1+$J72/100),0)))</f>
        <v>10890</v>
      </c>
      <c r="AF72" s="28">
        <f>IF(OR($AA72="",3&gt;$AA72),"",IFERROR(VALUE(MID($AN72,SEARCH(";3:",$AN72)+3,SEARCH(";",$AN72,SEARCH(";3:",$AN72)+3)-SEARCH(";3:",$AN72)-3)),ROUND($AE72*(1+$J72/100),0)))</f>
        <v>10890</v>
      </c>
      <c r="AG72" s="28" t="str">
        <f>IF(OR($AA72="",4&gt;$AA72),"",IFERROR(VALUE(MID($AN72,SEARCH(";4:",$AN72)+3,SEARCH(";",$AN72,SEARCH(";4:",$AN72)+3)-SEARCH(";4:",$AN72)-3)),ROUND($AF72*(1+$J72/100),0)))</f>
        <v/>
      </c>
      <c r="AH72" s="28" t="str">
        <f>IF(OR($AA72="",5&gt;$AA72),"",IFERROR(VALUE(MID($AN72,SEARCH(";5:",$AN72)+3,SEARCH(";",$AN72,SEARCH(";5:",$AN72)+3)-SEARCH(";5:",$AN72)-3)),ROUND($AG72*(1+$J72/100),0)))</f>
        <v/>
      </c>
      <c r="AI72" s="28" t="str">
        <f>IF(OR($AA72="",6&gt;$AA72),"",IFERROR(VALUE(MID($AN72,SEARCH(";6:",$AN72)+3,SEARCH(";",$AN72,SEARCH(";6:",$AN72)+3)-SEARCH(";6:",$AN72)-3)),ROUND($AH72*(1+$J72/100),0)))</f>
        <v/>
      </c>
      <c r="AJ72" s="28" t="str">
        <f>IF(OR($AA72="",7&gt;$AA72),"",IFERROR(VALUE(MID($AN72,SEARCH(";7:",$AN72)+3,SEARCH(";",$AN72,SEARCH(";7:",$AN72)+3)-SEARCH(";7:",$AN72)-3)),ROUND($AI72*(1+$J72/100),0)))</f>
        <v/>
      </c>
      <c r="AK72" s="28" t="str">
        <f>IF(OR($AA72="",8&gt;$AA72),"",IFERROR(VALUE(MID($AN72,SEARCH(";8:",$AN72)+3,SEARCH(";",$AN72,SEARCH(";8:",$AN72)+3)-SEARCH(";8:",$AN72)-3)),ROUND($AJ72*(1+$J72/100),0)))</f>
        <v/>
      </c>
      <c r="AL72" s="28" t="str">
        <f>IF(OR($AA72="",9&gt;$AA72),"",IFERROR(VALUE(MID($AN72,SEARCH(";9:",$AN72)+3,SEARCH(";",$AN72,SEARCH(";9:",$AN72)+3)-SEARCH(";9:",$AN72)-3)),ROUND($AK72*(1+$J72/100),0)))</f>
        <v/>
      </c>
      <c r="AM72" s="28" t="str">
        <f>IF(OR($AA72="",10&gt;$AA72),"",IFERROR(VALUE(MID($AN72,SEARCH(";10:",$AN72)+4,SEARCH(";",$AN72,SEARCH(";10:",$AN72)+4)-SEARCH(";10:",$AN72)-4)),ROUND($AL72*(1+$J72/100),0)))</f>
        <v/>
      </c>
      <c r="AN72" s="36" t="str">
        <f>";"&amp;SUBSTITUTE(SUBSTITUTE(SUBSTITUTE(SUBSTITUTE(SUBSTITUTE(SUBSTITUTE($K72," ",""),"،",";"),CHAR(10),";"),"=",":"),",",""),"٫",".")&amp;";"</f>
        <v>;3:10890;</v>
      </c>
      <c r="AO72" s="36" t="str">
        <f>IF($T72="ساري",$B72,"")</f>
        <v/>
      </c>
    </row>
    <row r="73" spans="1:41" x14ac:dyDescent="0.25">
      <c r="A73" t="s">
        <v>502</v>
      </c>
      <c r="B73" t="s">
        <v>503</v>
      </c>
      <c r="C73" t="s">
        <v>504</v>
      </c>
      <c r="D73" s="27" t="str">
        <f>IF($Y73="","",IFERROR(INDEX('المشاريع'!$B:$B,MATCH($Y73,'المشاريع'!$A:$A,0)),""))</f>
        <v>ابو بكر</v>
      </c>
      <c r="E73" s="27" t="str">
        <f>IF($B73="","",IFERROR(INDEX('الوحدات'!$D:$D,MATCH($B73,'الوحدات'!$A:$A,0)),""))</f>
        <v>707</v>
      </c>
      <c r="F73" s="27" t="str">
        <f>IF($C73="","",IFERROR(INDEX('العملاء'!$B:$B,MATCH($C73,'العملاء'!$A:$A,0)),""))</f>
        <v>شركة الأفق للخدمات الطبية</v>
      </c>
      <c r="G73" s="33">
        <v>45901</v>
      </c>
      <c r="H73" s="33">
        <v>46265</v>
      </c>
      <c r="I73" s="39">
        <v>13000</v>
      </c>
      <c r="J73">
        <v>0</v>
      </c>
      <c r="K73" t="s">
        <v>35</v>
      </c>
      <c r="L73" s="39">
        <v>0</v>
      </c>
      <c r="M73" t="s">
        <v>584</v>
      </c>
      <c r="N73">
        <v>1</v>
      </c>
      <c r="O73" t="s">
        <v>35</v>
      </c>
      <c r="P73" t="s">
        <v>35</v>
      </c>
      <c r="Q73">
        <v>74</v>
      </c>
      <c r="R73" t="s">
        <v>35</v>
      </c>
      <c r="S73" s="33"/>
      <c r="T73" s="27" t="str">
        <f>IF(NOT(AND(ISNUMBER($G73),ISNUMBER($H73))),"تواريخ غير صحيحة",IF(TODAY()&lt;$G73,"لم يبدأ",IF(TODAY()&gt;$H73,IF(IF($A73="",0,COUNTIF($O:$O,$A73))+IF($B73="",0,COUNTIFS($B:$B,$B73,$G:$G,"&gt;"&amp;$H73)-IF($G73&gt;$H73,1,0))&gt;0,"منتهٍ (أُجِّرت بعده)","منتهٍ"),"ساري")))</f>
        <v>منتهٍ</v>
      </c>
      <c r="U73" s="28">
        <f>IF($X73="","",IF($X73&gt;10,13000,INDEX($AD73:$AM73,1,$X73)))</f>
        <v>13000</v>
      </c>
      <c r="V73" s="28">
        <f>IF($A73="","",SUMIFS('المدفوعات'!$F:$F,'المدفوعات'!$B:$B,$A73))</f>
        <v>104000</v>
      </c>
      <c r="W73" s="35">
        <v>0</v>
      </c>
      <c r="X73" s="34">
        <f>IF(OR(NOT(ISNUMBER($G73)),NOT(ISNUMBER($H73)),$AA73=""),"",IF(TODAY()&lt;$G73,1,MIN($AA73,DATEDIF($G73,TODAY(),"y")+1)))</f>
        <v>1</v>
      </c>
      <c r="Y73" s="27" t="str">
        <f>IF($B73="","",IFERROR(INDEX('الوحدات'!$B:$B,MATCH($B73,'الوحدات'!$A:$A,0)),""))</f>
        <v>P03</v>
      </c>
      <c r="Z73" s="34">
        <f>IF(ISNUMBER($H73),$H73-TODAY(),"")</f>
        <v>-40</v>
      </c>
      <c r="AA73" s="34">
        <f>IF(AND(ISNUMBER($G73),ISNUMBER($H73)),IFERROR(DATEDIF($G73,$H73,"y")+1,""),"")</f>
        <v>1</v>
      </c>
      <c r="AB73" s="37" t="str">
        <f>IF(OR($X73="",$X73&gt;=$AA73),"",DATE(YEAR($G73)+$X73,MONTH($G73),DAY($G73)))</f>
        <v/>
      </c>
      <c r="AC73" s="28" t="str">
        <f>IF($AB73="","",IF($X73+1&gt;10,0,INDEX($AD73:$AM73,1,$X73+1)))</f>
        <v/>
      </c>
      <c r="AD73" s="28">
        <f>IF($AA73="","",IFERROR(VALUE(MID($AN73,SEARCH(";1:",$AN73)+3,SEARCH(";",$AN73,SEARCH(";1:",$AN73)+3)-SEARCH(";1:",$AN73)-3)),$I73))</f>
        <v>13000</v>
      </c>
      <c r="AE73" s="28" t="str">
        <f>IF(OR($AA73="",2&gt;$AA73),"",IFERROR(VALUE(MID($AN73,SEARCH(";2:",$AN73)+3,SEARCH(";",$AN73,SEARCH(";2:",$AN73)+3)-SEARCH(";2:",$AN73)-3)),ROUND($AD73*(1+$J73/100),0)))</f>
        <v/>
      </c>
      <c r="AF73" s="28" t="str">
        <f>IF(OR($AA73="",3&gt;$AA73),"",IFERROR(VALUE(MID($AN73,SEARCH(";3:",$AN73)+3,SEARCH(";",$AN73,SEARCH(";3:",$AN73)+3)-SEARCH(";3:",$AN73)-3)),ROUND($AE73*(1+$J73/100),0)))</f>
        <v/>
      </c>
      <c r="AG73" s="28" t="str">
        <f>IF(OR($AA73="",4&gt;$AA73),"",IFERROR(VALUE(MID($AN73,SEARCH(";4:",$AN73)+3,SEARCH(";",$AN73,SEARCH(";4:",$AN73)+3)-SEARCH(";4:",$AN73)-3)),ROUND($AF73*(1+$J73/100),0)))</f>
        <v/>
      </c>
      <c r="AH73" s="28" t="str">
        <f>IF(OR($AA73="",5&gt;$AA73),"",IFERROR(VALUE(MID($AN73,SEARCH(";5:",$AN73)+3,SEARCH(";",$AN73,SEARCH(";5:",$AN73)+3)-SEARCH(";5:",$AN73)-3)),ROUND($AG73*(1+$J73/100),0)))</f>
        <v/>
      </c>
      <c r="AI73" s="28" t="str">
        <f>IF(OR($AA73="",6&gt;$AA73),"",IFERROR(VALUE(MID($AN73,SEARCH(";6:",$AN73)+3,SEARCH(";",$AN73,SEARCH(";6:",$AN73)+3)-SEARCH(";6:",$AN73)-3)),ROUND($AH73*(1+$J73/100),0)))</f>
        <v/>
      </c>
      <c r="AJ73" s="28" t="str">
        <f>IF(OR($AA73="",7&gt;$AA73),"",IFERROR(VALUE(MID($AN73,SEARCH(";7:",$AN73)+3,SEARCH(";",$AN73,SEARCH(";7:",$AN73)+3)-SEARCH(";7:",$AN73)-3)),ROUND($AI73*(1+$J73/100),0)))</f>
        <v/>
      </c>
      <c r="AK73" s="28" t="str">
        <f>IF(OR($AA73="",8&gt;$AA73),"",IFERROR(VALUE(MID($AN73,SEARCH(";8:",$AN73)+3,SEARCH(";",$AN73,SEARCH(";8:",$AN73)+3)-SEARCH(";8:",$AN73)-3)),ROUND($AJ73*(1+$J73/100),0)))</f>
        <v/>
      </c>
      <c r="AL73" s="28" t="str">
        <f>IF(OR($AA73="",9&gt;$AA73),"",IFERROR(VALUE(MID($AN73,SEARCH(";9:",$AN73)+3,SEARCH(";",$AN73,SEARCH(";9:",$AN73)+3)-SEARCH(";9:",$AN73)-3)),ROUND($AK73*(1+$J73/100),0)))</f>
        <v/>
      </c>
      <c r="AM73" s="28" t="str">
        <f>IF(OR($AA73="",10&gt;$AA73),"",IFERROR(VALUE(MID($AN73,SEARCH(";10:",$AN73)+4,SEARCH(";",$AN73,SEARCH(";10:",$AN73)+4)-SEARCH(";10:",$AN73)-4)),ROUND($AL73*(1+$J73/100),0)))</f>
        <v/>
      </c>
      <c r="AN73" s="36" t="str">
        <f>";"&amp;SUBSTITUTE(SUBSTITUTE(SUBSTITUTE(SUBSTITUTE(SUBSTITUTE(SUBSTITUTE($K73," ",""),"،",";"),CHAR(10),";"),"=",":"),",",""),"٫",".")&amp;";"</f>
        <v>;;</v>
      </c>
      <c r="AO73" s="36" t="str">
        <f>IF($T73="ساري",$B73,"")</f>
        <v/>
      </c>
    </row>
    <row r="74" spans="1:41" x14ac:dyDescent="0.25">
      <c r="A74" t="s">
        <v>506</v>
      </c>
      <c r="B74" t="s">
        <v>507</v>
      </c>
      <c r="C74" t="s">
        <v>504</v>
      </c>
      <c r="D74" s="27" t="str">
        <f>IF($Y74="","",IFERROR(INDEX('المشاريع'!$B:$B,MATCH($Y74,'المشاريع'!$A:$A,0)),""))</f>
        <v>ابو بكر</v>
      </c>
      <c r="E74" s="27" t="str">
        <f>IF($B74="","",IFERROR(INDEX('الوحدات'!$D:$D,MATCH($B74,'الوحدات'!$A:$A,0)),""))</f>
        <v>708</v>
      </c>
      <c r="F74" s="27" t="str">
        <f>IF($C74="","",IFERROR(INDEX('العملاء'!$B:$B,MATCH($C74,'العملاء'!$A:$A,0)),""))</f>
        <v>شركة الأفق للخدمات الطبية</v>
      </c>
      <c r="G74" s="33">
        <v>45931</v>
      </c>
      <c r="H74" s="33">
        <v>46295</v>
      </c>
      <c r="I74" s="39">
        <v>13000</v>
      </c>
      <c r="J74">
        <v>0</v>
      </c>
      <c r="K74" t="s">
        <v>35</v>
      </c>
      <c r="L74" s="39">
        <v>0</v>
      </c>
      <c r="M74" t="s">
        <v>584</v>
      </c>
      <c r="N74">
        <v>1</v>
      </c>
      <c r="O74" t="s">
        <v>35</v>
      </c>
      <c r="P74" t="s">
        <v>35</v>
      </c>
      <c r="Q74">
        <v>75</v>
      </c>
      <c r="R74" t="s">
        <v>35</v>
      </c>
      <c r="S74" s="33"/>
      <c r="T74" s="27" t="str">
        <f>IF(NOT(AND(ISNUMBER($G74),ISNUMBER($H74))),"تواريخ غير صحيحة",IF(TODAY()&lt;$G74,"لم يبدأ",IF(TODAY()&gt;$H74,IF(IF($A74="",0,COUNTIF($O:$O,$A74))+IF($B74="",0,COUNTIFS($B:$B,$B74,$G:$G,"&gt;"&amp;$H74)-IF($G74&gt;$H74,1,0))&gt;0,"منتهٍ (أُجِّرت بعده)","منتهٍ"),"ساري")))</f>
        <v>منتهٍ</v>
      </c>
      <c r="U74" s="28">
        <f>IF($X74="","",IF($X74&gt;10,13000,INDEX($AD74:$AM74,1,$X74)))</f>
        <v>13000</v>
      </c>
      <c r="V74" s="28">
        <f>IF($A74="","",SUMIFS('المدفوعات'!$F:$F,'المدفوعات'!$B:$B,$A74))</f>
        <v>104000</v>
      </c>
      <c r="W74" s="35">
        <v>0</v>
      </c>
      <c r="X74" s="34">
        <f>IF(OR(NOT(ISNUMBER($G74)),NOT(ISNUMBER($H74)),$AA74=""),"",IF(TODAY()&lt;$G74,1,MIN($AA74,DATEDIF($G74,TODAY(),"y")+1)))</f>
        <v>1</v>
      </c>
      <c r="Y74" s="27" t="str">
        <f>IF($B74="","",IFERROR(INDEX('الوحدات'!$B:$B,MATCH($B74,'الوحدات'!$A:$A,0)),""))</f>
        <v>P03</v>
      </c>
      <c r="Z74" s="34">
        <f>IF(ISNUMBER($H74),$H74-TODAY(),"")</f>
        <v>-10</v>
      </c>
      <c r="AA74" s="34">
        <f>IF(AND(ISNUMBER($G74),ISNUMBER($H74)),IFERROR(DATEDIF($G74,$H74,"y")+1,""),"")</f>
        <v>1</v>
      </c>
      <c r="AB74" s="37" t="str">
        <f>IF(OR($X74="",$X74&gt;=$AA74),"",DATE(YEAR($G74)+$X74,MONTH($G74),DAY($G74)))</f>
        <v/>
      </c>
      <c r="AC74" s="28" t="str">
        <f>IF($AB74="","",IF($X74+1&gt;10,0,INDEX($AD74:$AM74,1,$X74+1)))</f>
        <v/>
      </c>
      <c r="AD74" s="28">
        <f>IF($AA74="","",IFERROR(VALUE(MID($AN74,SEARCH(";1:",$AN74)+3,SEARCH(";",$AN74,SEARCH(";1:",$AN74)+3)-SEARCH(";1:",$AN74)-3)),$I74))</f>
        <v>13000</v>
      </c>
      <c r="AE74" s="28" t="str">
        <f>IF(OR($AA74="",2&gt;$AA74),"",IFERROR(VALUE(MID($AN74,SEARCH(";2:",$AN74)+3,SEARCH(";",$AN74,SEARCH(";2:",$AN74)+3)-SEARCH(";2:",$AN74)-3)),ROUND($AD74*(1+$J74/100),0)))</f>
        <v/>
      </c>
      <c r="AF74" s="28" t="str">
        <f>IF(OR($AA74="",3&gt;$AA74),"",IFERROR(VALUE(MID($AN74,SEARCH(";3:",$AN74)+3,SEARCH(";",$AN74,SEARCH(";3:",$AN74)+3)-SEARCH(";3:",$AN74)-3)),ROUND($AE74*(1+$J74/100),0)))</f>
        <v/>
      </c>
      <c r="AG74" s="28" t="str">
        <f>IF(OR($AA74="",4&gt;$AA74),"",IFERROR(VALUE(MID($AN74,SEARCH(";4:",$AN74)+3,SEARCH(";",$AN74,SEARCH(";4:",$AN74)+3)-SEARCH(";4:",$AN74)-3)),ROUND($AF74*(1+$J74/100),0)))</f>
        <v/>
      </c>
      <c r="AH74" s="28" t="str">
        <f>IF(OR($AA74="",5&gt;$AA74),"",IFERROR(VALUE(MID($AN74,SEARCH(";5:",$AN74)+3,SEARCH(";",$AN74,SEARCH(";5:",$AN74)+3)-SEARCH(";5:",$AN74)-3)),ROUND($AG74*(1+$J74/100),0)))</f>
        <v/>
      </c>
      <c r="AI74" s="28" t="str">
        <f>IF(OR($AA74="",6&gt;$AA74),"",IFERROR(VALUE(MID($AN74,SEARCH(";6:",$AN74)+3,SEARCH(";",$AN74,SEARCH(";6:",$AN74)+3)-SEARCH(";6:",$AN74)-3)),ROUND($AH74*(1+$J74/100),0)))</f>
        <v/>
      </c>
      <c r="AJ74" s="28" t="str">
        <f>IF(OR($AA74="",7&gt;$AA74),"",IFERROR(VALUE(MID($AN74,SEARCH(";7:",$AN74)+3,SEARCH(";",$AN74,SEARCH(";7:",$AN74)+3)-SEARCH(";7:",$AN74)-3)),ROUND($AI74*(1+$J74/100),0)))</f>
        <v/>
      </c>
      <c r="AK74" s="28" t="str">
        <f>IF(OR($AA74="",8&gt;$AA74),"",IFERROR(VALUE(MID($AN74,SEARCH(";8:",$AN74)+3,SEARCH(";",$AN74,SEARCH(";8:",$AN74)+3)-SEARCH(";8:",$AN74)-3)),ROUND($AJ74*(1+$J74/100),0)))</f>
        <v/>
      </c>
      <c r="AL74" s="28" t="str">
        <f>IF(OR($AA74="",9&gt;$AA74),"",IFERROR(VALUE(MID($AN74,SEARCH(";9:",$AN74)+3,SEARCH(";",$AN74,SEARCH(";9:",$AN74)+3)-SEARCH(";9:",$AN74)-3)),ROUND($AK74*(1+$J74/100),0)))</f>
        <v/>
      </c>
      <c r="AM74" s="28" t="str">
        <f>IF(OR($AA74="",10&gt;$AA74),"",IFERROR(VALUE(MID($AN74,SEARCH(";10:",$AN74)+4,SEARCH(";",$AN74,SEARCH(";10:",$AN74)+4)-SEARCH(";10:",$AN74)-4)),ROUND($AL74*(1+$J74/100),0)))</f>
        <v/>
      </c>
      <c r="AN74" s="36" t="str">
        <f>";"&amp;SUBSTITUTE(SUBSTITUTE(SUBSTITUTE(SUBSTITUTE(SUBSTITUTE(SUBSTITUTE($K74," ",""),"،",";"),CHAR(10),";"),"=",":"),",",""),"٫",".")&amp;";"</f>
        <v>;;</v>
      </c>
      <c r="AO74" s="36" t="str">
        <f>IF($T74="ساري",$B74,"")</f>
        <v/>
      </c>
    </row>
    <row r="75" spans="1:41" x14ac:dyDescent="0.25">
      <c r="A75" t="s">
        <v>110</v>
      </c>
      <c r="B75" t="s">
        <v>111</v>
      </c>
      <c r="C75" t="s">
        <v>112</v>
      </c>
      <c r="D75" s="27" t="str">
        <f>IF($Y75="","",IFERROR(INDEX('المشاريع'!$B:$B,MATCH($Y75,'المشاريع'!$A:$A,0)),""))</f>
        <v>محيي الدين</v>
      </c>
      <c r="E75" s="27" t="str">
        <f>IF($B75="","",IFERROR(INDEX('الوحدات'!$D:$D,MATCH($B75,'الوحدات'!$A:$A,0)),""))</f>
        <v>301</v>
      </c>
      <c r="F75" s="27" t="str">
        <f>IF($C75="","",IFERROR(INDEX('العملاء'!$B:$B,MATCH($C75,'العملاء'!$A:$A,0)),""))</f>
        <v>شريف هشام فوزي</v>
      </c>
      <c r="G75" s="33">
        <v>46023</v>
      </c>
      <c r="H75" s="33">
        <v>46142</v>
      </c>
      <c r="I75" s="39">
        <v>22990</v>
      </c>
      <c r="J75">
        <v>0</v>
      </c>
      <c r="K75" t="s">
        <v>35</v>
      </c>
      <c r="L75" s="39">
        <v>0</v>
      </c>
      <c r="M75" t="s">
        <v>584</v>
      </c>
      <c r="N75">
        <v>1</v>
      </c>
      <c r="O75" t="s">
        <v>35</v>
      </c>
      <c r="P75" t="s">
        <v>109</v>
      </c>
      <c r="Q75">
        <v>12.5</v>
      </c>
      <c r="R75" t="s">
        <v>609</v>
      </c>
      <c r="S75" s="33"/>
      <c r="T75" s="27" t="str">
        <f>IF(NOT(AND(ISNUMBER($G75),ISNUMBER($H75))),"تواريخ غير صحيحة",IF(TODAY()&lt;$G75,"لم يبدأ",IF(TODAY()&gt;$H75,IF(IF($A75="",0,COUNTIF($O:$O,$A75))+IF($B75="",0,COUNTIFS($B:$B,$B75,$G:$G,"&gt;"&amp;$H75)-IF($G75&gt;$H75,1,0))&gt;0,"منتهٍ (أُجِّرت بعده)","منتهٍ"),"ساري")))</f>
        <v>منتهٍ (أُجِّرت بعده)</v>
      </c>
      <c r="U75" s="28">
        <f>IF($X75="","",IF($X75&gt;10,22990,INDEX($AD75:$AM75,1,$X75)))</f>
        <v>22990</v>
      </c>
      <c r="V75" s="28">
        <f>IF($A75="","",SUMIFS('المدفوعات'!$F:$F,'المدفوعات'!$B:$B,$A75))</f>
        <v>91960</v>
      </c>
      <c r="W75" s="35">
        <v>0</v>
      </c>
      <c r="X75" s="34">
        <f>IF(OR(NOT(ISNUMBER($G75)),NOT(ISNUMBER($H75)),$AA75=""),"",IF(TODAY()&lt;$G75,1,MIN($AA75,DATEDIF($G75,TODAY(),"y")+1)))</f>
        <v>1</v>
      </c>
      <c r="Y75" s="27" t="str">
        <f>IF($B75="","",IFERROR(INDEX('الوحدات'!$B:$B,MATCH($B75,'الوحدات'!$A:$A,0)),""))</f>
        <v>P02</v>
      </c>
      <c r="Z75" s="34">
        <f>IF(ISNUMBER($H75),$H75-TODAY(),"")</f>
        <v>-163</v>
      </c>
      <c r="AA75" s="34">
        <f>IF(AND(ISNUMBER($G75),ISNUMBER($H75)),IFERROR(DATEDIF($G75,$H75,"y")+1,""),"")</f>
        <v>1</v>
      </c>
      <c r="AB75" s="37" t="str">
        <f>IF(OR($X75="",$X75&gt;=$AA75),"",DATE(YEAR($G75)+$X75,MONTH($G75),DAY($G75)))</f>
        <v/>
      </c>
      <c r="AC75" s="28" t="str">
        <f>IF($AB75="","",IF($X75+1&gt;10,0,INDEX($AD75:$AM75,1,$X75+1)))</f>
        <v/>
      </c>
      <c r="AD75" s="28">
        <f>IF($AA75="","",IFERROR(VALUE(MID($AN75,SEARCH(";1:",$AN75)+3,SEARCH(";",$AN75,SEARCH(";1:",$AN75)+3)-SEARCH(";1:",$AN75)-3)),$I75))</f>
        <v>22990</v>
      </c>
      <c r="AE75" s="28" t="str">
        <f>IF(OR($AA75="",2&gt;$AA75),"",IFERROR(VALUE(MID($AN75,SEARCH(";2:",$AN75)+3,SEARCH(";",$AN75,SEARCH(";2:",$AN75)+3)-SEARCH(";2:",$AN75)-3)),ROUND($AD75*(1+$J75/100),0)))</f>
        <v/>
      </c>
      <c r="AF75" s="28" t="str">
        <f>IF(OR($AA75="",3&gt;$AA75),"",IFERROR(VALUE(MID($AN75,SEARCH(";3:",$AN75)+3,SEARCH(";",$AN75,SEARCH(";3:",$AN75)+3)-SEARCH(";3:",$AN75)-3)),ROUND($AE75*(1+$J75/100),0)))</f>
        <v/>
      </c>
      <c r="AG75" s="28" t="str">
        <f>IF(OR($AA75="",4&gt;$AA75),"",IFERROR(VALUE(MID($AN75,SEARCH(";4:",$AN75)+3,SEARCH(";",$AN75,SEARCH(";4:",$AN75)+3)-SEARCH(";4:",$AN75)-3)),ROUND($AF75*(1+$J75/100),0)))</f>
        <v/>
      </c>
      <c r="AH75" s="28" t="str">
        <f>IF(OR($AA75="",5&gt;$AA75),"",IFERROR(VALUE(MID($AN75,SEARCH(";5:",$AN75)+3,SEARCH(";",$AN75,SEARCH(";5:",$AN75)+3)-SEARCH(";5:",$AN75)-3)),ROUND($AG75*(1+$J75/100),0)))</f>
        <v/>
      </c>
      <c r="AI75" s="28" t="str">
        <f>IF(OR($AA75="",6&gt;$AA75),"",IFERROR(VALUE(MID($AN75,SEARCH(";6:",$AN75)+3,SEARCH(";",$AN75,SEARCH(";6:",$AN75)+3)-SEARCH(";6:",$AN75)-3)),ROUND($AH75*(1+$J75/100),0)))</f>
        <v/>
      </c>
      <c r="AJ75" s="28" t="str">
        <f>IF(OR($AA75="",7&gt;$AA75),"",IFERROR(VALUE(MID($AN75,SEARCH(";7:",$AN75)+3,SEARCH(";",$AN75,SEARCH(";7:",$AN75)+3)-SEARCH(";7:",$AN75)-3)),ROUND($AI75*(1+$J75/100),0)))</f>
        <v/>
      </c>
      <c r="AK75" s="28" t="str">
        <f>IF(OR($AA75="",8&gt;$AA75),"",IFERROR(VALUE(MID($AN75,SEARCH(";8:",$AN75)+3,SEARCH(";",$AN75,SEARCH(";8:",$AN75)+3)-SEARCH(";8:",$AN75)-3)),ROUND($AJ75*(1+$J75/100),0)))</f>
        <v/>
      </c>
      <c r="AL75" s="28" t="str">
        <f>IF(OR($AA75="",9&gt;$AA75),"",IFERROR(VALUE(MID($AN75,SEARCH(";9:",$AN75)+3,SEARCH(";",$AN75,SEARCH(";9:",$AN75)+3)-SEARCH(";9:",$AN75)-3)),ROUND($AK75*(1+$J75/100),0)))</f>
        <v/>
      </c>
      <c r="AM75" s="28" t="str">
        <f>IF(OR($AA75="",10&gt;$AA75),"",IFERROR(VALUE(MID($AN75,SEARCH(";10:",$AN75)+4,SEARCH(";",$AN75,SEARCH(";10:",$AN75)+4)-SEARCH(";10:",$AN75)-4)),ROUND($AL75*(1+$J75/100),0)))</f>
        <v/>
      </c>
      <c r="AN75" s="36" t="str">
        <f>";"&amp;SUBSTITUTE(SUBSTITUTE(SUBSTITUTE(SUBSTITUTE(SUBSTITUTE(SUBSTITUTE($K75," ",""),"،",";"),CHAR(10),";"),"=",":"),",",""),"٫",".")&amp;";"</f>
        <v>;;</v>
      </c>
      <c r="AO75" s="36" t="str">
        <f>IF($T75="ساري",$B75,"")</f>
        <v/>
      </c>
    </row>
    <row r="76" spans="1:41" x14ac:dyDescent="0.25">
      <c r="A76" t="s">
        <v>117</v>
      </c>
      <c r="B76" t="s">
        <v>118</v>
      </c>
      <c r="C76" t="s">
        <v>119</v>
      </c>
      <c r="D76" s="27" t="str">
        <f>IF($Y76="","",IFERROR(INDEX('المشاريع'!$B:$B,MATCH($Y76,'المشاريع'!$A:$A,0)),""))</f>
        <v>محيي الدين</v>
      </c>
      <c r="E76" s="27" t="str">
        <f>IF($B76="","",IFERROR(INDEX('الوحدات'!$D:$D,MATCH($B76,'الوحدات'!$A:$A,0)),""))</f>
        <v>302</v>
      </c>
      <c r="F76" s="27" t="str">
        <f>IF($C76="","",IFERROR(INDEX('العملاء'!$B:$B,MATCH($C76,'العملاء'!$A:$A,0)),""))</f>
        <v>د/ باسم أمير سليم</v>
      </c>
      <c r="G76" s="33">
        <v>46023</v>
      </c>
      <c r="H76" s="33">
        <v>46142</v>
      </c>
      <c r="I76" s="39">
        <v>35000</v>
      </c>
      <c r="J76">
        <v>0</v>
      </c>
      <c r="K76" t="s">
        <v>35</v>
      </c>
      <c r="L76" s="39">
        <v>0</v>
      </c>
      <c r="M76" t="s">
        <v>584</v>
      </c>
      <c r="N76">
        <v>1</v>
      </c>
      <c r="O76" t="s">
        <v>35</v>
      </c>
      <c r="P76" t="s">
        <v>109</v>
      </c>
      <c r="Q76">
        <v>13.5</v>
      </c>
      <c r="R76" t="s">
        <v>609</v>
      </c>
      <c r="S76" s="33"/>
      <c r="T76" s="27" t="str">
        <f>IF(NOT(AND(ISNUMBER($G76),ISNUMBER($H76))),"تواريخ غير صحيحة",IF(TODAY()&lt;$G76,"لم يبدأ",IF(TODAY()&gt;$H76,IF(IF($A76="",0,COUNTIF($O:$O,$A76))+IF($B76="",0,COUNTIFS($B:$B,$B76,$G:$G,"&gt;"&amp;$H76)-IF($G76&gt;$H76,1,0))&gt;0,"منتهٍ (أُجِّرت بعده)","منتهٍ"),"ساري")))</f>
        <v>منتهٍ (أُجِّرت بعده)</v>
      </c>
      <c r="U76" s="28">
        <f>IF($X76="","",IF($X76&gt;10,35000,INDEX($AD76:$AM76,1,$X76)))</f>
        <v>35000</v>
      </c>
      <c r="V76" s="28">
        <f>IF($A76="","",SUMIFS('المدفوعات'!$F:$F,'المدفوعات'!$B:$B,$A76))</f>
        <v>140000</v>
      </c>
      <c r="W76" s="35">
        <v>0</v>
      </c>
      <c r="X76" s="34">
        <f>IF(OR(NOT(ISNUMBER($G76)),NOT(ISNUMBER($H76)),$AA76=""),"",IF(TODAY()&lt;$G76,1,MIN($AA76,DATEDIF($G76,TODAY(),"y")+1)))</f>
        <v>1</v>
      </c>
      <c r="Y76" s="27" t="str">
        <f>IF($B76="","",IFERROR(INDEX('الوحدات'!$B:$B,MATCH($B76,'الوحدات'!$A:$A,0)),""))</f>
        <v>P02</v>
      </c>
      <c r="Z76" s="34">
        <f>IF(ISNUMBER($H76),$H76-TODAY(),"")</f>
        <v>-163</v>
      </c>
      <c r="AA76" s="34">
        <f>IF(AND(ISNUMBER($G76),ISNUMBER($H76)),IFERROR(DATEDIF($G76,$H76,"y")+1,""),"")</f>
        <v>1</v>
      </c>
      <c r="AB76" s="37" t="str">
        <f>IF(OR($X76="",$X76&gt;=$AA76),"",DATE(YEAR($G76)+$X76,MONTH($G76),DAY($G76)))</f>
        <v/>
      </c>
      <c r="AC76" s="28" t="str">
        <f>IF($AB76="","",IF($X76+1&gt;10,0,INDEX($AD76:$AM76,1,$X76+1)))</f>
        <v/>
      </c>
      <c r="AD76" s="28">
        <f>IF($AA76="","",IFERROR(VALUE(MID($AN76,SEARCH(";1:",$AN76)+3,SEARCH(";",$AN76,SEARCH(";1:",$AN76)+3)-SEARCH(";1:",$AN76)-3)),$I76))</f>
        <v>35000</v>
      </c>
      <c r="AE76" s="28" t="str">
        <f>IF(OR($AA76="",2&gt;$AA76),"",IFERROR(VALUE(MID($AN76,SEARCH(";2:",$AN76)+3,SEARCH(";",$AN76,SEARCH(";2:",$AN76)+3)-SEARCH(";2:",$AN76)-3)),ROUND($AD76*(1+$J76/100),0)))</f>
        <v/>
      </c>
      <c r="AF76" s="28" t="str">
        <f>IF(OR($AA76="",3&gt;$AA76),"",IFERROR(VALUE(MID($AN76,SEARCH(";3:",$AN76)+3,SEARCH(";",$AN76,SEARCH(";3:",$AN76)+3)-SEARCH(";3:",$AN76)-3)),ROUND($AE76*(1+$J76/100),0)))</f>
        <v/>
      </c>
      <c r="AG76" s="28" t="str">
        <f>IF(OR($AA76="",4&gt;$AA76),"",IFERROR(VALUE(MID($AN76,SEARCH(";4:",$AN76)+3,SEARCH(";",$AN76,SEARCH(";4:",$AN76)+3)-SEARCH(";4:",$AN76)-3)),ROUND($AF76*(1+$J76/100),0)))</f>
        <v/>
      </c>
      <c r="AH76" s="28" t="str">
        <f>IF(OR($AA76="",5&gt;$AA76),"",IFERROR(VALUE(MID($AN76,SEARCH(";5:",$AN76)+3,SEARCH(";",$AN76,SEARCH(";5:",$AN76)+3)-SEARCH(";5:",$AN76)-3)),ROUND($AG76*(1+$J76/100),0)))</f>
        <v/>
      </c>
      <c r="AI76" s="28" t="str">
        <f>IF(OR($AA76="",6&gt;$AA76),"",IFERROR(VALUE(MID($AN76,SEARCH(";6:",$AN76)+3,SEARCH(";",$AN76,SEARCH(";6:",$AN76)+3)-SEARCH(";6:",$AN76)-3)),ROUND($AH76*(1+$J76/100),0)))</f>
        <v/>
      </c>
      <c r="AJ76" s="28" t="str">
        <f>IF(OR($AA76="",7&gt;$AA76),"",IFERROR(VALUE(MID($AN76,SEARCH(";7:",$AN76)+3,SEARCH(";",$AN76,SEARCH(";7:",$AN76)+3)-SEARCH(";7:",$AN76)-3)),ROUND($AI76*(1+$J76/100),0)))</f>
        <v/>
      </c>
      <c r="AK76" s="28" t="str">
        <f>IF(OR($AA76="",8&gt;$AA76),"",IFERROR(VALUE(MID($AN76,SEARCH(";8:",$AN76)+3,SEARCH(";",$AN76,SEARCH(";8:",$AN76)+3)-SEARCH(";8:",$AN76)-3)),ROUND($AJ76*(1+$J76/100),0)))</f>
        <v/>
      </c>
      <c r="AL76" s="28" t="str">
        <f>IF(OR($AA76="",9&gt;$AA76),"",IFERROR(VALUE(MID($AN76,SEARCH(";9:",$AN76)+3,SEARCH(";",$AN76,SEARCH(";9:",$AN76)+3)-SEARCH(";9:",$AN76)-3)),ROUND($AK76*(1+$J76/100),0)))</f>
        <v/>
      </c>
      <c r="AM76" s="28" t="str">
        <f>IF(OR($AA76="",10&gt;$AA76),"",IFERROR(VALUE(MID($AN76,SEARCH(";10:",$AN76)+4,SEARCH(";",$AN76,SEARCH(";10:",$AN76)+4)-SEARCH(";10:",$AN76)-4)),ROUND($AL76*(1+$J76/100),0)))</f>
        <v/>
      </c>
      <c r="AN76" s="36" t="str">
        <f>";"&amp;SUBSTITUTE(SUBSTITUTE(SUBSTITUTE(SUBSTITUTE(SUBSTITUTE(SUBSTITUTE($K76," ",""),"،",";"),CHAR(10),";"),"=",":"),",",""),"٫",".")&amp;";"</f>
        <v>;;</v>
      </c>
      <c r="AO76" s="36" t="str">
        <f>IF($T76="ساري",$B76,"")</f>
        <v/>
      </c>
    </row>
    <row r="77" spans="1:41" x14ac:dyDescent="0.25">
      <c r="A77" t="s">
        <v>183</v>
      </c>
      <c r="B77" t="s">
        <v>184</v>
      </c>
      <c r="C77" t="s">
        <v>185</v>
      </c>
      <c r="D77" s="27" t="str">
        <f>IF($Y77="","",IFERROR(INDEX('المشاريع'!$B:$B,MATCH($Y77,'المشاريع'!$A:$A,0)),""))</f>
        <v>ابو بكر</v>
      </c>
      <c r="E77" s="27" t="str">
        <f>IF($B77="","",IFERROR(INDEX('الوحدات'!$D:$D,MATCH($B77,'الوحدات'!$A:$A,0)),""))</f>
        <v>102</v>
      </c>
      <c r="F77" s="27" t="str">
        <f>IF($C77="","",IFERROR(INDEX('العملاء'!$B:$B,MATCH($C77,'العملاء'!$A:$A,0)),""))</f>
        <v>عادل عمر مكرم</v>
      </c>
      <c r="G77" s="33">
        <v>46023</v>
      </c>
      <c r="H77" s="33">
        <v>46203</v>
      </c>
      <c r="I77" s="39">
        <v>17500</v>
      </c>
      <c r="J77">
        <v>0</v>
      </c>
      <c r="K77" t="s">
        <v>35</v>
      </c>
      <c r="L77" s="39">
        <v>0</v>
      </c>
      <c r="M77" t="s">
        <v>584</v>
      </c>
      <c r="N77">
        <v>1</v>
      </c>
      <c r="O77" t="s">
        <v>35</v>
      </c>
      <c r="P77" t="s">
        <v>109</v>
      </c>
      <c r="Q77">
        <v>23.5</v>
      </c>
      <c r="R77" t="s">
        <v>609</v>
      </c>
      <c r="S77" s="33"/>
      <c r="T77" s="27" t="str">
        <f>IF(NOT(AND(ISNUMBER($G77),ISNUMBER($H77))),"تواريخ غير صحيحة",IF(TODAY()&lt;$G77,"لم يبدأ",IF(TODAY()&gt;$H77,IF(IF($A77="",0,COUNTIF($O:$O,$A77))+IF($B77="",0,COUNTIFS($B:$B,$B77,$G:$G,"&gt;"&amp;$H77)-IF($G77&gt;$H77,1,0))&gt;0,"منتهٍ (أُجِّرت بعده)","منتهٍ"),"ساري")))</f>
        <v>منتهٍ (أُجِّرت بعده)</v>
      </c>
      <c r="U77" s="28">
        <f>IF($X77="","",IF($X77&gt;10,17500,INDEX($AD77:$AM77,1,$X77)))</f>
        <v>17500</v>
      </c>
      <c r="V77" s="28">
        <f>IF($A77="","",SUMIFS('المدفوعات'!$F:$F,'المدفوعات'!$B:$B,$A77))</f>
        <v>105000</v>
      </c>
      <c r="W77" s="35">
        <v>0</v>
      </c>
      <c r="X77" s="34">
        <f>IF(OR(NOT(ISNUMBER($G77)),NOT(ISNUMBER($H77)),$AA77=""),"",IF(TODAY()&lt;$G77,1,MIN($AA77,DATEDIF($G77,TODAY(),"y")+1)))</f>
        <v>1</v>
      </c>
      <c r="Y77" s="27" t="str">
        <f>IF($B77="","",IFERROR(INDEX('الوحدات'!$B:$B,MATCH($B77,'الوحدات'!$A:$A,0)),""))</f>
        <v>P03</v>
      </c>
      <c r="Z77" s="34">
        <f>IF(ISNUMBER($H77),$H77-TODAY(),"")</f>
        <v>-102</v>
      </c>
      <c r="AA77" s="34">
        <f>IF(AND(ISNUMBER($G77),ISNUMBER($H77)),IFERROR(DATEDIF($G77,$H77,"y")+1,""),"")</f>
        <v>1</v>
      </c>
      <c r="AB77" s="37" t="str">
        <f>IF(OR($X77="",$X77&gt;=$AA77),"",DATE(YEAR($G77)+$X77,MONTH($G77),DAY($G77)))</f>
        <v/>
      </c>
      <c r="AC77" s="28" t="str">
        <f>IF($AB77="","",IF($X77+1&gt;10,0,INDEX($AD77:$AM77,1,$X77+1)))</f>
        <v/>
      </c>
      <c r="AD77" s="28">
        <f>IF($AA77="","",IFERROR(VALUE(MID($AN77,SEARCH(";1:",$AN77)+3,SEARCH(";",$AN77,SEARCH(";1:",$AN77)+3)-SEARCH(";1:",$AN77)-3)),$I77))</f>
        <v>17500</v>
      </c>
      <c r="AE77" s="28" t="str">
        <f>IF(OR($AA77="",2&gt;$AA77),"",IFERROR(VALUE(MID($AN77,SEARCH(";2:",$AN77)+3,SEARCH(";",$AN77,SEARCH(";2:",$AN77)+3)-SEARCH(";2:",$AN77)-3)),ROUND($AD77*(1+$J77/100),0)))</f>
        <v/>
      </c>
      <c r="AF77" s="28" t="str">
        <f>IF(OR($AA77="",3&gt;$AA77),"",IFERROR(VALUE(MID($AN77,SEARCH(";3:",$AN77)+3,SEARCH(";",$AN77,SEARCH(";3:",$AN77)+3)-SEARCH(";3:",$AN77)-3)),ROUND($AE77*(1+$J77/100),0)))</f>
        <v/>
      </c>
      <c r="AG77" s="28" t="str">
        <f>IF(OR($AA77="",4&gt;$AA77),"",IFERROR(VALUE(MID($AN77,SEARCH(";4:",$AN77)+3,SEARCH(";",$AN77,SEARCH(";4:",$AN77)+3)-SEARCH(";4:",$AN77)-3)),ROUND($AF77*(1+$J77/100),0)))</f>
        <v/>
      </c>
      <c r="AH77" s="28" t="str">
        <f>IF(OR($AA77="",5&gt;$AA77),"",IFERROR(VALUE(MID($AN77,SEARCH(";5:",$AN77)+3,SEARCH(";",$AN77,SEARCH(";5:",$AN77)+3)-SEARCH(";5:",$AN77)-3)),ROUND($AG77*(1+$J77/100),0)))</f>
        <v/>
      </c>
      <c r="AI77" s="28" t="str">
        <f>IF(OR($AA77="",6&gt;$AA77),"",IFERROR(VALUE(MID($AN77,SEARCH(";6:",$AN77)+3,SEARCH(";",$AN77,SEARCH(";6:",$AN77)+3)-SEARCH(";6:",$AN77)-3)),ROUND($AH77*(1+$J77/100),0)))</f>
        <v/>
      </c>
      <c r="AJ77" s="28" t="str">
        <f>IF(OR($AA77="",7&gt;$AA77),"",IFERROR(VALUE(MID($AN77,SEARCH(";7:",$AN77)+3,SEARCH(";",$AN77,SEARCH(";7:",$AN77)+3)-SEARCH(";7:",$AN77)-3)),ROUND($AI77*(1+$J77/100),0)))</f>
        <v/>
      </c>
      <c r="AK77" s="28" t="str">
        <f>IF(OR($AA77="",8&gt;$AA77),"",IFERROR(VALUE(MID($AN77,SEARCH(";8:",$AN77)+3,SEARCH(";",$AN77,SEARCH(";8:",$AN77)+3)-SEARCH(";8:",$AN77)-3)),ROUND($AJ77*(1+$J77/100),0)))</f>
        <v/>
      </c>
      <c r="AL77" s="28" t="str">
        <f>IF(OR($AA77="",9&gt;$AA77),"",IFERROR(VALUE(MID($AN77,SEARCH(";9:",$AN77)+3,SEARCH(";",$AN77,SEARCH(";9:",$AN77)+3)-SEARCH(";9:",$AN77)-3)),ROUND($AK77*(1+$J77/100),0)))</f>
        <v/>
      </c>
      <c r="AM77" s="28" t="str">
        <f>IF(OR($AA77="",10&gt;$AA77),"",IFERROR(VALUE(MID($AN77,SEARCH(";10:",$AN77)+4,SEARCH(";",$AN77,SEARCH(";10:",$AN77)+4)-SEARCH(";10:",$AN77)-4)),ROUND($AL77*(1+$J77/100),0)))</f>
        <v/>
      </c>
      <c r="AN77" s="36" t="str">
        <f>";"&amp;SUBSTITUTE(SUBSTITUTE(SUBSTITUTE(SUBSTITUTE(SUBSTITUTE(SUBSTITUTE($K77," ",""),"،",";"),CHAR(10),";"),"=",":"),",",""),"٫",".")&amp;";"</f>
        <v>;;</v>
      </c>
      <c r="AO77" s="36" t="str">
        <f>IF($T77="ساري",$B77,"")</f>
        <v/>
      </c>
    </row>
    <row r="78" spans="1:41" x14ac:dyDescent="0.25">
      <c r="A78" t="s">
        <v>196</v>
      </c>
      <c r="B78" t="s">
        <v>197</v>
      </c>
      <c r="C78" t="s">
        <v>198</v>
      </c>
      <c r="D78" s="27" t="str">
        <f>IF($Y78="","",IFERROR(INDEX('المشاريع'!$B:$B,MATCH($Y78,'المشاريع'!$A:$A,0)),""))</f>
        <v>ابو بكر</v>
      </c>
      <c r="E78" s="27" t="str">
        <f>IF($B78="","",IFERROR(INDEX('الوحدات'!$D:$D,MATCH($B78,'الوحدات'!$A:$A,0)),""))</f>
        <v>104</v>
      </c>
      <c r="F78" s="27" t="str">
        <f>IF($C78="","",IFERROR(INDEX('العملاء'!$B:$B,MATCH($C78,'العملاء'!$A:$A,0)),""))</f>
        <v>مروان محمود حسنين</v>
      </c>
      <c r="G78" s="33">
        <v>46023</v>
      </c>
      <c r="H78" s="33">
        <v>46203</v>
      </c>
      <c r="I78" s="39">
        <v>13000</v>
      </c>
      <c r="J78">
        <v>0</v>
      </c>
      <c r="K78" t="s">
        <v>35</v>
      </c>
      <c r="L78" s="39">
        <v>0</v>
      </c>
      <c r="M78" t="s">
        <v>584</v>
      </c>
      <c r="N78">
        <v>1</v>
      </c>
      <c r="O78" t="s">
        <v>35</v>
      </c>
      <c r="P78" t="s">
        <v>109</v>
      </c>
      <c r="Q78">
        <v>25.5</v>
      </c>
      <c r="R78" t="s">
        <v>609</v>
      </c>
      <c r="S78" s="33"/>
      <c r="T78" s="27" t="str">
        <f>IF(NOT(AND(ISNUMBER($G78),ISNUMBER($H78))),"تواريخ غير صحيحة",IF(TODAY()&lt;$G78,"لم يبدأ",IF(TODAY()&gt;$H78,IF(IF($A78="",0,COUNTIF($O:$O,$A78))+IF($B78="",0,COUNTIFS($B:$B,$B78,$G:$G,"&gt;"&amp;$H78)-IF($G78&gt;$H78,1,0))&gt;0,"منتهٍ (أُجِّرت بعده)","منتهٍ"),"ساري")))</f>
        <v>منتهٍ (أُجِّرت بعده)</v>
      </c>
      <c r="U78" s="28">
        <f>IF($X78="","",IF($X78&gt;10,13000,INDEX($AD78:$AM78,1,$X78)))</f>
        <v>13000</v>
      </c>
      <c r="V78" s="28">
        <f>IF($A78="","",SUMIFS('المدفوعات'!$F:$F,'المدفوعات'!$B:$B,$A78))</f>
        <v>78000</v>
      </c>
      <c r="W78" s="35">
        <v>0</v>
      </c>
      <c r="X78" s="34">
        <f>IF(OR(NOT(ISNUMBER($G78)),NOT(ISNUMBER($H78)),$AA78=""),"",IF(TODAY()&lt;$G78,1,MIN($AA78,DATEDIF($G78,TODAY(),"y")+1)))</f>
        <v>1</v>
      </c>
      <c r="Y78" s="27" t="str">
        <f>IF($B78="","",IFERROR(INDEX('الوحدات'!$B:$B,MATCH($B78,'الوحدات'!$A:$A,0)),""))</f>
        <v>P03</v>
      </c>
      <c r="Z78" s="34">
        <f>IF(ISNUMBER($H78),$H78-TODAY(),"")</f>
        <v>-102</v>
      </c>
      <c r="AA78" s="34">
        <f>IF(AND(ISNUMBER($G78),ISNUMBER($H78)),IFERROR(DATEDIF($G78,$H78,"y")+1,""),"")</f>
        <v>1</v>
      </c>
      <c r="AB78" s="37" t="str">
        <f>IF(OR($X78="",$X78&gt;=$AA78),"",DATE(YEAR($G78)+$X78,MONTH($G78),DAY($G78)))</f>
        <v/>
      </c>
      <c r="AC78" s="28" t="str">
        <f>IF($AB78="","",IF($X78+1&gt;10,0,INDEX($AD78:$AM78,1,$X78+1)))</f>
        <v/>
      </c>
      <c r="AD78" s="28">
        <f>IF($AA78="","",IFERROR(VALUE(MID($AN78,SEARCH(";1:",$AN78)+3,SEARCH(";",$AN78,SEARCH(";1:",$AN78)+3)-SEARCH(";1:",$AN78)-3)),$I78))</f>
        <v>13000</v>
      </c>
      <c r="AE78" s="28" t="str">
        <f>IF(OR($AA78="",2&gt;$AA78),"",IFERROR(VALUE(MID($AN78,SEARCH(";2:",$AN78)+3,SEARCH(";",$AN78,SEARCH(";2:",$AN78)+3)-SEARCH(";2:",$AN78)-3)),ROUND($AD78*(1+$J78/100),0)))</f>
        <v/>
      </c>
      <c r="AF78" s="28" t="str">
        <f>IF(OR($AA78="",3&gt;$AA78),"",IFERROR(VALUE(MID($AN78,SEARCH(";3:",$AN78)+3,SEARCH(";",$AN78,SEARCH(";3:",$AN78)+3)-SEARCH(";3:",$AN78)-3)),ROUND($AE78*(1+$J78/100),0)))</f>
        <v/>
      </c>
      <c r="AG78" s="28" t="str">
        <f>IF(OR($AA78="",4&gt;$AA78),"",IFERROR(VALUE(MID($AN78,SEARCH(";4:",$AN78)+3,SEARCH(";",$AN78,SEARCH(";4:",$AN78)+3)-SEARCH(";4:",$AN78)-3)),ROUND($AF78*(1+$J78/100),0)))</f>
        <v/>
      </c>
      <c r="AH78" s="28" t="str">
        <f>IF(OR($AA78="",5&gt;$AA78),"",IFERROR(VALUE(MID($AN78,SEARCH(";5:",$AN78)+3,SEARCH(";",$AN78,SEARCH(";5:",$AN78)+3)-SEARCH(";5:",$AN78)-3)),ROUND($AG78*(1+$J78/100),0)))</f>
        <v/>
      </c>
      <c r="AI78" s="28" t="str">
        <f>IF(OR($AA78="",6&gt;$AA78),"",IFERROR(VALUE(MID($AN78,SEARCH(";6:",$AN78)+3,SEARCH(";",$AN78,SEARCH(";6:",$AN78)+3)-SEARCH(";6:",$AN78)-3)),ROUND($AH78*(1+$J78/100),0)))</f>
        <v/>
      </c>
      <c r="AJ78" s="28" t="str">
        <f>IF(OR($AA78="",7&gt;$AA78),"",IFERROR(VALUE(MID($AN78,SEARCH(";7:",$AN78)+3,SEARCH(";",$AN78,SEARCH(";7:",$AN78)+3)-SEARCH(";7:",$AN78)-3)),ROUND($AI78*(1+$J78/100),0)))</f>
        <v/>
      </c>
      <c r="AK78" s="28" t="str">
        <f>IF(OR($AA78="",8&gt;$AA78),"",IFERROR(VALUE(MID($AN78,SEARCH(";8:",$AN78)+3,SEARCH(";",$AN78,SEARCH(";8:",$AN78)+3)-SEARCH(";8:",$AN78)-3)),ROUND($AJ78*(1+$J78/100),0)))</f>
        <v/>
      </c>
      <c r="AL78" s="28" t="str">
        <f>IF(OR($AA78="",9&gt;$AA78),"",IFERROR(VALUE(MID($AN78,SEARCH(";9:",$AN78)+3,SEARCH(";",$AN78,SEARCH(";9:",$AN78)+3)-SEARCH(";9:",$AN78)-3)),ROUND($AK78*(1+$J78/100),0)))</f>
        <v/>
      </c>
      <c r="AM78" s="28" t="str">
        <f>IF(OR($AA78="",10&gt;$AA78),"",IFERROR(VALUE(MID($AN78,SEARCH(";10:",$AN78)+4,SEARCH(";",$AN78,SEARCH(";10:",$AN78)+4)-SEARCH(";10:",$AN78)-4)),ROUND($AL78*(1+$J78/100),0)))</f>
        <v/>
      </c>
      <c r="AN78" s="36" t="str">
        <f>";"&amp;SUBSTITUTE(SUBSTITUTE(SUBSTITUTE(SUBSTITUTE(SUBSTITUTE(SUBSTITUTE($K78," ",""),"،",";"),CHAR(10),";"),"=",":"),",",""),"٫",".")&amp;";"</f>
        <v>;;</v>
      </c>
      <c r="AO78" s="36" t="str">
        <f>IF($T78="ساري",$B78,"")</f>
        <v/>
      </c>
    </row>
    <row r="79" spans="1:41" x14ac:dyDescent="0.25">
      <c r="A79" t="s">
        <v>201</v>
      </c>
      <c r="B79" t="s">
        <v>202</v>
      </c>
      <c r="C79" t="s">
        <v>185</v>
      </c>
      <c r="D79" s="27" t="str">
        <f>IF($Y79="","",IFERROR(INDEX('المشاريع'!$B:$B,MATCH($Y79,'المشاريع'!$A:$A,0)),""))</f>
        <v>ابو بكر</v>
      </c>
      <c r="E79" s="27" t="str">
        <f>IF($B79="","",IFERROR(INDEX('الوحدات'!$D:$D,MATCH($B79,'الوحدات'!$A:$A,0)),""))</f>
        <v>105</v>
      </c>
      <c r="F79" s="27" t="str">
        <f>IF($C79="","",IFERROR(INDEX('العملاء'!$B:$B,MATCH($C79,'العملاء'!$A:$A,0)),""))</f>
        <v>عادل عمر مكرم</v>
      </c>
      <c r="G79" s="33">
        <v>46023</v>
      </c>
      <c r="H79" s="33">
        <v>46203</v>
      </c>
      <c r="I79" s="39">
        <v>13500</v>
      </c>
      <c r="J79">
        <v>0</v>
      </c>
      <c r="K79" t="s">
        <v>35</v>
      </c>
      <c r="L79" s="39">
        <v>0</v>
      </c>
      <c r="M79" t="s">
        <v>584</v>
      </c>
      <c r="N79">
        <v>1</v>
      </c>
      <c r="O79" t="s">
        <v>35</v>
      </c>
      <c r="P79" t="s">
        <v>109</v>
      </c>
      <c r="Q79">
        <v>26.5</v>
      </c>
      <c r="R79" t="s">
        <v>609</v>
      </c>
      <c r="S79" s="33"/>
      <c r="T79" s="27" t="str">
        <f>IF(NOT(AND(ISNUMBER($G79),ISNUMBER($H79))),"تواريخ غير صحيحة",IF(TODAY()&lt;$G79,"لم يبدأ",IF(TODAY()&gt;$H79,IF(IF($A79="",0,COUNTIF($O:$O,$A79))+IF($B79="",0,COUNTIFS($B:$B,$B79,$G:$G,"&gt;"&amp;$H79)-IF($G79&gt;$H79,1,0))&gt;0,"منتهٍ (أُجِّرت بعده)","منتهٍ"),"ساري")))</f>
        <v>منتهٍ (أُجِّرت بعده)</v>
      </c>
      <c r="U79" s="28">
        <f>IF($X79="","",IF($X79&gt;10,13500,INDEX($AD79:$AM79,1,$X79)))</f>
        <v>13500</v>
      </c>
      <c r="V79" s="28">
        <f>IF($A79="","",SUMIFS('المدفوعات'!$F:$F,'المدفوعات'!$B:$B,$A79))</f>
        <v>81000</v>
      </c>
      <c r="W79" s="35">
        <v>0</v>
      </c>
      <c r="X79" s="34">
        <f>IF(OR(NOT(ISNUMBER($G79)),NOT(ISNUMBER($H79)),$AA79=""),"",IF(TODAY()&lt;$G79,1,MIN($AA79,DATEDIF($G79,TODAY(),"y")+1)))</f>
        <v>1</v>
      </c>
      <c r="Y79" s="27" t="str">
        <f>IF($B79="","",IFERROR(INDEX('الوحدات'!$B:$B,MATCH($B79,'الوحدات'!$A:$A,0)),""))</f>
        <v>P03</v>
      </c>
      <c r="Z79" s="34">
        <f>IF(ISNUMBER($H79),$H79-TODAY(),"")</f>
        <v>-102</v>
      </c>
      <c r="AA79" s="34">
        <f>IF(AND(ISNUMBER($G79),ISNUMBER($H79)),IFERROR(DATEDIF($G79,$H79,"y")+1,""),"")</f>
        <v>1</v>
      </c>
      <c r="AB79" s="37" t="str">
        <f>IF(OR($X79="",$X79&gt;=$AA79),"",DATE(YEAR($G79)+$X79,MONTH($G79),DAY($G79)))</f>
        <v/>
      </c>
      <c r="AC79" s="28" t="str">
        <f>IF($AB79="","",IF($X79+1&gt;10,0,INDEX($AD79:$AM79,1,$X79+1)))</f>
        <v/>
      </c>
      <c r="AD79" s="28">
        <f>IF($AA79="","",IFERROR(VALUE(MID($AN79,SEARCH(";1:",$AN79)+3,SEARCH(";",$AN79,SEARCH(";1:",$AN79)+3)-SEARCH(";1:",$AN79)-3)),$I79))</f>
        <v>13500</v>
      </c>
      <c r="AE79" s="28" t="str">
        <f>IF(OR($AA79="",2&gt;$AA79),"",IFERROR(VALUE(MID($AN79,SEARCH(";2:",$AN79)+3,SEARCH(";",$AN79,SEARCH(";2:",$AN79)+3)-SEARCH(";2:",$AN79)-3)),ROUND($AD79*(1+$J79/100),0)))</f>
        <v/>
      </c>
      <c r="AF79" s="28" t="str">
        <f>IF(OR($AA79="",3&gt;$AA79),"",IFERROR(VALUE(MID($AN79,SEARCH(";3:",$AN79)+3,SEARCH(";",$AN79,SEARCH(";3:",$AN79)+3)-SEARCH(";3:",$AN79)-3)),ROUND($AE79*(1+$J79/100),0)))</f>
        <v/>
      </c>
      <c r="AG79" s="28" t="str">
        <f>IF(OR($AA79="",4&gt;$AA79),"",IFERROR(VALUE(MID($AN79,SEARCH(";4:",$AN79)+3,SEARCH(";",$AN79,SEARCH(";4:",$AN79)+3)-SEARCH(";4:",$AN79)-3)),ROUND($AF79*(1+$J79/100),0)))</f>
        <v/>
      </c>
      <c r="AH79" s="28" t="str">
        <f>IF(OR($AA79="",5&gt;$AA79),"",IFERROR(VALUE(MID($AN79,SEARCH(";5:",$AN79)+3,SEARCH(";",$AN79,SEARCH(";5:",$AN79)+3)-SEARCH(";5:",$AN79)-3)),ROUND($AG79*(1+$J79/100),0)))</f>
        <v/>
      </c>
      <c r="AI79" s="28" t="str">
        <f>IF(OR($AA79="",6&gt;$AA79),"",IFERROR(VALUE(MID($AN79,SEARCH(";6:",$AN79)+3,SEARCH(";",$AN79,SEARCH(";6:",$AN79)+3)-SEARCH(";6:",$AN79)-3)),ROUND($AH79*(1+$J79/100),0)))</f>
        <v/>
      </c>
      <c r="AJ79" s="28" t="str">
        <f>IF(OR($AA79="",7&gt;$AA79),"",IFERROR(VALUE(MID($AN79,SEARCH(";7:",$AN79)+3,SEARCH(";",$AN79,SEARCH(";7:",$AN79)+3)-SEARCH(";7:",$AN79)-3)),ROUND($AI79*(1+$J79/100),0)))</f>
        <v/>
      </c>
      <c r="AK79" s="28" t="str">
        <f>IF(OR($AA79="",8&gt;$AA79),"",IFERROR(VALUE(MID($AN79,SEARCH(";8:",$AN79)+3,SEARCH(";",$AN79,SEARCH(";8:",$AN79)+3)-SEARCH(";8:",$AN79)-3)),ROUND($AJ79*(1+$J79/100),0)))</f>
        <v/>
      </c>
      <c r="AL79" s="28" t="str">
        <f>IF(OR($AA79="",9&gt;$AA79),"",IFERROR(VALUE(MID($AN79,SEARCH(";9:",$AN79)+3,SEARCH(";",$AN79,SEARCH(";9:",$AN79)+3)-SEARCH(";9:",$AN79)-3)),ROUND($AK79*(1+$J79/100),0)))</f>
        <v/>
      </c>
      <c r="AM79" s="28" t="str">
        <f>IF(OR($AA79="",10&gt;$AA79),"",IFERROR(VALUE(MID($AN79,SEARCH(";10:",$AN79)+4,SEARCH(";",$AN79,SEARCH(";10:",$AN79)+4)-SEARCH(";10:",$AN79)-4)),ROUND($AL79*(1+$J79/100),0)))</f>
        <v/>
      </c>
      <c r="AN79" s="36" t="str">
        <f>";"&amp;SUBSTITUTE(SUBSTITUTE(SUBSTITUTE(SUBSTITUTE(SUBSTITUTE(SUBSTITUTE($K79," ",""),"،",";"),CHAR(10),";"),"=",":"),",",""),"٫",".")&amp;";"</f>
        <v>;;</v>
      </c>
      <c r="AO79" s="36" t="str">
        <f>IF($T79="ساري",$B79,"")</f>
        <v/>
      </c>
    </row>
    <row r="80" spans="1:41" x14ac:dyDescent="0.25">
      <c r="A80" t="s">
        <v>211</v>
      </c>
      <c r="B80" t="s">
        <v>212</v>
      </c>
      <c r="C80" t="s">
        <v>209</v>
      </c>
      <c r="D80" s="27" t="str">
        <f>IF($Y80="","",IFERROR(INDEX('المشاريع'!$B:$B,MATCH($Y80,'المشاريع'!$A:$A,0)),""))</f>
        <v>ابو بكر</v>
      </c>
      <c r="E80" s="27" t="str">
        <f>IF($B80="","",IFERROR(INDEX('الوحدات'!$D:$D,MATCH($B80,'الوحدات'!$A:$A,0)),""))</f>
        <v>107</v>
      </c>
      <c r="F80" s="27" t="str">
        <f>IF($C80="","",IFERROR(INDEX('العملاء'!$B:$B,MATCH($C80,'العملاء'!$A:$A,0)),""))</f>
        <v>حسين أمير بدوي</v>
      </c>
      <c r="G80" s="33">
        <v>46023</v>
      </c>
      <c r="H80" s="33">
        <v>46203</v>
      </c>
      <c r="I80" s="39">
        <v>6000</v>
      </c>
      <c r="J80">
        <v>0</v>
      </c>
      <c r="K80" t="s">
        <v>35</v>
      </c>
      <c r="L80" s="39">
        <v>0</v>
      </c>
      <c r="M80" t="s">
        <v>584</v>
      </c>
      <c r="N80">
        <v>1</v>
      </c>
      <c r="O80" t="s">
        <v>35</v>
      </c>
      <c r="P80" t="s">
        <v>109</v>
      </c>
      <c r="Q80">
        <v>28.5</v>
      </c>
      <c r="R80" t="s">
        <v>609</v>
      </c>
      <c r="S80" s="33"/>
      <c r="T80" s="27" t="str">
        <f>IF(NOT(AND(ISNUMBER($G80),ISNUMBER($H80))),"تواريخ غير صحيحة",IF(TODAY()&lt;$G80,"لم يبدأ",IF(TODAY()&gt;$H80,IF(IF($A80="",0,COUNTIF($O:$O,$A80))+IF($B80="",0,COUNTIFS($B:$B,$B80,$G:$G,"&gt;"&amp;$H80)-IF($G80&gt;$H80,1,0))&gt;0,"منتهٍ (أُجِّرت بعده)","منتهٍ"),"ساري")))</f>
        <v>منتهٍ (أُجِّرت بعده)</v>
      </c>
      <c r="U80" s="28">
        <f>IF($X80="","",IF($X80&gt;10,6000,INDEX($AD80:$AM80,1,$X80)))</f>
        <v>6000</v>
      </c>
      <c r="V80" s="28">
        <f>IF($A80="","",SUMIFS('المدفوعات'!$F:$F,'المدفوعات'!$B:$B,$A80))</f>
        <v>38000</v>
      </c>
      <c r="W80" s="35">
        <v>0</v>
      </c>
      <c r="X80" s="34">
        <f>IF(OR(NOT(ISNUMBER($G80)),NOT(ISNUMBER($H80)),$AA80=""),"",IF(TODAY()&lt;$G80,1,MIN($AA80,DATEDIF($G80,TODAY(),"y")+1)))</f>
        <v>1</v>
      </c>
      <c r="Y80" s="27" t="str">
        <f>IF($B80="","",IFERROR(INDEX('الوحدات'!$B:$B,MATCH($B80,'الوحدات'!$A:$A,0)),""))</f>
        <v>P03</v>
      </c>
      <c r="Z80" s="34">
        <f>IF(ISNUMBER($H80),$H80-TODAY(),"")</f>
        <v>-102</v>
      </c>
      <c r="AA80" s="34">
        <f>IF(AND(ISNUMBER($G80),ISNUMBER($H80)),IFERROR(DATEDIF($G80,$H80,"y")+1,""),"")</f>
        <v>1</v>
      </c>
      <c r="AB80" s="37" t="str">
        <f>IF(OR($X80="",$X80&gt;=$AA80),"",DATE(YEAR($G80)+$X80,MONTH($G80),DAY($G80)))</f>
        <v/>
      </c>
      <c r="AC80" s="28" t="str">
        <f>IF($AB80="","",IF($X80+1&gt;10,0,INDEX($AD80:$AM80,1,$X80+1)))</f>
        <v/>
      </c>
      <c r="AD80" s="28">
        <f>IF($AA80="","",IFERROR(VALUE(MID($AN80,SEARCH(";1:",$AN80)+3,SEARCH(";",$AN80,SEARCH(";1:",$AN80)+3)-SEARCH(";1:",$AN80)-3)),$I80))</f>
        <v>6000</v>
      </c>
      <c r="AE80" s="28" t="str">
        <f>IF(OR($AA80="",2&gt;$AA80),"",IFERROR(VALUE(MID($AN80,SEARCH(";2:",$AN80)+3,SEARCH(";",$AN80,SEARCH(";2:",$AN80)+3)-SEARCH(";2:",$AN80)-3)),ROUND($AD80*(1+$J80/100),0)))</f>
        <v/>
      </c>
      <c r="AF80" s="28" t="str">
        <f>IF(OR($AA80="",3&gt;$AA80),"",IFERROR(VALUE(MID($AN80,SEARCH(";3:",$AN80)+3,SEARCH(";",$AN80,SEARCH(";3:",$AN80)+3)-SEARCH(";3:",$AN80)-3)),ROUND($AE80*(1+$J80/100),0)))</f>
        <v/>
      </c>
      <c r="AG80" s="28" t="str">
        <f>IF(OR($AA80="",4&gt;$AA80),"",IFERROR(VALUE(MID($AN80,SEARCH(";4:",$AN80)+3,SEARCH(";",$AN80,SEARCH(";4:",$AN80)+3)-SEARCH(";4:",$AN80)-3)),ROUND($AF80*(1+$J80/100),0)))</f>
        <v/>
      </c>
      <c r="AH80" s="28" t="str">
        <f>IF(OR($AA80="",5&gt;$AA80),"",IFERROR(VALUE(MID($AN80,SEARCH(";5:",$AN80)+3,SEARCH(";",$AN80,SEARCH(";5:",$AN80)+3)-SEARCH(";5:",$AN80)-3)),ROUND($AG80*(1+$J80/100),0)))</f>
        <v/>
      </c>
      <c r="AI80" s="28" t="str">
        <f>IF(OR($AA80="",6&gt;$AA80),"",IFERROR(VALUE(MID($AN80,SEARCH(";6:",$AN80)+3,SEARCH(";",$AN80,SEARCH(";6:",$AN80)+3)-SEARCH(";6:",$AN80)-3)),ROUND($AH80*(1+$J80/100),0)))</f>
        <v/>
      </c>
      <c r="AJ80" s="28" t="str">
        <f>IF(OR($AA80="",7&gt;$AA80),"",IFERROR(VALUE(MID($AN80,SEARCH(";7:",$AN80)+3,SEARCH(";",$AN80,SEARCH(";7:",$AN80)+3)-SEARCH(";7:",$AN80)-3)),ROUND($AI80*(1+$J80/100),0)))</f>
        <v/>
      </c>
      <c r="AK80" s="28" t="str">
        <f>IF(OR($AA80="",8&gt;$AA80),"",IFERROR(VALUE(MID($AN80,SEARCH(";8:",$AN80)+3,SEARCH(";",$AN80,SEARCH(";8:",$AN80)+3)-SEARCH(";8:",$AN80)-3)),ROUND($AJ80*(1+$J80/100),0)))</f>
        <v/>
      </c>
      <c r="AL80" s="28" t="str">
        <f>IF(OR($AA80="",9&gt;$AA80),"",IFERROR(VALUE(MID($AN80,SEARCH(";9:",$AN80)+3,SEARCH(";",$AN80,SEARCH(";9:",$AN80)+3)-SEARCH(";9:",$AN80)-3)),ROUND($AK80*(1+$J80/100),0)))</f>
        <v/>
      </c>
      <c r="AM80" s="28" t="str">
        <f>IF(OR($AA80="",10&gt;$AA80),"",IFERROR(VALUE(MID($AN80,SEARCH(";10:",$AN80)+4,SEARCH(";",$AN80,SEARCH(";10:",$AN80)+4)-SEARCH(";10:",$AN80)-4)),ROUND($AL80*(1+$J80/100),0)))</f>
        <v/>
      </c>
      <c r="AN80" s="36" t="str">
        <f>";"&amp;SUBSTITUTE(SUBSTITUTE(SUBSTITUTE(SUBSTITUTE(SUBSTITUTE(SUBSTITUTE($K80," ",""),"،",";"),CHAR(10),";"),"=",":"),",",""),"٫",".")&amp;";"</f>
        <v>;;</v>
      </c>
      <c r="AO80" s="36" t="str">
        <f>IF($T80="ساري",$B80,"")</f>
        <v/>
      </c>
    </row>
    <row r="81" spans="1:41" x14ac:dyDescent="0.25">
      <c r="A81" t="s">
        <v>215</v>
      </c>
      <c r="B81" t="s">
        <v>216</v>
      </c>
      <c r="C81" t="s">
        <v>209</v>
      </c>
      <c r="D81" s="27" t="str">
        <f>IF($Y81="","",IFERROR(INDEX('المشاريع'!$B:$B,MATCH($Y81,'المشاريع'!$A:$A,0)),""))</f>
        <v>ابو بكر</v>
      </c>
      <c r="E81" s="27" t="str">
        <f>IF($B81="","",IFERROR(INDEX('الوحدات'!$D:$D,MATCH($B81,'الوحدات'!$A:$A,0)),""))</f>
        <v>108</v>
      </c>
      <c r="F81" s="27" t="str">
        <f>IF($C81="","",IFERROR(INDEX('العملاء'!$B:$B,MATCH($C81,'العملاء'!$A:$A,0)),""))</f>
        <v>حسين أمير بدوي</v>
      </c>
      <c r="G81" s="33">
        <v>46023</v>
      </c>
      <c r="H81" s="33">
        <v>46203</v>
      </c>
      <c r="I81" s="39">
        <v>6000</v>
      </c>
      <c r="J81">
        <v>0</v>
      </c>
      <c r="K81" t="s">
        <v>35</v>
      </c>
      <c r="L81" s="39">
        <v>0</v>
      </c>
      <c r="M81" t="s">
        <v>584</v>
      </c>
      <c r="N81">
        <v>1</v>
      </c>
      <c r="O81" t="s">
        <v>35</v>
      </c>
      <c r="P81" t="s">
        <v>109</v>
      </c>
      <c r="Q81">
        <v>29.5</v>
      </c>
      <c r="R81" t="s">
        <v>609</v>
      </c>
      <c r="S81" s="33"/>
      <c r="T81" s="27" t="str">
        <f>IF(NOT(AND(ISNUMBER($G81),ISNUMBER($H81))),"تواريخ غير صحيحة",IF(TODAY()&lt;$G81,"لم يبدأ",IF(TODAY()&gt;$H81,IF(IF($A81="",0,COUNTIF($O:$O,$A81))+IF($B81="",0,COUNTIFS($B:$B,$B81,$G:$G,"&gt;"&amp;$H81)-IF($G81&gt;$H81,1,0))&gt;0,"منتهٍ (أُجِّرت بعده)","منتهٍ"),"ساري")))</f>
        <v>منتهٍ (أُجِّرت بعده)</v>
      </c>
      <c r="U81" s="28">
        <f>IF($X81="","",IF($X81&gt;10,6000,INDEX($AD81:$AM81,1,$X81)))</f>
        <v>6000</v>
      </c>
      <c r="V81" s="28">
        <f>IF($A81="","",SUMIFS('المدفوعات'!$F:$F,'المدفوعات'!$B:$B,$A81))</f>
        <v>38000</v>
      </c>
      <c r="W81" s="35">
        <v>0</v>
      </c>
      <c r="X81" s="34">
        <f>IF(OR(NOT(ISNUMBER($G81)),NOT(ISNUMBER($H81)),$AA81=""),"",IF(TODAY()&lt;$G81,1,MIN($AA81,DATEDIF($G81,TODAY(),"y")+1)))</f>
        <v>1</v>
      </c>
      <c r="Y81" s="27" t="str">
        <f>IF($B81="","",IFERROR(INDEX('الوحدات'!$B:$B,MATCH($B81,'الوحدات'!$A:$A,0)),""))</f>
        <v>P03</v>
      </c>
      <c r="Z81" s="34">
        <f>IF(ISNUMBER($H81),$H81-TODAY(),"")</f>
        <v>-102</v>
      </c>
      <c r="AA81" s="34">
        <f>IF(AND(ISNUMBER($G81),ISNUMBER($H81)),IFERROR(DATEDIF($G81,$H81,"y")+1,""),"")</f>
        <v>1</v>
      </c>
      <c r="AB81" s="37" t="str">
        <f>IF(OR($X81="",$X81&gt;=$AA81),"",DATE(YEAR($G81)+$X81,MONTH($G81),DAY($G81)))</f>
        <v/>
      </c>
      <c r="AC81" s="28" t="str">
        <f>IF($AB81="","",IF($X81+1&gt;10,0,INDEX($AD81:$AM81,1,$X81+1)))</f>
        <v/>
      </c>
      <c r="AD81" s="28">
        <f>IF($AA81="","",IFERROR(VALUE(MID($AN81,SEARCH(";1:",$AN81)+3,SEARCH(";",$AN81,SEARCH(";1:",$AN81)+3)-SEARCH(";1:",$AN81)-3)),$I81))</f>
        <v>6000</v>
      </c>
      <c r="AE81" s="28" t="str">
        <f>IF(OR($AA81="",2&gt;$AA81),"",IFERROR(VALUE(MID($AN81,SEARCH(";2:",$AN81)+3,SEARCH(";",$AN81,SEARCH(";2:",$AN81)+3)-SEARCH(";2:",$AN81)-3)),ROUND($AD81*(1+$J81/100),0)))</f>
        <v/>
      </c>
      <c r="AF81" s="28" t="str">
        <f>IF(OR($AA81="",3&gt;$AA81),"",IFERROR(VALUE(MID($AN81,SEARCH(";3:",$AN81)+3,SEARCH(";",$AN81,SEARCH(";3:",$AN81)+3)-SEARCH(";3:",$AN81)-3)),ROUND($AE81*(1+$J81/100),0)))</f>
        <v/>
      </c>
      <c r="AG81" s="28" t="str">
        <f>IF(OR($AA81="",4&gt;$AA81),"",IFERROR(VALUE(MID($AN81,SEARCH(";4:",$AN81)+3,SEARCH(";",$AN81,SEARCH(";4:",$AN81)+3)-SEARCH(";4:",$AN81)-3)),ROUND($AF81*(1+$J81/100),0)))</f>
        <v/>
      </c>
      <c r="AH81" s="28" t="str">
        <f>IF(OR($AA81="",5&gt;$AA81),"",IFERROR(VALUE(MID($AN81,SEARCH(";5:",$AN81)+3,SEARCH(";",$AN81,SEARCH(";5:",$AN81)+3)-SEARCH(";5:",$AN81)-3)),ROUND($AG81*(1+$J81/100),0)))</f>
        <v/>
      </c>
      <c r="AI81" s="28" t="str">
        <f>IF(OR($AA81="",6&gt;$AA81),"",IFERROR(VALUE(MID($AN81,SEARCH(";6:",$AN81)+3,SEARCH(";",$AN81,SEARCH(";6:",$AN81)+3)-SEARCH(";6:",$AN81)-3)),ROUND($AH81*(1+$J81/100),0)))</f>
        <v/>
      </c>
      <c r="AJ81" s="28" t="str">
        <f>IF(OR($AA81="",7&gt;$AA81),"",IFERROR(VALUE(MID($AN81,SEARCH(";7:",$AN81)+3,SEARCH(";",$AN81,SEARCH(";7:",$AN81)+3)-SEARCH(";7:",$AN81)-3)),ROUND($AI81*(1+$J81/100),0)))</f>
        <v/>
      </c>
      <c r="AK81" s="28" t="str">
        <f>IF(OR($AA81="",8&gt;$AA81),"",IFERROR(VALUE(MID($AN81,SEARCH(";8:",$AN81)+3,SEARCH(";",$AN81,SEARCH(";8:",$AN81)+3)-SEARCH(";8:",$AN81)-3)),ROUND($AJ81*(1+$J81/100),0)))</f>
        <v/>
      </c>
      <c r="AL81" s="28" t="str">
        <f>IF(OR($AA81="",9&gt;$AA81),"",IFERROR(VALUE(MID($AN81,SEARCH(";9:",$AN81)+3,SEARCH(";",$AN81,SEARCH(";9:",$AN81)+3)-SEARCH(";9:",$AN81)-3)),ROUND($AK81*(1+$J81/100),0)))</f>
        <v/>
      </c>
      <c r="AM81" s="28" t="str">
        <f>IF(OR($AA81="",10&gt;$AA81),"",IFERROR(VALUE(MID($AN81,SEARCH(";10:",$AN81)+4,SEARCH(";",$AN81,SEARCH(";10:",$AN81)+4)-SEARCH(";10:",$AN81)-4)),ROUND($AL81*(1+$J81/100),0)))</f>
        <v/>
      </c>
      <c r="AN81" s="36" t="str">
        <f>";"&amp;SUBSTITUTE(SUBSTITUTE(SUBSTITUTE(SUBSTITUTE(SUBSTITUTE(SUBSTITUTE($K81," ",""),"،",";"),CHAR(10),";"),"=",":"),",",""),"٫",".")&amp;";"</f>
        <v>;;</v>
      </c>
      <c r="AO81" s="36" t="str">
        <f>IF($T81="ساري",$B81,"")</f>
        <v/>
      </c>
    </row>
    <row r="82" spans="1:41" x14ac:dyDescent="0.25">
      <c r="A82" t="s">
        <v>330</v>
      </c>
      <c r="B82" t="s">
        <v>331</v>
      </c>
      <c r="C82" t="s">
        <v>332</v>
      </c>
      <c r="D82" s="27" t="str">
        <f>IF($Y82="","",IFERROR(INDEX('المشاريع'!$B:$B,MATCH($Y82,'المشاريع'!$A:$A,0)),""))</f>
        <v>ابو بكر</v>
      </c>
      <c r="E82" s="27" t="str">
        <f>IF($B82="","",IFERROR(INDEX('الوحدات'!$D:$D,MATCH($B82,'الوحدات'!$A:$A,0)),""))</f>
        <v>404</v>
      </c>
      <c r="F82" s="27" t="str">
        <f>IF($C82="","",IFERROR(INDEX('العملاء'!$B:$B,MATCH($C82,'العملاء'!$A:$A,0)),""))</f>
        <v>آية محمود بدوي</v>
      </c>
      <c r="G82" s="33">
        <v>46023</v>
      </c>
      <c r="H82" s="33">
        <v>46173</v>
      </c>
      <c r="I82" s="39">
        <v>12000</v>
      </c>
      <c r="J82">
        <v>0</v>
      </c>
      <c r="K82" t="s">
        <v>35</v>
      </c>
      <c r="L82" s="39">
        <v>0</v>
      </c>
      <c r="M82" t="s">
        <v>584</v>
      </c>
      <c r="N82">
        <v>1</v>
      </c>
      <c r="O82" t="s">
        <v>35</v>
      </c>
      <c r="P82" t="s">
        <v>109</v>
      </c>
      <c r="Q82">
        <v>48.5</v>
      </c>
      <c r="R82" t="s">
        <v>609</v>
      </c>
      <c r="S82" s="33"/>
      <c r="T82" s="27" t="str">
        <f>IF(NOT(AND(ISNUMBER($G82),ISNUMBER($H82))),"تواريخ غير صحيحة",IF(TODAY()&lt;$G82,"لم يبدأ",IF(TODAY()&gt;$H82,IF(IF($A82="",0,COUNTIF($O:$O,$A82))+IF($B82="",0,COUNTIFS($B:$B,$B82,$G:$G,"&gt;"&amp;$H82)-IF($G82&gt;$H82,1,0))&gt;0,"منتهٍ (أُجِّرت بعده)","منتهٍ"),"ساري")))</f>
        <v>منتهٍ (أُجِّرت بعده)</v>
      </c>
      <c r="U82" s="28">
        <f>IF($X82="","",IF($X82&gt;10,12000,INDEX($AD82:$AM82,1,$X82)))</f>
        <v>12000</v>
      </c>
      <c r="V82" s="28">
        <f>IF($A82="","",SUMIFS('المدفوعات'!$F:$F,'المدفوعات'!$B:$B,$A82))</f>
        <v>60000</v>
      </c>
      <c r="W82" s="35">
        <v>0</v>
      </c>
      <c r="X82" s="34">
        <f>IF(OR(NOT(ISNUMBER($G82)),NOT(ISNUMBER($H82)),$AA82=""),"",IF(TODAY()&lt;$G82,1,MIN($AA82,DATEDIF($G82,TODAY(),"y")+1)))</f>
        <v>1</v>
      </c>
      <c r="Y82" s="27" t="str">
        <f>IF($B82="","",IFERROR(INDEX('الوحدات'!$B:$B,MATCH($B82,'الوحدات'!$A:$A,0)),""))</f>
        <v>P03</v>
      </c>
      <c r="Z82" s="34">
        <f>IF(ISNUMBER($H82),$H82-TODAY(),"")</f>
        <v>-132</v>
      </c>
      <c r="AA82" s="34">
        <f>IF(AND(ISNUMBER($G82),ISNUMBER($H82)),IFERROR(DATEDIF($G82,$H82,"y")+1,""),"")</f>
        <v>1</v>
      </c>
      <c r="AB82" s="37" t="str">
        <f>IF(OR($X82="",$X82&gt;=$AA82),"",DATE(YEAR($G82)+$X82,MONTH($G82),DAY($G82)))</f>
        <v/>
      </c>
      <c r="AC82" s="28" t="str">
        <f>IF($AB82="","",IF($X82+1&gt;10,0,INDEX($AD82:$AM82,1,$X82+1)))</f>
        <v/>
      </c>
      <c r="AD82" s="28">
        <f>IF($AA82="","",IFERROR(VALUE(MID($AN82,SEARCH(";1:",$AN82)+3,SEARCH(";",$AN82,SEARCH(";1:",$AN82)+3)-SEARCH(";1:",$AN82)-3)),$I82))</f>
        <v>12000</v>
      </c>
      <c r="AE82" s="28" t="str">
        <f>IF(OR($AA82="",2&gt;$AA82),"",IFERROR(VALUE(MID($AN82,SEARCH(";2:",$AN82)+3,SEARCH(";",$AN82,SEARCH(";2:",$AN82)+3)-SEARCH(";2:",$AN82)-3)),ROUND($AD82*(1+$J82/100),0)))</f>
        <v/>
      </c>
      <c r="AF82" s="28" t="str">
        <f>IF(OR($AA82="",3&gt;$AA82),"",IFERROR(VALUE(MID($AN82,SEARCH(";3:",$AN82)+3,SEARCH(";",$AN82,SEARCH(";3:",$AN82)+3)-SEARCH(";3:",$AN82)-3)),ROUND($AE82*(1+$J82/100),0)))</f>
        <v/>
      </c>
      <c r="AG82" s="28" t="str">
        <f>IF(OR($AA82="",4&gt;$AA82),"",IFERROR(VALUE(MID($AN82,SEARCH(";4:",$AN82)+3,SEARCH(";",$AN82,SEARCH(";4:",$AN82)+3)-SEARCH(";4:",$AN82)-3)),ROUND($AF82*(1+$J82/100),0)))</f>
        <v/>
      </c>
      <c r="AH82" s="28" t="str">
        <f>IF(OR($AA82="",5&gt;$AA82),"",IFERROR(VALUE(MID($AN82,SEARCH(";5:",$AN82)+3,SEARCH(";",$AN82,SEARCH(";5:",$AN82)+3)-SEARCH(";5:",$AN82)-3)),ROUND($AG82*(1+$J82/100),0)))</f>
        <v/>
      </c>
      <c r="AI82" s="28" t="str">
        <f>IF(OR($AA82="",6&gt;$AA82),"",IFERROR(VALUE(MID($AN82,SEARCH(";6:",$AN82)+3,SEARCH(";",$AN82,SEARCH(";6:",$AN82)+3)-SEARCH(";6:",$AN82)-3)),ROUND($AH82*(1+$J82/100),0)))</f>
        <v/>
      </c>
      <c r="AJ82" s="28" t="str">
        <f>IF(OR($AA82="",7&gt;$AA82),"",IFERROR(VALUE(MID($AN82,SEARCH(";7:",$AN82)+3,SEARCH(";",$AN82,SEARCH(";7:",$AN82)+3)-SEARCH(";7:",$AN82)-3)),ROUND($AI82*(1+$J82/100),0)))</f>
        <v/>
      </c>
      <c r="AK82" s="28" t="str">
        <f>IF(OR($AA82="",8&gt;$AA82),"",IFERROR(VALUE(MID($AN82,SEARCH(";8:",$AN82)+3,SEARCH(";",$AN82,SEARCH(";8:",$AN82)+3)-SEARCH(";8:",$AN82)-3)),ROUND($AJ82*(1+$J82/100),0)))</f>
        <v/>
      </c>
      <c r="AL82" s="28" t="str">
        <f>IF(OR($AA82="",9&gt;$AA82),"",IFERROR(VALUE(MID($AN82,SEARCH(";9:",$AN82)+3,SEARCH(";",$AN82,SEARCH(";9:",$AN82)+3)-SEARCH(";9:",$AN82)-3)),ROUND($AK82*(1+$J82/100),0)))</f>
        <v/>
      </c>
      <c r="AM82" s="28" t="str">
        <f>IF(OR($AA82="",10&gt;$AA82),"",IFERROR(VALUE(MID($AN82,SEARCH(";10:",$AN82)+4,SEARCH(";",$AN82,SEARCH(";10:",$AN82)+4)-SEARCH(";10:",$AN82)-4)),ROUND($AL82*(1+$J82/100),0)))</f>
        <v/>
      </c>
      <c r="AN82" s="36" t="str">
        <f>";"&amp;SUBSTITUTE(SUBSTITUTE(SUBSTITUTE(SUBSTITUTE(SUBSTITUTE(SUBSTITUTE($K82," ",""),"،",";"),CHAR(10),";"),"=",":"),",",""),"٫",".")&amp;";"</f>
        <v>;;</v>
      </c>
      <c r="AO82" s="36" t="str">
        <f>IF($T82="ساري",$B82,"")</f>
        <v/>
      </c>
    </row>
    <row r="83" spans="1:41" x14ac:dyDescent="0.25">
      <c r="A83" t="s">
        <v>338</v>
      </c>
      <c r="B83" t="s">
        <v>339</v>
      </c>
      <c r="C83" t="s">
        <v>340</v>
      </c>
      <c r="D83" s="27" t="str">
        <f>IF($Y83="","",IFERROR(INDEX('المشاريع'!$B:$B,MATCH($Y83,'المشاريع'!$A:$A,0)),""))</f>
        <v>ابو بكر</v>
      </c>
      <c r="E83" s="27" t="str">
        <f>IF($B83="","",IFERROR(INDEX('الوحدات'!$D:$D,MATCH($B83,'الوحدات'!$A:$A,0)),""))</f>
        <v>405</v>
      </c>
      <c r="F83" s="27" t="str">
        <f>IF($C83="","",IFERROR(INDEX('العملاء'!$B:$B,MATCH($C83,'العملاء'!$A:$A,0)),""))</f>
        <v>شركة الأصيل للإنتاج الفني</v>
      </c>
      <c r="G83" s="33">
        <v>46023</v>
      </c>
      <c r="H83" s="33">
        <v>46081</v>
      </c>
      <c r="I83" s="39">
        <v>12000</v>
      </c>
      <c r="J83">
        <v>0</v>
      </c>
      <c r="K83" t="s">
        <v>35</v>
      </c>
      <c r="L83" s="39">
        <v>0</v>
      </c>
      <c r="M83" t="s">
        <v>584</v>
      </c>
      <c r="N83">
        <v>1</v>
      </c>
      <c r="O83" t="s">
        <v>35</v>
      </c>
      <c r="P83" t="s">
        <v>109</v>
      </c>
      <c r="Q83">
        <v>49.5</v>
      </c>
      <c r="R83" t="s">
        <v>609</v>
      </c>
      <c r="S83" s="33"/>
      <c r="T83" s="27" t="str">
        <f>IF(NOT(AND(ISNUMBER($G83),ISNUMBER($H83))),"تواريخ غير صحيحة",IF(TODAY()&lt;$G83,"لم يبدأ",IF(TODAY()&gt;$H83,IF(IF($A83="",0,COUNTIF($O:$O,$A83))+IF($B83="",0,COUNTIFS($B:$B,$B83,$G:$G,"&gt;"&amp;$H83)-IF($G83&gt;$H83,1,0))&gt;0,"منتهٍ (أُجِّرت بعده)","منتهٍ"),"ساري")))</f>
        <v>منتهٍ (أُجِّرت بعده)</v>
      </c>
      <c r="U83" s="28">
        <f>IF($X83="","",IF($X83&gt;10,12000,INDEX($AD83:$AM83,1,$X83)))</f>
        <v>12000</v>
      </c>
      <c r="V83" s="28">
        <f>IF($A83="","",SUMIFS('المدفوعات'!$F:$F,'المدفوعات'!$B:$B,$A83))</f>
        <v>24000</v>
      </c>
      <c r="W83" s="35">
        <v>0</v>
      </c>
      <c r="X83" s="34">
        <f>IF(OR(NOT(ISNUMBER($G83)),NOT(ISNUMBER($H83)),$AA83=""),"",IF(TODAY()&lt;$G83,1,MIN($AA83,DATEDIF($G83,TODAY(),"y")+1)))</f>
        <v>1</v>
      </c>
      <c r="Y83" s="27" t="str">
        <f>IF($B83="","",IFERROR(INDEX('الوحدات'!$B:$B,MATCH($B83,'الوحدات'!$A:$A,0)),""))</f>
        <v>P03</v>
      </c>
      <c r="Z83" s="34">
        <f>IF(ISNUMBER($H83),$H83-TODAY(),"")</f>
        <v>-224</v>
      </c>
      <c r="AA83" s="34">
        <f>IF(AND(ISNUMBER($G83),ISNUMBER($H83)),IFERROR(DATEDIF($G83,$H83,"y")+1,""),"")</f>
        <v>1</v>
      </c>
      <c r="AB83" s="37" t="str">
        <f>IF(OR($X83="",$X83&gt;=$AA83),"",DATE(YEAR($G83)+$X83,MONTH($G83),DAY($G83)))</f>
        <v/>
      </c>
      <c r="AC83" s="28" t="str">
        <f>IF($AB83="","",IF($X83+1&gt;10,0,INDEX($AD83:$AM83,1,$X83+1)))</f>
        <v/>
      </c>
      <c r="AD83" s="28">
        <f>IF($AA83="","",IFERROR(VALUE(MID($AN83,SEARCH(";1:",$AN83)+3,SEARCH(";",$AN83,SEARCH(";1:",$AN83)+3)-SEARCH(";1:",$AN83)-3)),$I83))</f>
        <v>12000</v>
      </c>
      <c r="AE83" s="28" t="str">
        <f>IF(OR($AA83="",2&gt;$AA83),"",IFERROR(VALUE(MID($AN83,SEARCH(";2:",$AN83)+3,SEARCH(";",$AN83,SEARCH(";2:",$AN83)+3)-SEARCH(";2:",$AN83)-3)),ROUND($AD83*(1+$J83/100),0)))</f>
        <v/>
      </c>
      <c r="AF83" s="28" t="str">
        <f>IF(OR($AA83="",3&gt;$AA83),"",IFERROR(VALUE(MID($AN83,SEARCH(";3:",$AN83)+3,SEARCH(";",$AN83,SEARCH(";3:",$AN83)+3)-SEARCH(";3:",$AN83)-3)),ROUND($AE83*(1+$J83/100),0)))</f>
        <v/>
      </c>
      <c r="AG83" s="28" t="str">
        <f>IF(OR($AA83="",4&gt;$AA83),"",IFERROR(VALUE(MID($AN83,SEARCH(";4:",$AN83)+3,SEARCH(";",$AN83,SEARCH(";4:",$AN83)+3)-SEARCH(";4:",$AN83)-3)),ROUND($AF83*(1+$J83/100),0)))</f>
        <v/>
      </c>
      <c r="AH83" s="28" t="str">
        <f>IF(OR($AA83="",5&gt;$AA83),"",IFERROR(VALUE(MID($AN83,SEARCH(";5:",$AN83)+3,SEARCH(";",$AN83,SEARCH(";5:",$AN83)+3)-SEARCH(";5:",$AN83)-3)),ROUND($AG83*(1+$J83/100),0)))</f>
        <v/>
      </c>
      <c r="AI83" s="28" t="str">
        <f>IF(OR($AA83="",6&gt;$AA83),"",IFERROR(VALUE(MID($AN83,SEARCH(";6:",$AN83)+3,SEARCH(";",$AN83,SEARCH(";6:",$AN83)+3)-SEARCH(";6:",$AN83)-3)),ROUND($AH83*(1+$J83/100),0)))</f>
        <v/>
      </c>
      <c r="AJ83" s="28" t="str">
        <f>IF(OR($AA83="",7&gt;$AA83),"",IFERROR(VALUE(MID($AN83,SEARCH(";7:",$AN83)+3,SEARCH(";",$AN83,SEARCH(";7:",$AN83)+3)-SEARCH(";7:",$AN83)-3)),ROUND($AI83*(1+$J83/100),0)))</f>
        <v/>
      </c>
      <c r="AK83" s="28" t="str">
        <f>IF(OR($AA83="",8&gt;$AA83),"",IFERROR(VALUE(MID($AN83,SEARCH(";8:",$AN83)+3,SEARCH(";",$AN83,SEARCH(";8:",$AN83)+3)-SEARCH(";8:",$AN83)-3)),ROUND($AJ83*(1+$J83/100),0)))</f>
        <v/>
      </c>
      <c r="AL83" s="28" t="str">
        <f>IF(OR($AA83="",9&gt;$AA83),"",IFERROR(VALUE(MID($AN83,SEARCH(";9:",$AN83)+3,SEARCH(";",$AN83,SEARCH(";9:",$AN83)+3)-SEARCH(";9:",$AN83)-3)),ROUND($AK83*(1+$J83/100),0)))</f>
        <v/>
      </c>
      <c r="AM83" s="28" t="str">
        <f>IF(OR($AA83="",10&gt;$AA83),"",IFERROR(VALUE(MID($AN83,SEARCH(";10:",$AN83)+4,SEARCH(";",$AN83,SEARCH(";10:",$AN83)+4)-SEARCH(";10:",$AN83)-4)),ROUND($AL83*(1+$J83/100),0)))</f>
        <v/>
      </c>
      <c r="AN83" s="36" t="str">
        <f>";"&amp;SUBSTITUTE(SUBSTITUTE(SUBSTITUTE(SUBSTITUTE(SUBSTITUTE(SUBSTITUTE($K83," ",""),"،",";"),CHAR(10),";"),"=",":"),",",""),"٫",".")&amp;";"</f>
        <v>;;</v>
      </c>
      <c r="AO83" s="36" t="str">
        <f>IF($T83="ساري",$B83,"")</f>
        <v/>
      </c>
    </row>
    <row r="84" spans="1:41" x14ac:dyDescent="0.25">
      <c r="A84" t="s">
        <v>384</v>
      </c>
      <c r="B84" t="s">
        <v>385</v>
      </c>
      <c r="C84" t="s">
        <v>209</v>
      </c>
      <c r="D84" s="27" t="str">
        <f>IF($Y84="","",IFERROR(INDEX('المشاريع'!$B:$B,MATCH($Y84,'المشاريع'!$A:$A,0)),""))</f>
        <v>ابو بكر</v>
      </c>
      <c r="E84" s="27" t="str">
        <f>IF($B84="","",IFERROR(INDEX('الوحدات'!$D:$D,MATCH($B84,'الوحدات'!$A:$A,0)),""))</f>
        <v>505</v>
      </c>
      <c r="F84" s="27" t="str">
        <f>IF($C84="","",IFERROR(INDEX('العملاء'!$B:$B,MATCH($C84,'العملاء'!$A:$A,0)),""))</f>
        <v>حسين أمير بدوي</v>
      </c>
      <c r="G84" s="33">
        <v>46023</v>
      </c>
      <c r="H84" s="33">
        <v>46203</v>
      </c>
      <c r="I84" s="39">
        <v>11000</v>
      </c>
      <c r="J84">
        <v>0</v>
      </c>
      <c r="K84" t="s">
        <v>35</v>
      </c>
      <c r="L84" s="39">
        <v>0</v>
      </c>
      <c r="M84" t="s">
        <v>584</v>
      </c>
      <c r="N84">
        <v>1</v>
      </c>
      <c r="O84" t="s">
        <v>35</v>
      </c>
      <c r="P84" t="s">
        <v>109</v>
      </c>
      <c r="Q84">
        <v>57.5</v>
      </c>
      <c r="R84" t="s">
        <v>609</v>
      </c>
      <c r="S84" s="33"/>
      <c r="T84" s="27" t="str">
        <f>IF(NOT(AND(ISNUMBER($G84),ISNUMBER($H84))),"تواريخ غير صحيحة",IF(TODAY()&lt;$G84,"لم يبدأ",IF(TODAY()&gt;$H84,IF(IF($A84="",0,COUNTIF($O:$O,$A84))+IF($B84="",0,COUNTIFS($B:$B,$B84,$G:$G,"&gt;"&amp;$H84)-IF($G84&gt;$H84,1,0))&gt;0,"منتهٍ (أُجِّرت بعده)","منتهٍ"),"ساري")))</f>
        <v>منتهٍ (أُجِّرت بعده)</v>
      </c>
      <c r="U84" s="28">
        <f>IF($X84="","",IF($X84&gt;10,11000,INDEX($AD84:$AM84,1,$X84)))</f>
        <v>11000</v>
      </c>
      <c r="V84" s="28">
        <f>IF($A84="","",SUMIFS('المدفوعات'!$F:$F,'المدفوعات'!$B:$B,$A84))</f>
        <v>66000</v>
      </c>
      <c r="W84" s="35">
        <v>0</v>
      </c>
      <c r="X84" s="34">
        <f>IF(OR(NOT(ISNUMBER($G84)),NOT(ISNUMBER($H84)),$AA84=""),"",IF(TODAY()&lt;$G84,1,MIN($AA84,DATEDIF($G84,TODAY(),"y")+1)))</f>
        <v>1</v>
      </c>
      <c r="Y84" s="27" t="str">
        <f>IF($B84="","",IFERROR(INDEX('الوحدات'!$B:$B,MATCH($B84,'الوحدات'!$A:$A,0)),""))</f>
        <v>P03</v>
      </c>
      <c r="Z84" s="34">
        <f>IF(ISNUMBER($H84),$H84-TODAY(),"")</f>
        <v>-102</v>
      </c>
      <c r="AA84" s="34">
        <f>IF(AND(ISNUMBER($G84),ISNUMBER($H84)),IFERROR(DATEDIF($G84,$H84,"y")+1,""),"")</f>
        <v>1</v>
      </c>
      <c r="AB84" s="37" t="str">
        <f>IF(OR($X84="",$X84&gt;=$AA84),"",DATE(YEAR($G84)+$X84,MONTH($G84),DAY($G84)))</f>
        <v/>
      </c>
      <c r="AC84" s="28" t="str">
        <f>IF($AB84="","",IF($X84+1&gt;10,0,INDEX($AD84:$AM84,1,$X84+1)))</f>
        <v/>
      </c>
      <c r="AD84" s="28">
        <f>IF($AA84="","",IFERROR(VALUE(MID($AN84,SEARCH(";1:",$AN84)+3,SEARCH(";",$AN84,SEARCH(";1:",$AN84)+3)-SEARCH(";1:",$AN84)-3)),$I84))</f>
        <v>11000</v>
      </c>
      <c r="AE84" s="28" t="str">
        <f>IF(OR($AA84="",2&gt;$AA84),"",IFERROR(VALUE(MID($AN84,SEARCH(";2:",$AN84)+3,SEARCH(";",$AN84,SEARCH(";2:",$AN84)+3)-SEARCH(";2:",$AN84)-3)),ROUND($AD84*(1+$J84/100),0)))</f>
        <v/>
      </c>
      <c r="AF84" s="28" t="str">
        <f>IF(OR($AA84="",3&gt;$AA84),"",IFERROR(VALUE(MID($AN84,SEARCH(";3:",$AN84)+3,SEARCH(";",$AN84,SEARCH(";3:",$AN84)+3)-SEARCH(";3:",$AN84)-3)),ROUND($AE84*(1+$J84/100),0)))</f>
        <v/>
      </c>
      <c r="AG84" s="28" t="str">
        <f>IF(OR($AA84="",4&gt;$AA84),"",IFERROR(VALUE(MID($AN84,SEARCH(";4:",$AN84)+3,SEARCH(";",$AN84,SEARCH(";4:",$AN84)+3)-SEARCH(";4:",$AN84)-3)),ROUND($AF84*(1+$J84/100),0)))</f>
        <v/>
      </c>
      <c r="AH84" s="28" t="str">
        <f>IF(OR($AA84="",5&gt;$AA84),"",IFERROR(VALUE(MID($AN84,SEARCH(";5:",$AN84)+3,SEARCH(";",$AN84,SEARCH(";5:",$AN84)+3)-SEARCH(";5:",$AN84)-3)),ROUND($AG84*(1+$J84/100),0)))</f>
        <v/>
      </c>
      <c r="AI84" s="28" t="str">
        <f>IF(OR($AA84="",6&gt;$AA84),"",IFERROR(VALUE(MID($AN84,SEARCH(";6:",$AN84)+3,SEARCH(";",$AN84,SEARCH(";6:",$AN84)+3)-SEARCH(";6:",$AN84)-3)),ROUND($AH84*(1+$J84/100),0)))</f>
        <v/>
      </c>
      <c r="AJ84" s="28" t="str">
        <f>IF(OR($AA84="",7&gt;$AA84),"",IFERROR(VALUE(MID($AN84,SEARCH(";7:",$AN84)+3,SEARCH(";",$AN84,SEARCH(";7:",$AN84)+3)-SEARCH(";7:",$AN84)-3)),ROUND($AI84*(1+$J84/100),0)))</f>
        <v/>
      </c>
      <c r="AK84" s="28" t="str">
        <f>IF(OR($AA84="",8&gt;$AA84),"",IFERROR(VALUE(MID($AN84,SEARCH(";8:",$AN84)+3,SEARCH(";",$AN84,SEARCH(";8:",$AN84)+3)-SEARCH(";8:",$AN84)-3)),ROUND($AJ84*(1+$J84/100),0)))</f>
        <v/>
      </c>
      <c r="AL84" s="28" t="str">
        <f>IF(OR($AA84="",9&gt;$AA84),"",IFERROR(VALUE(MID($AN84,SEARCH(";9:",$AN84)+3,SEARCH(";",$AN84,SEARCH(";9:",$AN84)+3)-SEARCH(";9:",$AN84)-3)),ROUND($AK84*(1+$J84/100),0)))</f>
        <v/>
      </c>
      <c r="AM84" s="28" t="str">
        <f>IF(OR($AA84="",10&gt;$AA84),"",IFERROR(VALUE(MID($AN84,SEARCH(";10:",$AN84)+4,SEARCH(";",$AN84,SEARCH(";10:",$AN84)+4)-SEARCH(";10:",$AN84)-4)),ROUND($AL84*(1+$J84/100),0)))</f>
        <v/>
      </c>
      <c r="AN84" s="36" t="str">
        <f>";"&amp;SUBSTITUTE(SUBSTITUTE(SUBSTITUTE(SUBSTITUTE(SUBSTITUTE(SUBSTITUTE($K84," ",""),"،",";"),CHAR(10),";"),"=",":"),",",""),"٫",".")&amp;";"</f>
        <v>;;</v>
      </c>
      <c r="AO84" s="36" t="str">
        <f>IF($T84="ساري",$B84,"")</f>
        <v/>
      </c>
    </row>
    <row r="85" spans="1:41" x14ac:dyDescent="0.25">
      <c r="A85" t="s">
        <v>391</v>
      </c>
      <c r="B85" t="s">
        <v>392</v>
      </c>
      <c r="C85" t="s">
        <v>393</v>
      </c>
      <c r="D85" s="27" t="str">
        <f>IF($Y85="","",IFERROR(INDEX('المشاريع'!$B:$B,MATCH($Y85,'المشاريع'!$A:$A,0)),""))</f>
        <v>ابو بكر</v>
      </c>
      <c r="E85" s="27" t="str">
        <f>IF($B85="","",IFERROR(INDEX('الوحدات'!$D:$D,MATCH($B85,'الوحدات'!$A:$A,0)),""))</f>
        <v>506</v>
      </c>
      <c r="F85" s="27" t="str">
        <f>IF($C85="","",IFERROR(INDEX('العملاء'!$B:$B,MATCH($C85,'العملاء'!$A:$A,0)),""))</f>
        <v>د/ آية هشام رشاد</v>
      </c>
      <c r="G85" s="33">
        <v>46023</v>
      </c>
      <c r="H85" s="33">
        <v>46173</v>
      </c>
      <c r="I85" s="39">
        <v>17000</v>
      </c>
      <c r="J85">
        <v>0</v>
      </c>
      <c r="K85" t="s">
        <v>35</v>
      </c>
      <c r="L85" s="39">
        <v>0</v>
      </c>
      <c r="M85" t="s">
        <v>584</v>
      </c>
      <c r="N85">
        <v>1</v>
      </c>
      <c r="O85" t="s">
        <v>35</v>
      </c>
      <c r="P85" t="s">
        <v>109</v>
      </c>
      <c r="Q85">
        <v>58.5</v>
      </c>
      <c r="R85" t="s">
        <v>609</v>
      </c>
      <c r="S85" s="33"/>
      <c r="T85" s="27" t="str">
        <f>IF(NOT(AND(ISNUMBER($G85),ISNUMBER($H85))),"تواريخ غير صحيحة",IF(TODAY()&lt;$G85,"لم يبدأ",IF(TODAY()&gt;$H85,IF(IF($A85="",0,COUNTIF($O:$O,$A85))+IF($B85="",0,COUNTIFS($B:$B,$B85,$G:$G,"&gt;"&amp;$H85)-IF($G85&gt;$H85,1,0))&gt;0,"منتهٍ (أُجِّرت بعده)","منتهٍ"),"ساري")))</f>
        <v>منتهٍ (أُجِّرت بعده)</v>
      </c>
      <c r="U85" s="28">
        <f>IF($X85="","",IF($X85&gt;10,17000,INDEX($AD85:$AM85,1,$X85)))</f>
        <v>17000</v>
      </c>
      <c r="V85" s="28">
        <f>IF($A85="","",SUMIFS('المدفوعات'!$F:$F,'المدفوعات'!$B:$B,$A85))</f>
        <v>85000</v>
      </c>
      <c r="W85" s="35">
        <v>0</v>
      </c>
      <c r="X85" s="34">
        <f>IF(OR(NOT(ISNUMBER($G85)),NOT(ISNUMBER($H85)),$AA85=""),"",IF(TODAY()&lt;$G85,1,MIN($AA85,DATEDIF($G85,TODAY(),"y")+1)))</f>
        <v>1</v>
      </c>
      <c r="Y85" s="27" t="str">
        <f>IF($B85="","",IFERROR(INDEX('الوحدات'!$B:$B,MATCH($B85,'الوحدات'!$A:$A,0)),""))</f>
        <v>P03</v>
      </c>
      <c r="Z85" s="34">
        <f>IF(ISNUMBER($H85),$H85-TODAY(),"")</f>
        <v>-132</v>
      </c>
      <c r="AA85" s="34">
        <f>IF(AND(ISNUMBER($G85),ISNUMBER($H85)),IFERROR(DATEDIF($G85,$H85,"y")+1,""),"")</f>
        <v>1</v>
      </c>
      <c r="AB85" s="37" t="str">
        <f>IF(OR($X85="",$X85&gt;=$AA85),"",DATE(YEAR($G85)+$X85,MONTH($G85),DAY($G85)))</f>
        <v/>
      </c>
      <c r="AC85" s="28" t="str">
        <f>IF($AB85="","",IF($X85+1&gt;10,0,INDEX($AD85:$AM85,1,$X85+1)))</f>
        <v/>
      </c>
      <c r="AD85" s="28">
        <f>IF($AA85="","",IFERROR(VALUE(MID($AN85,SEARCH(";1:",$AN85)+3,SEARCH(";",$AN85,SEARCH(";1:",$AN85)+3)-SEARCH(";1:",$AN85)-3)),$I85))</f>
        <v>17000</v>
      </c>
      <c r="AE85" s="28" t="str">
        <f>IF(OR($AA85="",2&gt;$AA85),"",IFERROR(VALUE(MID($AN85,SEARCH(";2:",$AN85)+3,SEARCH(";",$AN85,SEARCH(";2:",$AN85)+3)-SEARCH(";2:",$AN85)-3)),ROUND($AD85*(1+$J85/100),0)))</f>
        <v/>
      </c>
      <c r="AF85" s="28" t="str">
        <f>IF(OR($AA85="",3&gt;$AA85),"",IFERROR(VALUE(MID($AN85,SEARCH(";3:",$AN85)+3,SEARCH(";",$AN85,SEARCH(";3:",$AN85)+3)-SEARCH(";3:",$AN85)-3)),ROUND($AE85*(1+$J85/100),0)))</f>
        <v/>
      </c>
      <c r="AG85" s="28" t="str">
        <f>IF(OR($AA85="",4&gt;$AA85),"",IFERROR(VALUE(MID($AN85,SEARCH(";4:",$AN85)+3,SEARCH(";",$AN85,SEARCH(";4:",$AN85)+3)-SEARCH(";4:",$AN85)-3)),ROUND($AF85*(1+$J85/100),0)))</f>
        <v/>
      </c>
      <c r="AH85" s="28" t="str">
        <f>IF(OR($AA85="",5&gt;$AA85),"",IFERROR(VALUE(MID($AN85,SEARCH(";5:",$AN85)+3,SEARCH(";",$AN85,SEARCH(";5:",$AN85)+3)-SEARCH(";5:",$AN85)-3)),ROUND($AG85*(1+$J85/100),0)))</f>
        <v/>
      </c>
      <c r="AI85" s="28" t="str">
        <f>IF(OR($AA85="",6&gt;$AA85),"",IFERROR(VALUE(MID($AN85,SEARCH(";6:",$AN85)+3,SEARCH(";",$AN85,SEARCH(";6:",$AN85)+3)-SEARCH(";6:",$AN85)-3)),ROUND($AH85*(1+$J85/100),0)))</f>
        <v/>
      </c>
      <c r="AJ85" s="28" t="str">
        <f>IF(OR($AA85="",7&gt;$AA85),"",IFERROR(VALUE(MID($AN85,SEARCH(";7:",$AN85)+3,SEARCH(";",$AN85,SEARCH(";7:",$AN85)+3)-SEARCH(";7:",$AN85)-3)),ROUND($AI85*(1+$J85/100),0)))</f>
        <v/>
      </c>
      <c r="AK85" s="28" t="str">
        <f>IF(OR($AA85="",8&gt;$AA85),"",IFERROR(VALUE(MID($AN85,SEARCH(";8:",$AN85)+3,SEARCH(";",$AN85,SEARCH(";8:",$AN85)+3)-SEARCH(";8:",$AN85)-3)),ROUND($AJ85*(1+$J85/100),0)))</f>
        <v/>
      </c>
      <c r="AL85" s="28" t="str">
        <f>IF(OR($AA85="",9&gt;$AA85),"",IFERROR(VALUE(MID($AN85,SEARCH(";9:",$AN85)+3,SEARCH(";",$AN85,SEARCH(";9:",$AN85)+3)-SEARCH(";9:",$AN85)-3)),ROUND($AK85*(1+$J85/100),0)))</f>
        <v/>
      </c>
      <c r="AM85" s="28" t="str">
        <f>IF(OR($AA85="",10&gt;$AA85),"",IFERROR(VALUE(MID($AN85,SEARCH(";10:",$AN85)+4,SEARCH(";",$AN85,SEARCH(";10:",$AN85)+4)-SEARCH(";10:",$AN85)-4)),ROUND($AL85*(1+$J85/100),0)))</f>
        <v/>
      </c>
      <c r="AN85" s="36" t="str">
        <f>";"&amp;SUBSTITUTE(SUBSTITUTE(SUBSTITUTE(SUBSTITUTE(SUBSTITUTE(SUBSTITUTE($K85," ",""),"،",";"),CHAR(10),";"),"=",":"),",",""),"٫",".")&amp;";"</f>
        <v>;;</v>
      </c>
      <c r="AO85" s="36" t="str">
        <f>IF($T85="ساري",$B85,"")</f>
        <v/>
      </c>
    </row>
    <row r="86" spans="1:41" x14ac:dyDescent="0.25">
      <c r="A86" t="s">
        <v>433</v>
      </c>
      <c r="B86" t="s">
        <v>434</v>
      </c>
      <c r="C86" t="s">
        <v>435</v>
      </c>
      <c r="D86" s="27" t="str">
        <f>IF($Y86="","",IFERROR(INDEX('المشاريع'!$B:$B,MATCH($Y86,'المشاريع'!$A:$A,0)),""))</f>
        <v>ابو بكر</v>
      </c>
      <c r="E86" s="27" t="str">
        <f>IF($B86="","",IFERROR(INDEX('الوحدات'!$D:$D,MATCH($B86,'الوحدات'!$A:$A,0)),""))</f>
        <v>605</v>
      </c>
      <c r="F86" s="27" t="str">
        <f>IF($C86="","",IFERROR(INDEX('العملاء'!$B:$B,MATCH($C86,'العملاء'!$A:$A,0)),""))</f>
        <v>شريف هاني فهمي</v>
      </c>
      <c r="G86" s="33">
        <v>46023</v>
      </c>
      <c r="H86" s="33">
        <v>46218</v>
      </c>
      <c r="I86" s="39">
        <v>8775</v>
      </c>
      <c r="J86">
        <v>0</v>
      </c>
      <c r="K86" t="s">
        <v>35</v>
      </c>
      <c r="L86" s="39">
        <v>0</v>
      </c>
      <c r="M86" t="s">
        <v>584</v>
      </c>
      <c r="N86">
        <v>1</v>
      </c>
      <c r="O86" t="s">
        <v>35</v>
      </c>
      <c r="P86" t="s">
        <v>109</v>
      </c>
      <c r="Q86">
        <v>64.5</v>
      </c>
      <c r="R86" t="s">
        <v>609</v>
      </c>
      <c r="S86" s="33"/>
      <c r="T86" s="27" t="str">
        <f>IF(NOT(AND(ISNUMBER($G86),ISNUMBER($H86))),"تواريخ غير صحيحة",IF(TODAY()&lt;$G86,"لم يبدأ",IF(TODAY()&gt;$H86,IF(IF($A86="",0,COUNTIF($O:$O,$A86))+IF($B86="",0,COUNTIFS($B:$B,$B86,$G:$G,"&gt;"&amp;$H86)-IF($G86&gt;$H86,1,0))&gt;0,"منتهٍ (أُجِّرت بعده)","منتهٍ"),"ساري")))</f>
        <v>منتهٍ (أُجِّرت بعده)</v>
      </c>
      <c r="U86" s="28">
        <f>IF($X86="","",IF($X86&gt;10,8775,INDEX($AD86:$AM86,1,$X86)))</f>
        <v>8775</v>
      </c>
      <c r="V86" s="28">
        <f>IF($A86="","",SUMIFS('المدفوعات'!$F:$F,'المدفوعات'!$B:$B,$A86))</f>
        <v>52650</v>
      </c>
      <c r="W86" s="35">
        <v>4388</v>
      </c>
      <c r="X86" s="34">
        <f>IF(OR(NOT(ISNUMBER($G86)),NOT(ISNUMBER($H86)),$AA86=""),"",IF(TODAY()&lt;$G86,1,MIN($AA86,DATEDIF($G86,TODAY(),"y")+1)))</f>
        <v>1</v>
      </c>
      <c r="Y86" s="27" t="str">
        <f>IF($B86="","",IFERROR(INDEX('الوحدات'!$B:$B,MATCH($B86,'الوحدات'!$A:$A,0)),""))</f>
        <v>P03</v>
      </c>
      <c r="Z86" s="34">
        <f>IF(ISNUMBER($H86),$H86-TODAY(),"")</f>
        <v>-87</v>
      </c>
      <c r="AA86" s="34">
        <f>IF(AND(ISNUMBER($G86),ISNUMBER($H86)),IFERROR(DATEDIF($G86,$H86,"y")+1,""),"")</f>
        <v>1</v>
      </c>
      <c r="AB86" s="37" t="str">
        <f>IF(OR($X86="",$X86&gt;=$AA86),"",DATE(YEAR($G86)+$X86,MONTH($G86),DAY($G86)))</f>
        <v/>
      </c>
      <c r="AC86" s="28" t="str">
        <f>IF($AB86="","",IF($X86+1&gt;10,0,INDEX($AD86:$AM86,1,$X86+1)))</f>
        <v/>
      </c>
      <c r="AD86" s="28">
        <f>IF($AA86="","",IFERROR(VALUE(MID($AN86,SEARCH(";1:",$AN86)+3,SEARCH(";",$AN86,SEARCH(";1:",$AN86)+3)-SEARCH(";1:",$AN86)-3)),$I86))</f>
        <v>8775</v>
      </c>
      <c r="AE86" s="28" t="str">
        <f>IF(OR($AA86="",2&gt;$AA86),"",IFERROR(VALUE(MID($AN86,SEARCH(";2:",$AN86)+3,SEARCH(";",$AN86,SEARCH(";2:",$AN86)+3)-SEARCH(";2:",$AN86)-3)),ROUND($AD86*(1+$J86/100),0)))</f>
        <v/>
      </c>
      <c r="AF86" s="28" t="str">
        <f>IF(OR($AA86="",3&gt;$AA86),"",IFERROR(VALUE(MID($AN86,SEARCH(";3:",$AN86)+3,SEARCH(";",$AN86,SEARCH(";3:",$AN86)+3)-SEARCH(";3:",$AN86)-3)),ROUND($AE86*(1+$J86/100),0)))</f>
        <v/>
      </c>
      <c r="AG86" s="28" t="str">
        <f>IF(OR($AA86="",4&gt;$AA86),"",IFERROR(VALUE(MID($AN86,SEARCH(";4:",$AN86)+3,SEARCH(";",$AN86,SEARCH(";4:",$AN86)+3)-SEARCH(";4:",$AN86)-3)),ROUND($AF86*(1+$J86/100),0)))</f>
        <v/>
      </c>
      <c r="AH86" s="28" t="str">
        <f>IF(OR($AA86="",5&gt;$AA86),"",IFERROR(VALUE(MID($AN86,SEARCH(";5:",$AN86)+3,SEARCH(";",$AN86,SEARCH(";5:",$AN86)+3)-SEARCH(";5:",$AN86)-3)),ROUND($AG86*(1+$J86/100),0)))</f>
        <v/>
      </c>
      <c r="AI86" s="28" t="str">
        <f>IF(OR($AA86="",6&gt;$AA86),"",IFERROR(VALUE(MID($AN86,SEARCH(";6:",$AN86)+3,SEARCH(";",$AN86,SEARCH(";6:",$AN86)+3)-SEARCH(";6:",$AN86)-3)),ROUND($AH86*(1+$J86/100),0)))</f>
        <v/>
      </c>
      <c r="AJ86" s="28" t="str">
        <f>IF(OR($AA86="",7&gt;$AA86),"",IFERROR(VALUE(MID($AN86,SEARCH(";7:",$AN86)+3,SEARCH(";",$AN86,SEARCH(";7:",$AN86)+3)-SEARCH(";7:",$AN86)-3)),ROUND($AI86*(1+$J86/100),0)))</f>
        <v/>
      </c>
      <c r="AK86" s="28" t="str">
        <f>IF(OR($AA86="",8&gt;$AA86),"",IFERROR(VALUE(MID($AN86,SEARCH(";8:",$AN86)+3,SEARCH(";",$AN86,SEARCH(";8:",$AN86)+3)-SEARCH(";8:",$AN86)-3)),ROUND($AJ86*(1+$J86/100),0)))</f>
        <v/>
      </c>
      <c r="AL86" s="28" t="str">
        <f>IF(OR($AA86="",9&gt;$AA86),"",IFERROR(VALUE(MID($AN86,SEARCH(";9:",$AN86)+3,SEARCH(";",$AN86,SEARCH(";9:",$AN86)+3)-SEARCH(";9:",$AN86)-3)),ROUND($AK86*(1+$J86/100),0)))</f>
        <v/>
      </c>
      <c r="AM86" s="28" t="str">
        <f>IF(OR($AA86="",10&gt;$AA86),"",IFERROR(VALUE(MID($AN86,SEARCH(";10:",$AN86)+4,SEARCH(";",$AN86,SEARCH(";10:",$AN86)+4)-SEARCH(";10:",$AN86)-4)),ROUND($AL86*(1+$J86/100),0)))</f>
        <v/>
      </c>
      <c r="AN86" s="36" t="str">
        <f>";"&amp;SUBSTITUTE(SUBSTITUTE(SUBSTITUTE(SUBSTITUTE(SUBSTITUTE(SUBSTITUTE($K86," ",""),"،",";"),CHAR(10),";"),"=",":"),",",""),"٫",".")&amp;";"</f>
        <v>;;</v>
      </c>
      <c r="AO86" s="36" t="str">
        <f>IF($T86="ساري",$B86,"")</f>
        <v/>
      </c>
    </row>
    <row r="87" spans="1:41" x14ac:dyDescent="0.25">
      <c r="A87" t="s">
        <v>443</v>
      </c>
      <c r="B87" t="s">
        <v>444</v>
      </c>
      <c r="C87" t="s">
        <v>445</v>
      </c>
      <c r="D87" s="27" t="str">
        <f>IF($Y87="","",IFERROR(INDEX('المشاريع'!$B:$B,MATCH($Y87,'المشاريع'!$A:$A,0)),""))</f>
        <v>ابو بكر</v>
      </c>
      <c r="E87" s="27" t="str">
        <f>IF($B87="","",IFERROR(INDEX('الوحدات'!$D:$D,MATCH($B87,'الوحدات'!$A:$A,0)),""))</f>
        <v>606</v>
      </c>
      <c r="F87" s="27" t="str">
        <f>IF($C87="","",IFERROR(INDEX('العملاء'!$B:$B,MATCH($C87,'العملاء'!$A:$A,0)),""))</f>
        <v>شركة الياسمين للاستشارات الهندسية</v>
      </c>
      <c r="G87" s="33">
        <v>46023</v>
      </c>
      <c r="H87" s="33">
        <v>46218</v>
      </c>
      <c r="I87" s="39">
        <v>15000</v>
      </c>
      <c r="J87">
        <v>0</v>
      </c>
      <c r="K87" t="s">
        <v>35</v>
      </c>
      <c r="L87" s="39">
        <v>0</v>
      </c>
      <c r="M87" t="s">
        <v>584</v>
      </c>
      <c r="N87">
        <v>1</v>
      </c>
      <c r="O87" t="s">
        <v>35</v>
      </c>
      <c r="P87" t="s">
        <v>109</v>
      </c>
      <c r="Q87">
        <v>65.5</v>
      </c>
      <c r="R87" t="s">
        <v>609</v>
      </c>
      <c r="S87" s="33"/>
      <c r="T87" s="27" t="str">
        <f>IF(NOT(AND(ISNUMBER($G87),ISNUMBER($H87))),"تواريخ غير صحيحة",IF(TODAY()&lt;$G87,"لم يبدأ",IF(TODAY()&gt;$H87,IF(IF($A87="",0,COUNTIF($O:$O,$A87))+IF($B87="",0,COUNTIFS($B:$B,$B87,$G:$G,"&gt;"&amp;$H87)-IF($G87&gt;$H87,1,0))&gt;0,"منتهٍ (أُجِّرت بعده)","منتهٍ"),"ساري")))</f>
        <v>منتهٍ (أُجِّرت بعده)</v>
      </c>
      <c r="U87" s="28">
        <f>IF($X87="","",IF($X87&gt;10,15000,INDEX($AD87:$AM87,1,$X87)))</f>
        <v>15000</v>
      </c>
      <c r="V87" s="28">
        <f>IF($A87="","",SUMIFS('المدفوعات'!$F:$F,'المدفوعات'!$B:$B,$A87))</f>
        <v>90000</v>
      </c>
      <c r="W87" s="35">
        <v>7500</v>
      </c>
      <c r="X87" s="34">
        <f>IF(OR(NOT(ISNUMBER($G87)),NOT(ISNUMBER($H87)),$AA87=""),"",IF(TODAY()&lt;$G87,1,MIN($AA87,DATEDIF($G87,TODAY(),"y")+1)))</f>
        <v>1</v>
      </c>
      <c r="Y87" s="27" t="str">
        <f>IF($B87="","",IFERROR(INDEX('الوحدات'!$B:$B,MATCH($B87,'الوحدات'!$A:$A,0)),""))</f>
        <v>P03</v>
      </c>
      <c r="Z87" s="34">
        <f>IF(ISNUMBER($H87),$H87-TODAY(),"")</f>
        <v>-87</v>
      </c>
      <c r="AA87" s="34">
        <f>IF(AND(ISNUMBER($G87),ISNUMBER($H87)),IFERROR(DATEDIF($G87,$H87,"y")+1,""),"")</f>
        <v>1</v>
      </c>
      <c r="AB87" s="37" t="str">
        <f>IF(OR($X87="",$X87&gt;=$AA87),"",DATE(YEAR($G87)+$X87,MONTH($G87),DAY($G87)))</f>
        <v/>
      </c>
      <c r="AC87" s="28" t="str">
        <f>IF($AB87="","",IF($X87+1&gt;10,0,INDEX($AD87:$AM87,1,$X87+1)))</f>
        <v/>
      </c>
      <c r="AD87" s="28">
        <f>IF($AA87="","",IFERROR(VALUE(MID($AN87,SEARCH(";1:",$AN87)+3,SEARCH(";",$AN87,SEARCH(";1:",$AN87)+3)-SEARCH(";1:",$AN87)-3)),$I87))</f>
        <v>15000</v>
      </c>
      <c r="AE87" s="28" t="str">
        <f>IF(OR($AA87="",2&gt;$AA87),"",IFERROR(VALUE(MID($AN87,SEARCH(";2:",$AN87)+3,SEARCH(";",$AN87,SEARCH(";2:",$AN87)+3)-SEARCH(";2:",$AN87)-3)),ROUND($AD87*(1+$J87/100),0)))</f>
        <v/>
      </c>
      <c r="AF87" s="28" t="str">
        <f>IF(OR($AA87="",3&gt;$AA87),"",IFERROR(VALUE(MID($AN87,SEARCH(";3:",$AN87)+3,SEARCH(";",$AN87,SEARCH(";3:",$AN87)+3)-SEARCH(";3:",$AN87)-3)),ROUND($AE87*(1+$J87/100),0)))</f>
        <v/>
      </c>
      <c r="AG87" s="28" t="str">
        <f>IF(OR($AA87="",4&gt;$AA87),"",IFERROR(VALUE(MID($AN87,SEARCH(";4:",$AN87)+3,SEARCH(";",$AN87,SEARCH(";4:",$AN87)+3)-SEARCH(";4:",$AN87)-3)),ROUND($AF87*(1+$J87/100),0)))</f>
        <v/>
      </c>
      <c r="AH87" s="28" t="str">
        <f>IF(OR($AA87="",5&gt;$AA87),"",IFERROR(VALUE(MID($AN87,SEARCH(";5:",$AN87)+3,SEARCH(";",$AN87,SEARCH(";5:",$AN87)+3)-SEARCH(";5:",$AN87)-3)),ROUND($AG87*(1+$J87/100),0)))</f>
        <v/>
      </c>
      <c r="AI87" s="28" t="str">
        <f>IF(OR($AA87="",6&gt;$AA87),"",IFERROR(VALUE(MID($AN87,SEARCH(";6:",$AN87)+3,SEARCH(";",$AN87,SEARCH(";6:",$AN87)+3)-SEARCH(";6:",$AN87)-3)),ROUND($AH87*(1+$J87/100),0)))</f>
        <v/>
      </c>
      <c r="AJ87" s="28" t="str">
        <f>IF(OR($AA87="",7&gt;$AA87),"",IFERROR(VALUE(MID($AN87,SEARCH(";7:",$AN87)+3,SEARCH(";",$AN87,SEARCH(";7:",$AN87)+3)-SEARCH(";7:",$AN87)-3)),ROUND($AI87*(1+$J87/100),0)))</f>
        <v/>
      </c>
      <c r="AK87" s="28" t="str">
        <f>IF(OR($AA87="",8&gt;$AA87),"",IFERROR(VALUE(MID($AN87,SEARCH(";8:",$AN87)+3,SEARCH(";",$AN87,SEARCH(";8:",$AN87)+3)-SEARCH(";8:",$AN87)-3)),ROUND($AJ87*(1+$J87/100),0)))</f>
        <v/>
      </c>
      <c r="AL87" s="28" t="str">
        <f>IF(OR($AA87="",9&gt;$AA87),"",IFERROR(VALUE(MID($AN87,SEARCH(";9:",$AN87)+3,SEARCH(";",$AN87,SEARCH(";9:",$AN87)+3)-SEARCH(";9:",$AN87)-3)),ROUND($AK87*(1+$J87/100),0)))</f>
        <v/>
      </c>
      <c r="AM87" s="28" t="str">
        <f>IF(OR($AA87="",10&gt;$AA87),"",IFERROR(VALUE(MID($AN87,SEARCH(";10:",$AN87)+4,SEARCH(";",$AN87,SEARCH(";10:",$AN87)+4)-SEARCH(";10:",$AN87)-4)),ROUND($AL87*(1+$J87/100),0)))</f>
        <v/>
      </c>
      <c r="AN87" s="36" t="str">
        <f>";"&amp;SUBSTITUTE(SUBSTITUTE(SUBSTITUTE(SUBSTITUTE(SUBSTITUTE(SUBSTITUTE($K87," ",""),"،",";"),CHAR(10),";"),"=",":"),",",""),"٫",".")&amp;";"</f>
        <v>;;</v>
      </c>
      <c r="AO87" s="36" t="str">
        <f>IF($T87="ساري",$B87,"")</f>
        <v/>
      </c>
    </row>
    <row r="88" spans="10:14" x14ac:dyDescent="0.25"/>
    <row r="89" spans="10:14" x14ac:dyDescent="0.25"/>
    <row r="90" spans="10:14" x14ac:dyDescent="0.25"/>
    <row r="91" spans="10:14" x14ac:dyDescent="0.25"/>
    <row r="92" spans="10:14" x14ac:dyDescent="0.25"/>
    <row r="93" spans="10:14" x14ac:dyDescent="0.25"/>
    <row r="94" spans="10:14" x14ac:dyDescent="0.25"/>
    <row r="95" spans="10:14" x14ac:dyDescent="0.25"/>
    <row r="96" spans="10:14" x14ac:dyDescent="0.25"/>
    <row r="97" spans="10:14" x14ac:dyDescent="0.25"/>
    <row r="98" spans="10:14" x14ac:dyDescent="0.25"/>
    <row r="99" spans="10:14" x14ac:dyDescent="0.25"/>
    <row r="100" spans="10:14" x14ac:dyDescent="0.25"/>
    <row r="101" spans="10:14" x14ac:dyDescent="0.25"/>
    <row r="102" spans="10:14" x14ac:dyDescent="0.25"/>
    <row r="103" spans="10:14" x14ac:dyDescent="0.25"/>
    <row r="104" spans="10:14" x14ac:dyDescent="0.25"/>
    <row r="105" spans="10:14" x14ac:dyDescent="0.25"/>
    <row r="106" spans="10:14" x14ac:dyDescent="0.25"/>
    <row r="107" spans="10:14" x14ac:dyDescent="0.25"/>
    <row r="108" spans="10:14" x14ac:dyDescent="0.25"/>
    <row r="109" spans="10:14" x14ac:dyDescent="0.25"/>
    <row r="110" spans="10:14" x14ac:dyDescent="0.25"/>
    <row r="111" spans="10:14" x14ac:dyDescent="0.25"/>
    <row r="112" spans="10:14" x14ac:dyDescent="0.25"/>
    <row r="113" spans="10:14" x14ac:dyDescent="0.25"/>
    <row r="114" spans="10:14" x14ac:dyDescent="0.25"/>
    <row r="115" spans="10:14" x14ac:dyDescent="0.25"/>
    <row r="116" spans="10:14" x14ac:dyDescent="0.25"/>
    <row r="117" spans="10:14" x14ac:dyDescent="0.25"/>
    <row r="118" spans="10:14" x14ac:dyDescent="0.25"/>
    <row r="119" spans="10:14" x14ac:dyDescent="0.25"/>
    <row r="120" spans="10:14" x14ac:dyDescent="0.25"/>
    <row r="121" spans="10:14" x14ac:dyDescent="0.25"/>
    <row r="122" spans="10:14" x14ac:dyDescent="0.25"/>
    <row r="123" spans="10:14" x14ac:dyDescent="0.25"/>
    <row r="124" spans="10:14" x14ac:dyDescent="0.25"/>
    <row r="125" spans="10:14" x14ac:dyDescent="0.25"/>
    <row r="126" spans="10:14" x14ac:dyDescent="0.25"/>
    <row r="127" spans="10:14" x14ac:dyDescent="0.25"/>
    <row r="128" spans="10:14" x14ac:dyDescent="0.25"/>
    <row r="129" spans="10:14" x14ac:dyDescent="0.25"/>
    <row r="130" spans="10:14" x14ac:dyDescent="0.25"/>
    <row r="131" spans="10:14" x14ac:dyDescent="0.25"/>
    <row r="132" spans="10:14" x14ac:dyDescent="0.25"/>
    <row r="133" spans="10:14" x14ac:dyDescent="0.25"/>
    <row r="134" spans="10:14" x14ac:dyDescent="0.25"/>
    <row r="135" spans="10:14" x14ac:dyDescent="0.25"/>
    <row r="136" spans="10:14" x14ac:dyDescent="0.25"/>
    <row r="137" spans="10:14" x14ac:dyDescent="0.25"/>
    <row r="138" spans="10:14" x14ac:dyDescent="0.25"/>
    <row r="139" spans="10:14" x14ac:dyDescent="0.25"/>
    <row r="140" spans="10:14" x14ac:dyDescent="0.25"/>
    <row r="141" spans="10:14" x14ac:dyDescent="0.25"/>
    <row r="142" spans="10:14" x14ac:dyDescent="0.25"/>
    <row r="143" spans="10:14" x14ac:dyDescent="0.25"/>
    <row r="144" spans="10:14" x14ac:dyDescent="0.25"/>
    <row r="145" spans="10:14" x14ac:dyDescent="0.25"/>
    <row r="146" spans="10:14" x14ac:dyDescent="0.25"/>
    <row r="147" spans="10:14" x14ac:dyDescent="0.25"/>
    <row r="148" spans="10:14" x14ac:dyDescent="0.25"/>
    <row r="149" spans="10:14" x14ac:dyDescent="0.25"/>
    <row r="150" spans="10:14" x14ac:dyDescent="0.25"/>
    <row r="151" spans="10:14" x14ac:dyDescent="0.25"/>
    <row r="152" spans="10:14" x14ac:dyDescent="0.25"/>
    <row r="153" spans="10:14" x14ac:dyDescent="0.25"/>
    <row r="154" spans="10:14" x14ac:dyDescent="0.25"/>
    <row r="155" spans="10:14" x14ac:dyDescent="0.25"/>
    <row r="156" spans="10:14" x14ac:dyDescent="0.25"/>
    <row r="157" spans="10:14" x14ac:dyDescent="0.25"/>
    <row r="158" spans="10:14" x14ac:dyDescent="0.25"/>
    <row r="159" spans="10:14" x14ac:dyDescent="0.25"/>
    <row r="160" spans="10:14" x14ac:dyDescent="0.25"/>
    <row r="161" spans="10:14" x14ac:dyDescent="0.25"/>
    <row r="162" spans="10:14" x14ac:dyDescent="0.25"/>
    <row r="163" spans="10:14" x14ac:dyDescent="0.25"/>
    <row r="164" spans="10:14" x14ac:dyDescent="0.25"/>
    <row r="165" spans="10:14" x14ac:dyDescent="0.25"/>
    <row r="166" spans="10:14" x14ac:dyDescent="0.25"/>
    <row r="167" spans="10:14" x14ac:dyDescent="0.25"/>
    <row r="168" spans="10:14" x14ac:dyDescent="0.25"/>
    <row r="169" spans="10:14" x14ac:dyDescent="0.25"/>
    <row r="170" spans="10:14" x14ac:dyDescent="0.25"/>
    <row r="171" spans="10:14" x14ac:dyDescent="0.25"/>
    <row r="172" spans="10:14" x14ac:dyDescent="0.25"/>
    <row r="173" spans="10:14" x14ac:dyDescent="0.25"/>
    <row r="174" spans="10:14" x14ac:dyDescent="0.25"/>
    <row r="175" spans="10:14" x14ac:dyDescent="0.25"/>
    <row r="176" spans="10:14" x14ac:dyDescent="0.25"/>
    <row r="177" spans="10:14" x14ac:dyDescent="0.25"/>
    <row r="178" spans="10:14" x14ac:dyDescent="0.25"/>
    <row r="179" spans="10:14" x14ac:dyDescent="0.25"/>
    <row r="180" spans="10:14" x14ac:dyDescent="0.25"/>
    <row r="181" spans="10:14" x14ac:dyDescent="0.25"/>
    <row r="182" spans="10:14" x14ac:dyDescent="0.25"/>
    <row r="183" spans="10:14" x14ac:dyDescent="0.25"/>
    <row r="184" spans="10:14" x14ac:dyDescent="0.25"/>
    <row r="185" spans="10:14" x14ac:dyDescent="0.25"/>
    <row r="186" spans="10:14" x14ac:dyDescent="0.25"/>
    <row r="187" spans="10:14" x14ac:dyDescent="0.25"/>
    <row r="188" spans="10:14" x14ac:dyDescent="0.25"/>
    <row r="189" spans="10:14" x14ac:dyDescent="0.25"/>
    <row r="190" spans="10:14" x14ac:dyDescent="0.25"/>
    <row r="191" spans="10:14" x14ac:dyDescent="0.25"/>
    <row r="192" spans="10:14" x14ac:dyDescent="0.25"/>
    <row r="193" spans="10:14" x14ac:dyDescent="0.25"/>
    <row r="194" spans="10:14" x14ac:dyDescent="0.25"/>
    <row r="195" spans="10:14" x14ac:dyDescent="0.25"/>
    <row r="196" spans="10:14" x14ac:dyDescent="0.25"/>
    <row r="197" spans="10:14" x14ac:dyDescent="0.25"/>
    <row r="198" spans="10:14" x14ac:dyDescent="0.25"/>
    <row r="199" spans="10:14" x14ac:dyDescent="0.25"/>
    <row r="200" spans="10:14" x14ac:dyDescent="0.25"/>
  </sheetData>
  <autoFilter ref="A1:AO87"/>
  <dataValidations count="6">
    <dataValidation type="decimal" allowBlank="1" showErrorMessage="1" errorTitle="نسبة غير صحيحة" error="اكتب الرقم فقط: 10 تعني 10%" sqref="J10:J200">
      <formula1>0</formula1>
      <formula2>100</formula2>
    </dataValidation>
    <dataValidation type="decimal" allowBlank="1" showErrorMessage="1" errorTitle="نسبة غير صحيحة" error="اكتب الرقم فقط: 10 تعني 10%" sqref="J2:J200">
      <formula1>0</formula1>
      <formula2>100</formula2>
    </dataValidation>
    <dataValidation type="list" allowBlank="1" showErrorMessage="1" errorTitle="قيمة غير مسموحة" error="اختر من القائمة: محتفظ به / مردود / مخصوم / بدون تأمين" sqref="M10:M200">
      <formula1>"محتفظ به,مردود,مخصوم,بدون تأمين"</formula1>
    </dataValidation>
    <dataValidation type="list" allowBlank="1" showErrorMessage="1" errorTitle="قيمة غير مسموحة" error="اختر من القائمة: محتفظ به / مردود / مخصوم / بدون تأمين" sqref="M2:M200">
      <formula1>"محتفظ به,مردود,مخصوم,بدون تأمين"</formula1>
    </dataValidation>
    <dataValidation type="whole" allowBlank="1" showErrorMessage="1" errorTitle="يوم غير صحيح" error="اكتب يومًا من 1 إلى 31" sqref="N10:N200">
      <formula1>1</formula1>
      <formula2>31</formula2>
    </dataValidation>
    <dataValidation type="whole" allowBlank="1" showErrorMessage="1" errorTitle="يوم غير صحيح" error="اكتب يومًا من 1 إلى 31" sqref="N2:N200">
      <formula1>1</formula1>
      <formula2>31</formula2>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10"/>
  <sheetViews>
    <sheetView workbookViewId="0" rightToLeft="1">
      <pane xSplit="1" ySplit="1" topLeftCell="B2" activePane="bottomRight" state="frozen"/>
      <selection pane="bottomRight"/>
    </sheetView>
  </sheetViews>
  <sheetFormatPr defaultRowHeight="15" outlineLevelRow="0" outlineLevelCol="0" x14ac:dyDescent="55"/>
  <cols>
    <col min="1" max="1" width="16" customWidth="1"/>
    <col min="2" max="2" width="10" customWidth="1"/>
    <col min="3" max="3" width="30" customWidth="1"/>
    <col min="4" max="4" width="12" customWidth="1"/>
    <col min="5" max="5" width="10" customWidth="1"/>
    <col min="6" max="6" width="14" customWidth="1"/>
    <col min="7" max="7" width="12" customWidth="1"/>
    <col min="8" max="8" width="14" customWidth="1"/>
    <col min="9" max="9" width="16" customWidth="1"/>
    <col min="10" max="10" width="30" customWidth="1"/>
    <col min="11" max="11" width="10" customWidth="1"/>
    <col min="12" max="12" width="12" customWidth="1"/>
    <col min="13" max="13" width="16" customWidth="1"/>
  </cols>
  <sheetData>
    <row r="1" ht="28" customHeight="1" spans="1:13" x14ac:dyDescent="0.25">
      <c r="A1" s="3" t="s">
        <v>610</v>
      </c>
      <c r="B1" s="3" t="s">
        <v>26</v>
      </c>
      <c r="C1" s="4" t="s">
        <v>554</v>
      </c>
      <c r="D1" s="4" t="s">
        <v>6</v>
      </c>
      <c r="E1" s="3" t="s">
        <v>611</v>
      </c>
      <c r="F1" s="3" t="s">
        <v>612</v>
      </c>
      <c r="G1" s="3" t="s">
        <v>613</v>
      </c>
      <c r="H1" s="3" t="s">
        <v>614</v>
      </c>
      <c r="I1" s="3" t="s">
        <v>615</v>
      </c>
      <c r="J1" s="3" t="s">
        <v>25</v>
      </c>
      <c r="K1" s="3" t="s">
        <v>616</v>
      </c>
      <c r="L1" s="3" t="s">
        <v>617</v>
      </c>
      <c r="M1" s="4" t="s">
        <v>3</v>
      </c>
    </row>
    <row r="2" spans="1:13" x14ac:dyDescent="0.25">
      <c r="A2" t="s">
        <v>618</v>
      </c>
      <c r="B2" t="s">
        <v>37</v>
      </c>
      <c r="C2" s="27" t="str">
        <f>IF($B2="","",IFERROR(INDEX('العقود'!$F:$F,MATCH($B2,'العقود'!$A:$A,0)),""))</f>
        <v>عمرو أيمن زكي</v>
      </c>
      <c r="D2" s="27" t="str">
        <f>IF($B2="","",IFERROR(INDEX('العقود'!$E:$E,MATCH($B2,'العقود'!$A:$A,0)),""))</f>
        <v>محل</v>
      </c>
      <c r="E2" s="38" t="s">
        <v>619</v>
      </c>
      <c r="F2" s="39">
        <v>12705</v>
      </c>
      <c r="G2" s="33"/>
      <c r="H2" t="s">
        <v>620</v>
      </c>
      <c r="I2" t="s">
        <v>35</v>
      </c>
      <c r="J2" t="s">
        <v>35</v>
      </c>
      <c r="K2" t="s">
        <v>621</v>
      </c>
      <c r="L2" s="33">
        <v>46305</v>
      </c>
      <c r="M2" s="27" t="str">
        <f>IF($B2="","",IFERROR(INDEX('العقود'!$D:$D,MATCH($B2,'العقود'!$A:$A,0)),""))</f>
        <v>بابل</v>
      </c>
    </row>
    <row r="3" spans="1:13" x14ac:dyDescent="0.25">
      <c r="A3" t="s">
        <v>622</v>
      </c>
      <c r="B3" t="s">
        <v>44</v>
      </c>
      <c r="C3" s="27" t="str">
        <f>IF($B3="","",IFERROR(INDEX('العقود'!$F:$F,MATCH($B3,'العقود'!$A:$A,0)),""))</f>
        <v>شركة البركة للمقاولات</v>
      </c>
      <c r="D3" s="27" t="str">
        <f>IF($B3="","",IFERROR(INDEX('العقود'!$E:$E,MATCH($B3,'العقود'!$A:$A,0)),""))</f>
        <v>محل</v>
      </c>
      <c r="E3" s="38" t="s">
        <v>619</v>
      </c>
      <c r="F3" s="39">
        <v>30500</v>
      </c>
      <c r="G3" s="33"/>
      <c r="H3" t="s">
        <v>620</v>
      </c>
      <c r="I3" t="s">
        <v>35</v>
      </c>
      <c r="J3" t="s">
        <v>35</v>
      </c>
      <c r="K3" t="s">
        <v>621</v>
      </c>
      <c r="L3" s="33">
        <v>46305</v>
      </c>
      <c r="M3" s="27" t="str">
        <f>IF($B3="","",IFERROR(INDEX('العقود'!$D:$D,MATCH($B3,'العقود'!$A:$A,0)),""))</f>
        <v>بابل</v>
      </c>
    </row>
    <row r="4" spans="1:13" x14ac:dyDescent="0.25">
      <c r="A4" t="s">
        <v>623</v>
      </c>
      <c r="B4" t="s">
        <v>52</v>
      </c>
      <c r="C4" s="27" t="str">
        <f>IF($B4="","",IFERROR(INDEX('العقود'!$F:$F,MATCH($B4,'العقود'!$A:$A,0)),""))</f>
        <v>شركة الأفق لتكنولوجيا المعلومات</v>
      </c>
      <c r="D4" s="27" t="str">
        <f>IF($B4="","",IFERROR(INDEX('العقود'!$E:$E,MATCH($B4,'العقود'!$A:$A,0)),""))</f>
        <v>ميزان 1/2</v>
      </c>
      <c r="E4" s="38" t="s">
        <v>619</v>
      </c>
      <c r="F4" s="39">
        <v>45100</v>
      </c>
      <c r="G4" s="33"/>
      <c r="H4" t="s">
        <v>620</v>
      </c>
      <c r="I4" t="s">
        <v>35</v>
      </c>
      <c r="J4" t="s">
        <v>35</v>
      </c>
      <c r="K4" t="s">
        <v>621</v>
      </c>
      <c r="L4" s="33">
        <v>46305</v>
      </c>
      <c r="M4" s="27" t="str">
        <f>IF($B4="","",IFERROR(INDEX('العقود'!$D:$D,MATCH($B4,'العقود'!$A:$A,0)),""))</f>
        <v>بابل</v>
      </c>
    </row>
    <row r="5" spans="1:13" x14ac:dyDescent="0.25">
      <c r="A5" t="s">
        <v>624</v>
      </c>
      <c r="B5" t="s">
        <v>59</v>
      </c>
      <c r="C5" s="27" t="str">
        <f>IF($B5="","",IFERROR(INDEX('العقود'!$F:$F,MATCH($B5,'العقود'!$A:$A,0)),""))</f>
        <v>شركة النور للإنتاج الفني</v>
      </c>
      <c r="D5" s="27" t="str">
        <f>IF($B5="","",IFERROR(INDEX('العقود'!$E:$E,MATCH($B5,'العقود'!$A:$A,0)),""))</f>
        <v>ميزان 3</v>
      </c>
      <c r="E5" s="38" t="s">
        <v>619</v>
      </c>
      <c r="F5" s="39">
        <v>41800</v>
      </c>
      <c r="G5" s="33"/>
      <c r="H5" t="s">
        <v>620</v>
      </c>
      <c r="I5" t="s">
        <v>35</v>
      </c>
      <c r="J5" t="s">
        <v>35</v>
      </c>
      <c r="K5" t="s">
        <v>621</v>
      </c>
      <c r="L5" s="33">
        <v>46305</v>
      </c>
      <c r="M5" s="27" t="str">
        <f>IF($B5="","",IFERROR(INDEX('العقود'!$D:$D,MATCH($B5,'العقود'!$A:$A,0)),""))</f>
        <v>بابل</v>
      </c>
    </row>
    <row r="6" spans="1:13" x14ac:dyDescent="0.25">
      <c r="A6" t="s">
        <v>625</v>
      </c>
      <c r="B6" t="s">
        <v>63</v>
      </c>
      <c r="C6" s="27" t="str">
        <f>IF($B6="","",IFERROR(INDEX('العقود'!$F:$F,MATCH($B6,'العقود'!$A:$A,0)),""))</f>
        <v>شركة الأفق لتكنولوجيا المعلومات</v>
      </c>
      <c r="D6" s="27" t="str">
        <f>IF($B6="","",IFERROR(INDEX('العقود'!$E:$E,MATCH($B6,'العقود'!$A:$A,0)),""))</f>
        <v>الدور الثاني</v>
      </c>
      <c r="E6" s="38" t="s">
        <v>619</v>
      </c>
      <c r="F6" s="39">
        <v>83600</v>
      </c>
      <c r="G6" s="33"/>
      <c r="H6" t="s">
        <v>620</v>
      </c>
      <c r="I6" t="s">
        <v>35</v>
      </c>
      <c r="J6" t="s">
        <v>35</v>
      </c>
      <c r="K6" t="s">
        <v>621</v>
      </c>
      <c r="L6" s="33">
        <v>46305</v>
      </c>
      <c r="M6" s="27" t="str">
        <f>IF($B6="","",IFERROR(INDEX('العقود'!$D:$D,MATCH($B6,'العقود'!$A:$A,0)),""))</f>
        <v>بابل</v>
      </c>
    </row>
    <row r="7" spans="1:13" x14ac:dyDescent="0.25">
      <c r="A7" t="s">
        <v>626</v>
      </c>
      <c r="B7" t="s">
        <v>70</v>
      </c>
      <c r="C7" s="27" t="str">
        <f>IF($B7="","",IFERROR(INDEX('العقود'!$F:$F,MATCH($B7,'العقود'!$A:$A,0)),""))</f>
        <v>شركة الأمل للاستشارات الهندسية</v>
      </c>
      <c r="D7" s="27" t="str">
        <f>IF($B7="","",IFERROR(INDEX('العقود'!$E:$E,MATCH($B7,'العقود'!$A:$A,0)),""))</f>
        <v>مكتب 42</v>
      </c>
      <c r="E7" s="38" t="s">
        <v>619</v>
      </c>
      <c r="F7" s="39">
        <v>30250</v>
      </c>
      <c r="G7" s="33"/>
      <c r="H7" t="s">
        <v>620</v>
      </c>
      <c r="I7" t="s">
        <v>35</v>
      </c>
      <c r="J7" t="s">
        <v>35</v>
      </c>
      <c r="K7" t="s">
        <v>621</v>
      </c>
      <c r="L7" s="33">
        <v>46305</v>
      </c>
      <c r="M7" s="27" t="str">
        <f>IF($B7="","",IFERROR(INDEX('العقود'!$D:$D,MATCH($B7,'العقود'!$A:$A,0)),""))</f>
        <v>بابل</v>
      </c>
    </row>
    <row r="8" spans="1:13" x14ac:dyDescent="0.25">
      <c r="A8" t="s">
        <v>627</v>
      </c>
      <c r="B8" t="s">
        <v>76</v>
      </c>
      <c r="C8" s="27" t="str">
        <f>IF($B8="","",IFERROR(INDEX('العقود'!$F:$F,MATCH($B8,'العقود'!$A:$A,0)),""))</f>
        <v>عمرو إبراهيم فوزي</v>
      </c>
      <c r="D8" s="27" t="str">
        <f>IF($B8="","",IFERROR(INDEX('العقود'!$E:$E,MATCH($B8,'العقود'!$A:$A,0)),""))</f>
        <v>مكتب 61</v>
      </c>
      <c r="E8" s="38" t="s">
        <v>619</v>
      </c>
      <c r="F8" s="39">
        <v>24330</v>
      </c>
      <c r="G8" s="33"/>
      <c r="H8" t="s">
        <v>620</v>
      </c>
      <c r="I8" t="s">
        <v>35</v>
      </c>
      <c r="J8" t="s">
        <v>35</v>
      </c>
      <c r="K8" t="s">
        <v>621</v>
      </c>
      <c r="L8" s="33">
        <v>46305</v>
      </c>
      <c r="M8" s="27" t="str">
        <f>IF($B8="","",IFERROR(INDEX('العقود'!$D:$D,MATCH($B8,'العقود'!$A:$A,0)),""))</f>
        <v>بابل</v>
      </c>
    </row>
    <row r="9" spans="1:13" x14ac:dyDescent="0.25">
      <c r="A9" t="s">
        <v>628</v>
      </c>
      <c r="B9" t="s">
        <v>86</v>
      </c>
      <c r="C9" s="27" t="str">
        <f>IF($B9="","",IFERROR(INDEX('العقود'!$F:$F,MATCH($B9,'العقود'!$A:$A,0)),""))</f>
        <v>شركة المستقبل للتدريب</v>
      </c>
      <c r="D9" s="27" t="str">
        <f>IF($B9="","",IFERROR(INDEX('العقود'!$E:$E,MATCH($B9,'العقود'!$A:$A,0)),""))</f>
        <v>ميزان 1</v>
      </c>
      <c r="E9" s="38" t="s">
        <v>619</v>
      </c>
      <c r="F9" s="39">
        <v>42350</v>
      </c>
      <c r="G9" s="33"/>
      <c r="H9" t="s">
        <v>620</v>
      </c>
      <c r="I9" t="s">
        <v>35</v>
      </c>
      <c r="J9" t="s">
        <v>35</v>
      </c>
      <c r="K9" t="s">
        <v>621</v>
      </c>
      <c r="L9" s="33">
        <v>46305</v>
      </c>
      <c r="M9" s="27" t="str">
        <f>IF($B9="","",IFERROR(INDEX('العقود'!$D:$D,MATCH($B9,'العقود'!$A:$A,0)),""))</f>
        <v>محيي الدين</v>
      </c>
    </row>
    <row r="10" spans="1:13" x14ac:dyDescent="0.25">
      <c r="A10" t="s">
        <v>629</v>
      </c>
      <c r="B10" t="s">
        <v>95</v>
      </c>
      <c r="C10" s="27" t="str">
        <f>IF($B10="","",IFERROR(INDEX('العقود'!$F:$F,MATCH($B10,'العقود'!$A:$A,0)),""))</f>
        <v>شركة الياسمين للتجارة</v>
      </c>
      <c r="D10" s="27" t="str">
        <f>IF($B10="","",IFERROR(INDEX('العقود'!$E:$E,MATCH($B10,'العقود'!$A:$A,0)),""))</f>
        <v>ميزان 2</v>
      </c>
      <c r="E10" s="38" t="s">
        <v>619</v>
      </c>
      <c r="F10" s="39">
        <v>25410</v>
      </c>
      <c r="G10" s="33"/>
      <c r="H10" t="s">
        <v>620</v>
      </c>
      <c r="I10" t="s">
        <v>35</v>
      </c>
      <c r="J10" t="s">
        <v>35</v>
      </c>
      <c r="K10" t="s">
        <v>621</v>
      </c>
      <c r="L10" s="33">
        <v>46305</v>
      </c>
      <c r="M10" s="27" t="str">
        <f>IF($B10="","",IFERROR(INDEX('العقود'!$D:$D,MATCH($B10,'العقود'!$A:$A,0)),""))</f>
        <v>محيي الدين</v>
      </c>
    </row>
    <row r="11" spans="1:13" x14ac:dyDescent="0.25">
      <c r="A11" t="s">
        <v>630</v>
      </c>
      <c r="B11" t="s">
        <v>103</v>
      </c>
      <c r="C11" s="27" t="str">
        <f>IF($B11="","",IFERROR(INDEX('العقود'!$F:$F,MATCH($B11,'العقود'!$A:$A,0)),""))</f>
        <v>شركة الأفق للاستيراد والتصدير</v>
      </c>
      <c r="D11" s="27" t="str">
        <f>IF($B11="","",IFERROR(INDEX('العقود'!$E:$E,MATCH($B11,'العقود'!$A:$A,0)),""))</f>
        <v>202</v>
      </c>
      <c r="E11" s="38" t="s">
        <v>619</v>
      </c>
      <c r="F11" s="39">
        <v>46585</v>
      </c>
      <c r="G11" s="33"/>
      <c r="H11" t="s">
        <v>620</v>
      </c>
      <c r="I11" t="s">
        <v>35</v>
      </c>
      <c r="J11" t="s">
        <v>35</v>
      </c>
      <c r="K11" t="s">
        <v>621</v>
      </c>
      <c r="L11" s="33">
        <v>46305</v>
      </c>
      <c r="M11" s="27" t="str">
        <f>IF($B11="","",IFERROR(INDEX('العقود'!$D:$D,MATCH($B11,'العقود'!$A:$A,0)),""))</f>
        <v>محيي الدين</v>
      </c>
    </row>
    <row r="12" spans="1:13" x14ac:dyDescent="0.25">
      <c r="A12" t="s">
        <v>631</v>
      </c>
      <c r="B12" t="s">
        <v>110</v>
      </c>
      <c r="C12" s="27" t="str">
        <f>IF($B12="","",IFERROR(INDEX('العقود'!$F:$F,MATCH($B12,'العقود'!$A:$A,0)),""))</f>
        <v>شريف هشام فوزي</v>
      </c>
      <c r="D12" s="27" t="str">
        <f>IF($B12="","",IFERROR(INDEX('العقود'!$E:$E,MATCH($B12,'العقود'!$A:$A,0)),""))</f>
        <v>301</v>
      </c>
      <c r="E12" s="38" t="s">
        <v>619</v>
      </c>
      <c r="F12" s="39">
        <v>22990</v>
      </c>
      <c r="G12" s="33"/>
      <c r="H12" t="s">
        <v>620</v>
      </c>
      <c r="I12" t="s">
        <v>35</v>
      </c>
      <c r="J12" t="s">
        <v>35</v>
      </c>
      <c r="K12" t="s">
        <v>621</v>
      </c>
      <c r="L12" s="33">
        <v>46305</v>
      </c>
      <c r="M12" s="27" t="str">
        <f>IF($B12="","",IFERROR(INDEX('العقود'!$D:$D,MATCH($B12,'العقود'!$A:$A,0)),""))</f>
        <v>محيي الدين</v>
      </c>
    </row>
    <row r="13" spans="1:13" x14ac:dyDescent="0.25">
      <c r="A13" t="s">
        <v>632</v>
      </c>
      <c r="B13" t="s">
        <v>117</v>
      </c>
      <c r="C13" s="27" t="str">
        <f>IF($B13="","",IFERROR(INDEX('العقود'!$F:$F,MATCH($B13,'العقود'!$A:$A,0)),""))</f>
        <v>د/ باسم أمير سليم</v>
      </c>
      <c r="D13" s="27" t="str">
        <f>IF($B13="","",IFERROR(INDEX('العقود'!$E:$E,MATCH($B13,'العقود'!$A:$A,0)),""))</f>
        <v>302</v>
      </c>
      <c r="E13" s="38" t="s">
        <v>619</v>
      </c>
      <c r="F13" s="39">
        <v>35000</v>
      </c>
      <c r="G13" s="33"/>
      <c r="H13" t="s">
        <v>620</v>
      </c>
      <c r="I13" t="s">
        <v>35</v>
      </c>
      <c r="J13" t="s">
        <v>35</v>
      </c>
      <c r="K13" t="s">
        <v>621</v>
      </c>
      <c r="L13" s="33">
        <v>46305</v>
      </c>
      <c r="M13" s="27" t="str">
        <f>IF($B13="","",IFERROR(INDEX('العقود'!$D:$D,MATCH($B13,'العقود'!$A:$A,0)),""))</f>
        <v>محيي الدين</v>
      </c>
    </row>
    <row r="14" spans="1:13" x14ac:dyDescent="0.25">
      <c r="A14" t="s">
        <v>633</v>
      </c>
      <c r="B14" t="s">
        <v>126</v>
      </c>
      <c r="C14" s="27" t="str">
        <f>IF($B14="","",IFERROR(INDEX('العقود'!$F:$F,MATCH($B14,'العقود'!$A:$A,0)),""))</f>
        <v>شركة الصفوة للإنتاج الفني</v>
      </c>
      <c r="D14" s="27" t="str">
        <f>IF($B14="","",IFERROR(INDEX('العقود'!$E:$E,MATCH($B14,'العقود'!$A:$A,0)),""))</f>
        <v>303</v>
      </c>
      <c r="E14" s="38" t="s">
        <v>619</v>
      </c>
      <c r="F14" s="39">
        <v>43000</v>
      </c>
      <c r="G14" s="33"/>
      <c r="H14" t="s">
        <v>620</v>
      </c>
      <c r="I14" t="s">
        <v>35</v>
      </c>
      <c r="J14" t="s">
        <v>35</v>
      </c>
      <c r="K14" t="s">
        <v>621</v>
      </c>
      <c r="L14" s="33">
        <v>46305</v>
      </c>
      <c r="M14" s="27" t="str">
        <f>IF($B14="","",IFERROR(INDEX('العقود'!$D:$D,MATCH($B14,'العقود'!$A:$A,0)),""))</f>
        <v>محيي الدين</v>
      </c>
    </row>
    <row r="15" spans="1:13" x14ac:dyDescent="0.25">
      <c r="A15" t="s">
        <v>634</v>
      </c>
      <c r="B15" t="s">
        <v>130</v>
      </c>
      <c r="C15" s="27" t="str">
        <f>IF($B15="","",IFERROR(INDEX('العقود'!$F:$F,MATCH($B15,'العقود'!$A:$A,0)),""))</f>
        <v>شركة الصفوة للإنتاج الفني</v>
      </c>
      <c r="D15" s="27" t="str">
        <f>IF($B15="","",IFERROR(INDEX('العقود'!$E:$E,MATCH($B15,'العقود'!$A:$A,0)),""))</f>
        <v>304</v>
      </c>
      <c r="E15" s="38" t="s">
        <v>619</v>
      </c>
      <c r="F15" s="39">
        <v>25300</v>
      </c>
      <c r="G15" s="33"/>
      <c r="H15" t="s">
        <v>620</v>
      </c>
      <c r="I15" t="s">
        <v>35</v>
      </c>
      <c r="J15" t="s">
        <v>35</v>
      </c>
      <c r="K15" t="s">
        <v>621</v>
      </c>
      <c r="L15" s="33">
        <v>46305</v>
      </c>
      <c r="M15" s="27" t="str">
        <f>IF($B15="","",IFERROR(INDEX('العقود'!$D:$D,MATCH($B15,'العقود'!$A:$A,0)),""))</f>
        <v>محيي الدين</v>
      </c>
    </row>
    <row r="16" spans="1:13" x14ac:dyDescent="0.25">
      <c r="A16" t="s">
        <v>635</v>
      </c>
      <c r="B16" t="s">
        <v>136</v>
      </c>
      <c r="C16" s="27" t="str">
        <f>IF($B16="","",IFERROR(INDEX('العقود'!$F:$F,MATCH($B16,'العقود'!$A:$A,0)),""))</f>
        <v>د/ يوسف حسن مكرم</v>
      </c>
      <c r="D16" s="27" t="str">
        <f>IF($B16="","",IFERROR(INDEX('العقود'!$E:$E,MATCH($B16,'العقود'!$A:$A,0)),""))</f>
        <v>401</v>
      </c>
      <c r="E16" s="38" t="s">
        <v>619</v>
      </c>
      <c r="F16" s="39">
        <v>36025</v>
      </c>
      <c r="G16" s="33"/>
      <c r="H16" t="s">
        <v>620</v>
      </c>
      <c r="I16" t="s">
        <v>35</v>
      </c>
      <c r="J16" t="s">
        <v>35</v>
      </c>
      <c r="K16" t="s">
        <v>621</v>
      </c>
      <c r="L16" s="33">
        <v>46305</v>
      </c>
      <c r="M16" s="27" t="str">
        <f>IF($B16="","",IFERROR(INDEX('العقود'!$D:$D,MATCH($B16,'العقود'!$A:$A,0)),""))</f>
        <v>محيي الدين</v>
      </c>
    </row>
    <row r="17" spans="1:13" x14ac:dyDescent="0.25">
      <c r="A17" t="s">
        <v>636</v>
      </c>
      <c r="B17" t="s">
        <v>143</v>
      </c>
      <c r="C17" s="27" t="str">
        <f>IF($B17="","",IFERROR(INDEX('العقود'!$F:$F,MATCH($B17,'العقود'!$A:$A,0)),""))</f>
        <v>د/ فادي سعيد منصور</v>
      </c>
      <c r="D17" s="27" t="str">
        <f>IF($B17="","",IFERROR(INDEX('العقود'!$E:$E,MATCH($B17,'العقود'!$A:$A,0)),""))</f>
        <v>404</v>
      </c>
      <c r="E17" s="38" t="s">
        <v>619</v>
      </c>
      <c r="F17" s="39">
        <v>30250</v>
      </c>
      <c r="G17" s="33"/>
      <c r="H17" t="s">
        <v>620</v>
      </c>
      <c r="I17" t="s">
        <v>35</v>
      </c>
      <c r="J17" t="s">
        <v>35</v>
      </c>
      <c r="K17" t="s">
        <v>621</v>
      </c>
      <c r="L17" s="33">
        <v>46305</v>
      </c>
      <c r="M17" s="27" t="str">
        <f>IF($B17="","",IFERROR(INDEX('العقود'!$D:$D,MATCH($B17,'العقود'!$A:$A,0)),""))</f>
        <v>محيي الدين</v>
      </c>
    </row>
    <row r="18" spans="1:13" x14ac:dyDescent="0.25">
      <c r="A18" t="s">
        <v>637</v>
      </c>
      <c r="B18" t="s">
        <v>149</v>
      </c>
      <c r="C18" s="27" t="str">
        <f>IF($B18="","",IFERROR(INDEX('العقود'!$F:$F,MATCH($B18,'العقود'!$A:$A,0)),""))</f>
        <v>د/ رضوى خالد عبد الرحمن</v>
      </c>
      <c r="D18" s="27" t="str">
        <f>IF($B18="","",IFERROR(INDEX('العقود'!$E:$E,MATCH($B18,'العقود'!$A:$A,0)),""))</f>
        <v>502</v>
      </c>
      <c r="E18" s="38" t="s">
        <v>619</v>
      </c>
      <c r="F18" s="39">
        <v>19060</v>
      </c>
      <c r="G18" s="33"/>
      <c r="H18" t="s">
        <v>620</v>
      </c>
      <c r="I18" t="s">
        <v>35</v>
      </c>
      <c r="J18" t="s">
        <v>35</v>
      </c>
      <c r="K18" t="s">
        <v>621</v>
      </c>
      <c r="L18" s="33">
        <v>46305</v>
      </c>
      <c r="M18" s="27" t="str">
        <f>IF($B18="","",IFERROR(INDEX('العقود'!$D:$D,MATCH($B18,'العقود'!$A:$A,0)),""))</f>
        <v>محيي الدين</v>
      </c>
    </row>
    <row r="19" spans="1:13" x14ac:dyDescent="0.25">
      <c r="A19" t="s">
        <v>638</v>
      </c>
      <c r="B19" t="s">
        <v>156</v>
      </c>
      <c r="C19" s="27" t="str">
        <f>IF($B19="","",IFERROR(INDEX('العقود'!$F:$F,MATCH($B19,'العقود'!$A:$A,0)),""))</f>
        <v>د/ آية أيمن بدوي</v>
      </c>
      <c r="D19" s="27" t="str">
        <f>IF($B19="","",IFERROR(INDEX('العقود'!$E:$E,MATCH($B19,'العقود'!$A:$A,0)),""))</f>
        <v>503</v>
      </c>
      <c r="E19" s="38" t="s">
        <v>619</v>
      </c>
      <c r="F19" s="39">
        <v>20570</v>
      </c>
      <c r="G19" s="33"/>
      <c r="H19" t="s">
        <v>620</v>
      </c>
      <c r="I19" t="s">
        <v>35</v>
      </c>
      <c r="J19" t="s">
        <v>35</v>
      </c>
      <c r="K19" t="s">
        <v>621</v>
      </c>
      <c r="L19" s="33">
        <v>46305</v>
      </c>
      <c r="M19" s="27" t="str">
        <f>IF($B19="","",IFERROR(INDEX('العقود'!$D:$D,MATCH($B19,'العقود'!$A:$A,0)),""))</f>
        <v>محيي الدين</v>
      </c>
    </row>
    <row r="20" spans="1:13" x14ac:dyDescent="0.25">
      <c r="A20" t="s">
        <v>639</v>
      </c>
      <c r="B20" t="s">
        <v>162</v>
      </c>
      <c r="C20" s="27" t="str">
        <f>IF($B20="","",IFERROR(INDEX('العقود'!$F:$F,MATCH($B20,'العقود'!$A:$A,0)),""))</f>
        <v>محمد سعيد عبد الرحمن</v>
      </c>
      <c r="D20" s="27" t="str">
        <f>IF($B20="","",IFERROR(INDEX('العقود'!$E:$E,MATCH($B20,'العقود'!$A:$A,0)),""))</f>
        <v>504</v>
      </c>
      <c r="E20" s="38" t="s">
        <v>619</v>
      </c>
      <c r="F20" s="39">
        <v>25410</v>
      </c>
      <c r="G20" s="33"/>
      <c r="H20" t="s">
        <v>620</v>
      </c>
      <c r="I20" t="s">
        <v>35</v>
      </c>
      <c r="J20" t="s">
        <v>35</v>
      </c>
      <c r="K20" t="s">
        <v>621</v>
      </c>
      <c r="L20" s="33">
        <v>46305</v>
      </c>
      <c r="M20" s="27" t="str">
        <f>IF($B20="","",IFERROR(INDEX('العقود'!$D:$D,MATCH($B20,'العقود'!$A:$A,0)),""))</f>
        <v>محيي الدين</v>
      </c>
    </row>
    <row r="21" spans="1:13" x14ac:dyDescent="0.25">
      <c r="A21" t="s">
        <v>640</v>
      </c>
      <c r="B21" t="s">
        <v>171</v>
      </c>
      <c r="C21" s="27" t="str">
        <f>IF($B21="","",IFERROR(INDEX('العقود'!$F:$F,MATCH($B21,'العقود'!$A:$A,0)),""))</f>
        <v>شركة الأمل للإنتاج الفني</v>
      </c>
      <c r="D21" s="27" t="str">
        <f>IF($B21="","",IFERROR(INDEX('العقود'!$E:$E,MATCH($B21,'العقود'!$A:$A,0)),""))</f>
        <v>ميزان 1</v>
      </c>
      <c r="E21" s="38" t="s">
        <v>619</v>
      </c>
      <c r="F21" s="39">
        <v>40700</v>
      </c>
      <c r="G21" s="33"/>
      <c r="H21" t="s">
        <v>620</v>
      </c>
      <c r="I21" t="s">
        <v>35</v>
      </c>
      <c r="J21" t="s">
        <v>35</v>
      </c>
      <c r="K21" t="s">
        <v>621</v>
      </c>
      <c r="L21" s="33">
        <v>46305</v>
      </c>
      <c r="M21" s="27" t="str">
        <f>IF($B21="","",IFERROR(INDEX('العقود'!$D:$D,MATCH($B21,'العقود'!$A:$A,0)),""))</f>
        <v>ابو بكر</v>
      </c>
    </row>
    <row r="22" spans="1:13" x14ac:dyDescent="0.25">
      <c r="A22" t="s">
        <v>641</v>
      </c>
      <c r="B22" t="s">
        <v>177</v>
      </c>
      <c r="C22" s="27" t="str">
        <f>IF($B22="","",IFERROR(INDEX('العقود'!$F:$F,MATCH($B22,'العقود'!$A:$A,0)),""))</f>
        <v>شركة النور للاستشارات الهندسية</v>
      </c>
      <c r="D22" s="27" t="str">
        <f>IF($B22="","",IFERROR(INDEX('العقود'!$E:$E,MATCH($B22,'العقود'!$A:$A,0)),""))</f>
        <v>ميزان 2</v>
      </c>
      <c r="E22" s="38" t="s">
        <v>619</v>
      </c>
      <c r="F22" s="39">
        <v>40700</v>
      </c>
      <c r="G22" s="33"/>
      <c r="H22" t="s">
        <v>620</v>
      </c>
      <c r="I22" t="s">
        <v>35</v>
      </c>
      <c r="J22" t="s">
        <v>35</v>
      </c>
      <c r="K22" t="s">
        <v>621</v>
      </c>
      <c r="L22" s="33">
        <v>46305</v>
      </c>
      <c r="M22" s="27" t="str">
        <f>IF($B22="","",IFERROR(INDEX('العقود'!$D:$D,MATCH($B22,'العقود'!$A:$A,0)),""))</f>
        <v>ابو بكر</v>
      </c>
    </row>
    <row r="23" spans="1:13" x14ac:dyDescent="0.25">
      <c r="A23" t="s">
        <v>642</v>
      </c>
      <c r="B23" t="s">
        <v>183</v>
      </c>
      <c r="C23" s="27" t="str">
        <f>IF($B23="","",IFERROR(INDEX('العقود'!$F:$F,MATCH($B23,'العقود'!$A:$A,0)),""))</f>
        <v>عادل عمر مكرم</v>
      </c>
      <c r="D23" s="27" t="str">
        <f>IF($B23="","",IFERROR(INDEX('العقود'!$E:$E,MATCH($B23,'العقود'!$A:$A,0)),""))</f>
        <v>102</v>
      </c>
      <c r="E23" s="38" t="s">
        <v>619</v>
      </c>
      <c r="F23" s="39">
        <v>17500</v>
      </c>
      <c r="G23" s="33"/>
      <c r="H23" t="s">
        <v>620</v>
      </c>
      <c r="I23" t="s">
        <v>35</v>
      </c>
      <c r="J23" t="s">
        <v>35</v>
      </c>
      <c r="K23" t="s">
        <v>621</v>
      </c>
      <c r="L23" s="33">
        <v>46305</v>
      </c>
      <c r="M23" s="27" t="str">
        <f>IF($B23="","",IFERROR(INDEX('العقود'!$D:$D,MATCH($B23,'العقود'!$A:$A,0)),""))</f>
        <v>ابو بكر</v>
      </c>
    </row>
    <row r="24" spans="1:13" x14ac:dyDescent="0.25">
      <c r="A24" t="s">
        <v>643</v>
      </c>
      <c r="B24" t="s">
        <v>190</v>
      </c>
      <c r="C24" s="27" t="str">
        <f>IF($B24="","",IFERROR(INDEX('العقود'!$F:$F,MATCH($B24,'العقود'!$A:$A,0)),""))</f>
        <v>تامر علي بدوي</v>
      </c>
      <c r="D24" s="27" t="str">
        <f>IF($B24="","",IFERROR(INDEX('العقود'!$E:$E,MATCH($B24,'العقود'!$A:$A,0)),""))</f>
        <v>103</v>
      </c>
      <c r="E24" s="38" t="s">
        <v>619</v>
      </c>
      <c r="F24" s="39">
        <v>7000</v>
      </c>
      <c r="G24" s="33"/>
      <c r="H24" t="s">
        <v>620</v>
      </c>
      <c r="I24" t="s">
        <v>35</v>
      </c>
      <c r="J24" t="s">
        <v>35</v>
      </c>
      <c r="K24" t="s">
        <v>621</v>
      </c>
      <c r="L24" s="33">
        <v>46305</v>
      </c>
      <c r="M24" s="27" t="str">
        <f>IF($B24="","",IFERROR(INDEX('العقود'!$D:$D,MATCH($B24,'العقود'!$A:$A,0)),""))</f>
        <v>ابو بكر</v>
      </c>
    </row>
    <row r="25" spans="1:13" x14ac:dyDescent="0.25">
      <c r="A25" t="s">
        <v>644</v>
      </c>
      <c r="B25" t="s">
        <v>196</v>
      </c>
      <c r="C25" s="27" t="str">
        <f>IF($B25="","",IFERROR(INDEX('العقود'!$F:$F,MATCH($B25,'العقود'!$A:$A,0)),""))</f>
        <v>مروان محمود حسنين</v>
      </c>
      <c r="D25" s="27" t="str">
        <f>IF($B25="","",IFERROR(INDEX('العقود'!$E:$E,MATCH($B25,'العقود'!$A:$A,0)),""))</f>
        <v>104</v>
      </c>
      <c r="E25" s="38" t="s">
        <v>619</v>
      </c>
      <c r="F25" s="39">
        <v>13000</v>
      </c>
      <c r="G25" s="33"/>
      <c r="H25" t="s">
        <v>620</v>
      </c>
      <c r="I25" t="s">
        <v>35</v>
      </c>
      <c r="J25" t="s">
        <v>35</v>
      </c>
      <c r="K25" t="s">
        <v>621</v>
      </c>
      <c r="L25" s="33">
        <v>46305</v>
      </c>
      <c r="M25" s="27" t="str">
        <f>IF($B25="","",IFERROR(INDEX('العقود'!$D:$D,MATCH($B25,'العقود'!$A:$A,0)),""))</f>
        <v>ابو بكر</v>
      </c>
    </row>
    <row r="26" spans="1:13" x14ac:dyDescent="0.25">
      <c r="A26" t="s">
        <v>645</v>
      </c>
      <c r="B26" t="s">
        <v>201</v>
      </c>
      <c r="C26" s="27" t="str">
        <f>IF($B26="","",IFERROR(INDEX('العقود'!$F:$F,MATCH($B26,'العقود'!$A:$A,0)),""))</f>
        <v>عادل عمر مكرم</v>
      </c>
      <c r="D26" s="27" t="str">
        <f>IF($B26="","",IFERROR(INDEX('العقود'!$E:$E,MATCH($B26,'العقود'!$A:$A,0)),""))</f>
        <v>105</v>
      </c>
      <c r="E26" s="38" t="s">
        <v>619</v>
      </c>
      <c r="F26" s="39">
        <v>13500</v>
      </c>
      <c r="G26" s="33"/>
      <c r="H26" t="s">
        <v>620</v>
      </c>
      <c r="I26" t="s">
        <v>35</v>
      </c>
      <c r="J26" t="s">
        <v>35</v>
      </c>
      <c r="K26" t="s">
        <v>621</v>
      </c>
      <c r="L26" s="33">
        <v>46305</v>
      </c>
      <c r="M26" s="27" t="str">
        <f>IF($B26="","",IFERROR(INDEX('العقود'!$D:$D,MATCH($B26,'العقود'!$A:$A,0)),""))</f>
        <v>ابو بكر</v>
      </c>
    </row>
    <row r="27" spans="1:13" x14ac:dyDescent="0.25">
      <c r="A27" t="s">
        <v>646</v>
      </c>
      <c r="B27" t="s">
        <v>207</v>
      </c>
      <c r="C27" s="27" t="str">
        <f>IF($B27="","",IFERROR(INDEX('العقود'!$F:$F,MATCH($B27,'العقود'!$A:$A,0)),""))</f>
        <v>حسين أمير بدوي</v>
      </c>
      <c r="D27" s="27" t="str">
        <f>IF($B27="","",IFERROR(INDEX('العقود'!$E:$E,MATCH($B27,'العقود'!$A:$A,0)),""))</f>
        <v>106</v>
      </c>
      <c r="E27" s="38" t="s">
        <v>619</v>
      </c>
      <c r="F27" s="39">
        <v>7000</v>
      </c>
      <c r="G27" s="33"/>
      <c r="H27" t="s">
        <v>620</v>
      </c>
      <c r="I27" t="s">
        <v>35</v>
      </c>
      <c r="J27" t="s">
        <v>35</v>
      </c>
      <c r="K27" t="s">
        <v>621</v>
      </c>
      <c r="L27" s="33">
        <v>46305</v>
      </c>
      <c r="M27" s="27" t="str">
        <f>IF($B27="","",IFERROR(INDEX('العقود'!$D:$D,MATCH($B27,'العقود'!$A:$A,0)),""))</f>
        <v>ابو بكر</v>
      </c>
    </row>
    <row r="28" spans="1:13" x14ac:dyDescent="0.25">
      <c r="A28" t="s">
        <v>647</v>
      </c>
      <c r="B28" t="s">
        <v>211</v>
      </c>
      <c r="C28" s="27" t="str">
        <f>IF($B28="","",IFERROR(INDEX('العقود'!$F:$F,MATCH($B28,'العقود'!$A:$A,0)),""))</f>
        <v>حسين أمير بدوي</v>
      </c>
      <c r="D28" s="27" t="str">
        <f>IF($B28="","",IFERROR(INDEX('العقود'!$E:$E,MATCH($B28,'العقود'!$A:$A,0)),""))</f>
        <v>107</v>
      </c>
      <c r="E28" s="38" t="s">
        <v>619</v>
      </c>
      <c r="F28" s="39">
        <v>6000</v>
      </c>
      <c r="G28" s="33"/>
      <c r="H28" t="s">
        <v>620</v>
      </c>
      <c r="I28" t="s">
        <v>35</v>
      </c>
      <c r="J28" t="s">
        <v>35</v>
      </c>
      <c r="K28" t="s">
        <v>621</v>
      </c>
      <c r="L28" s="33">
        <v>46305</v>
      </c>
      <c r="M28" s="27" t="str">
        <f>IF($B28="","",IFERROR(INDEX('العقود'!$D:$D,MATCH($B28,'العقود'!$A:$A,0)),""))</f>
        <v>ابو بكر</v>
      </c>
    </row>
    <row r="29" spans="1:13" x14ac:dyDescent="0.25">
      <c r="A29" t="s">
        <v>648</v>
      </c>
      <c r="B29" t="s">
        <v>215</v>
      </c>
      <c r="C29" s="27" t="str">
        <f>IF($B29="","",IFERROR(INDEX('العقود'!$F:$F,MATCH($B29,'العقود'!$A:$A,0)),""))</f>
        <v>حسين أمير بدوي</v>
      </c>
      <c r="D29" s="27" t="str">
        <f>IF($B29="","",IFERROR(INDEX('العقود'!$E:$E,MATCH($B29,'العقود'!$A:$A,0)),""))</f>
        <v>108</v>
      </c>
      <c r="E29" s="38" t="s">
        <v>619</v>
      </c>
      <c r="F29" s="39">
        <v>6000</v>
      </c>
      <c r="G29" s="33"/>
      <c r="H29" t="s">
        <v>620</v>
      </c>
      <c r="I29" t="s">
        <v>35</v>
      </c>
      <c r="J29" t="s">
        <v>35</v>
      </c>
      <c r="K29" t="s">
        <v>621</v>
      </c>
      <c r="L29" s="33">
        <v>46305</v>
      </c>
      <c r="M29" s="27" t="str">
        <f>IF($B29="","",IFERROR(INDEX('العقود'!$D:$D,MATCH($B29,'العقود'!$A:$A,0)),""))</f>
        <v>ابو بكر</v>
      </c>
    </row>
    <row r="30" spans="1:13" x14ac:dyDescent="0.25">
      <c r="A30" t="s">
        <v>649</v>
      </c>
      <c r="B30" t="s">
        <v>222</v>
      </c>
      <c r="C30" s="27" t="str">
        <f>IF($B30="","",IFERROR(INDEX('العقود'!$F:$F,MATCH($B30,'العقود'!$A:$A,0)),""))</f>
        <v>شركة الأفق للتدريب</v>
      </c>
      <c r="D30" s="27" t="str">
        <f>IF($B30="","",IFERROR(INDEX('العقود'!$E:$E,MATCH($B30,'العقود'!$A:$A,0)),""))</f>
        <v>201</v>
      </c>
      <c r="E30" s="38" t="s">
        <v>619</v>
      </c>
      <c r="F30" s="39">
        <v>11495</v>
      </c>
      <c r="G30" s="33"/>
      <c r="H30" t="s">
        <v>620</v>
      </c>
      <c r="I30" t="s">
        <v>35</v>
      </c>
      <c r="J30" t="s">
        <v>35</v>
      </c>
      <c r="K30" t="s">
        <v>621</v>
      </c>
      <c r="L30" s="33">
        <v>46305</v>
      </c>
      <c r="M30" s="27" t="str">
        <f>IF($B30="","",IFERROR(INDEX('العقود'!$D:$D,MATCH($B30,'العقود'!$A:$A,0)),""))</f>
        <v>ابو بكر</v>
      </c>
    </row>
    <row r="31" spans="1:13" x14ac:dyDescent="0.25">
      <c r="A31" t="s">
        <v>650</v>
      </c>
      <c r="B31" t="s">
        <v>228</v>
      </c>
      <c r="C31" s="27" t="str">
        <f>IF($B31="","",IFERROR(INDEX('العقود'!$F:$F,MATCH($B31,'العقود'!$A:$A,0)),""))</f>
        <v>د/ نادر شريف شاكر</v>
      </c>
      <c r="D31" s="27" t="str">
        <f>IF($B31="","",IFERROR(INDEX('العقود'!$E:$E,MATCH($B31,'العقود'!$A:$A,0)),""))</f>
        <v>202</v>
      </c>
      <c r="E31" s="38" t="s">
        <v>619</v>
      </c>
      <c r="F31" s="39">
        <v>16500</v>
      </c>
      <c r="G31" s="33"/>
      <c r="H31" t="s">
        <v>620</v>
      </c>
      <c r="I31" t="s">
        <v>35</v>
      </c>
      <c r="J31" t="s">
        <v>35</v>
      </c>
      <c r="K31" t="s">
        <v>621</v>
      </c>
      <c r="L31" s="33">
        <v>46305</v>
      </c>
      <c r="M31" s="27" t="str">
        <f>IF($B31="","",IFERROR(INDEX('العقود'!$D:$D,MATCH($B31,'العقود'!$A:$A,0)),""))</f>
        <v>ابو بكر</v>
      </c>
    </row>
    <row r="32" spans="1:13" x14ac:dyDescent="0.25">
      <c r="A32" t="s">
        <v>651</v>
      </c>
      <c r="B32" t="s">
        <v>235</v>
      </c>
      <c r="C32" s="27" t="str">
        <f>IF($B32="","",IFERROR(INDEX('العقود'!$F:$F,MATCH($B32,'العقود'!$A:$A,0)),""))</f>
        <v>د/ يوسف خالد الخولي</v>
      </c>
      <c r="D32" s="27" t="str">
        <f>IF($B32="","",IFERROR(INDEX('العقود'!$E:$E,MATCH($B32,'العقود'!$A:$A,0)),""))</f>
        <v>204</v>
      </c>
      <c r="E32" s="38" t="s">
        <v>619</v>
      </c>
      <c r="F32" s="39">
        <v>12500</v>
      </c>
      <c r="G32" s="33"/>
      <c r="H32" t="s">
        <v>620</v>
      </c>
      <c r="I32" t="s">
        <v>35</v>
      </c>
      <c r="J32" t="s">
        <v>35</v>
      </c>
      <c r="K32" t="s">
        <v>621</v>
      </c>
      <c r="L32" s="33">
        <v>46305</v>
      </c>
      <c r="M32" s="27" t="str">
        <f>IF($B32="","",IFERROR(INDEX('العقود'!$D:$D,MATCH($B32,'العقود'!$A:$A,0)),""))</f>
        <v>ابو بكر</v>
      </c>
    </row>
    <row r="33" spans="1:13" x14ac:dyDescent="0.25">
      <c r="A33" t="s">
        <v>652</v>
      </c>
      <c r="B33" t="s">
        <v>246</v>
      </c>
      <c r="C33" s="27" t="str">
        <f>IF($B33="","",IFERROR(INDEX('العقود'!$F:$F,MATCH($B33,'العقود'!$A:$A,0)),""))</f>
        <v>أحمد عمرو سليم</v>
      </c>
      <c r="D33" s="27" t="str">
        <f>IF($B33="","",IFERROR(INDEX('العقود'!$E:$E,MATCH($B33,'العقود'!$A:$A,0)),""))</f>
        <v>205</v>
      </c>
      <c r="E33" s="38" t="s">
        <v>619</v>
      </c>
      <c r="F33" s="39">
        <v>14000</v>
      </c>
      <c r="G33" s="33"/>
      <c r="H33" t="s">
        <v>620</v>
      </c>
      <c r="I33" t="s">
        <v>35</v>
      </c>
      <c r="J33" t="s">
        <v>35</v>
      </c>
      <c r="K33" t="s">
        <v>621</v>
      </c>
      <c r="L33" s="33">
        <v>46305</v>
      </c>
      <c r="M33" s="27" t="str">
        <f>IF($B33="","",IFERROR(INDEX('العقود'!$D:$D,MATCH($B33,'العقود'!$A:$A,0)),""))</f>
        <v>ابو بكر</v>
      </c>
    </row>
    <row r="34" spans="1:13" x14ac:dyDescent="0.25">
      <c r="A34" t="s">
        <v>653</v>
      </c>
      <c r="B34" t="s">
        <v>253</v>
      </c>
      <c r="C34" s="27" t="str">
        <f>IF($B34="","",IFERROR(INDEX('العقود'!$F:$F,MATCH($B34,'العقود'!$A:$A,0)),""))</f>
        <v>شركة النخبة للتجارة</v>
      </c>
      <c r="D34" s="27" t="str">
        <f>IF($B34="","",IFERROR(INDEX('العقود'!$E:$E,MATCH($B34,'العقود'!$A:$A,0)),""))</f>
        <v>206</v>
      </c>
      <c r="E34" s="38" t="s">
        <v>619</v>
      </c>
      <c r="F34" s="39">
        <v>16500</v>
      </c>
      <c r="G34" s="33"/>
      <c r="H34" t="s">
        <v>620</v>
      </c>
      <c r="I34" t="s">
        <v>35</v>
      </c>
      <c r="J34" t="s">
        <v>35</v>
      </c>
      <c r="K34" t="s">
        <v>621</v>
      </c>
      <c r="L34" s="33">
        <v>46305</v>
      </c>
      <c r="M34" s="27" t="str">
        <f>IF($B34="","",IFERROR(INDEX('العقود'!$D:$D,MATCH($B34,'العقود'!$A:$A,0)),""))</f>
        <v>ابو بكر</v>
      </c>
    </row>
    <row r="35" spans="1:13" x14ac:dyDescent="0.25">
      <c r="A35" t="s">
        <v>654</v>
      </c>
      <c r="B35" t="s">
        <v>268</v>
      </c>
      <c r="C35" s="27" t="str">
        <f>IF($B35="","",IFERROR(INDEX('العقود'!$F:$F,MATCH($B35,'العقود'!$A:$A,0)),""))</f>
        <v>شركة النخبة للإنتاج الفني</v>
      </c>
      <c r="D35" s="27" t="str">
        <f>IF($B35="","",IFERROR(INDEX('العقود'!$E:$E,MATCH($B35,'العقود'!$A:$A,0)),""))</f>
        <v>208</v>
      </c>
      <c r="E35" s="38" t="s">
        <v>619</v>
      </c>
      <c r="F35" s="39">
        <v>19250</v>
      </c>
      <c r="G35" s="33"/>
      <c r="H35" t="s">
        <v>620</v>
      </c>
      <c r="I35" t="s">
        <v>35</v>
      </c>
      <c r="J35" t="s">
        <v>35</v>
      </c>
      <c r="K35" t="s">
        <v>621</v>
      </c>
      <c r="L35" s="33">
        <v>46305</v>
      </c>
      <c r="M35" s="27" t="str">
        <f>IF($B35="","",IFERROR(INDEX('العقود'!$D:$D,MATCH($B35,'العقود'!$A:$A,0)),""))</f>
        <v>ابو بكر</v>
      </c>
    </row>
    <row r="36" spans="1:13" x14ac:dyDescent="0.25">
      <c r="A36" t="s">
        <v>655</v>
      </c>
      <c r="B36" t="s">
        <v>273</v>
      </c>
      <c r="C36" s="27" t="str">
        <f>IF($B36="","",IFERROR(INDEX('العقود'!$F:$F,MATCH($B36,'العقود'!$A:$A,0)),""))</f>
        <v>أحمد طارق غانم</v>
      </c>
      <c r="D36" s="27" t="str">
        <f>IF($B36="","",IFERROR(INDEX('العقود'!$E:$E,MATCH($B36,'العقود'!$A:$A,0)),""))</f>
        <v>301</v>
      </c>
      <c r="E36" s="38" t="s">
        <v>619</v>
      </c>
      <c r="F36" s="39">
        <v>17000</v>
      </c>
      <c r="G36" s="33"/>
      <c r="H36" t="s">
        <v>620</v>
      </c>
      <c r="I36" t="s">
        <v>35</v>
      </c>
      <c r="J36" t="s">
        <v>35</v>
      </c>
      <c r="K36" t="s">
        <v>621</v>
      </c>
      <c r="L36" s="33">
        <v>46305</v>
      </c>
      <c r="M36" s="27" t="str">
        <f>IF($B36="","",IFERROR(INDEX('العقود'!$D:$D,MATCH($B36,'العقود'!$A:$A,0)),""))</f>
        <v>ابو بكر</v>
      </c>
    </row>
    <row r="37" spans="1:13" x14ac:dyDescent="0.25">
      <c r="A37" t="s">
        <v>656</v>
      </c>
      <c r="B37" t="s">
        <v>279</v>
      </c>
      <c r="C37" s="27" t="str">
        <f>IF($B37="","",IFERROR(INDEX('العقود'!$F:$F,MATCH($B37,'العقود'!$A:$A,0)),""))</f>
        <v>خالد شريف زكي</v>
      </c>
      <c r="D37" s="27" t="str">
        <f>IF($B37="","",IFERROR(INDEX('العقود'!$E:$E,MATCH($B37,'العقود'!$A:$A,0)),""))</f>
        <v>302</v>
      </c>
      <c r="E37" s="38" t="s">
        <v>619</v>
      </c>
      <c r="F37" s="39">
        <v>17000</v>
      </c>
      <c r="G37" s="33"/>
      <c r="H37" t="s">
        <v>620</v>
      </c>
      <c r="I37" t="s">
        <v>35</v>
      </c>
      <c r="J37" t="s">
        <v>35</v>
      </c>
      <c r="K37" t="s">
        <v>621</v>
      </c>
      <c r="L37" s="33">
        <v>46305</v>
      </c>
      <c r="M37" s="27" t="str">
        <f>IF($B37="","",IFERROR(INDEX('العقود'!$D:$D,MATCH($B37,'العقود'!$A:$A,0)),""))</f>
        <v>ابو بكر</v>
      </c>
    </row>
    <row r="38" spans="1:13" x14ac:dyDescent="0.25">
      <c r="A38" t="s">
        <v>657</v>
      </c>
      <c r="B38" t="s">
        <v>286</v>
      </c>
      <c r="C38" s="27" t="str">
        <f>IF($B38="","",IFERROR(INDEX('العقود'!$F:$F,MATCH($B38,'العقود'!$A:$A,0)),""))</f>
        <v>مصطفى عمر صبري</v>
      </c>
      <c r="D38" s="27" t="str">
        <f>IF($B38="","",IFERROR(INDEX('العقود'!$E:$E,MATCH($B38,'العقود'!$A:$A,0)),""))</f>
        <v>304</v>
      </c>
      <c r="E38" s="38" t="s">
        <v>619</v>
      </c>
      <c r="F38" s="39">
        <v>7565</v>
      </c>
      <c r="G38" s="33"/>
      <c r="H38" t="s">
        <v>620</v>
      </c>
      <c r="I38" t="s">
        <v>35</v>
      </c>
      <c r="J38" t="s">
        <v>35</v>
      </c>
      <c r="K38" t="s">
        <v>621</v>
      </c>
      <c r="L38" s="33">
        <v>46305</v>
      </c>
      <c r="M38" s="27" t="str">
        <f>IF($B38="","",IFERROR(INDEX('العقود'!$D:$D,MATCH($B38,'العقود'!$A:$A,0)),""))</f>
        <v>ابو بكر</v>
      </c>
    </row>
    <row r="39" spans="1:13" x14ac:dyDescent="0.25">
      <c r="A39" t="s">
        <v>658</v>
      </c>
      <c r="B39" t="s">
        <v>298</v>
      </c>
      <c r="C39" s="27" t="str">
        <f>IF($B39="","",IFERROR(INDEX('العقود'!$F:$F,MATCH($B39,'العقود'!$A:$A,0)),""))</f>
        <v>شركة النور للخدمات الطبية</v>
      </c>
      <c r="D39" s="27" t="str">
        <f>IF($B39="","",IFERROR(INDEX('العقود'!$E:$E,MATCH($B39,'العقود'!$A:$A,0)),""))</f>
        <v>305</v>
      </c>
      <c r="E39" s="38" t="s">
        <v>619</v>
      </c>
      <c r="F39" s="39">
        <v>11500</v>
      </c>
      <c r="G39" s="33"/>
      <c r="H39" t="s">
        <v>620</v>
      </c>
      <c r="I39" t="s">
        <v>35</v>
      </c>
      <c r="J39" t="s">
        <v>35</v>
      </c>
      <c r="K39" t="s">
        <v>621</v>
      </c>
      <c r="L39" s="33">
        <v>46305</v>
      </c>
      <c r="M39" s="27" t="str">
        <f>IF($B39="","",IFERROR(INDEX('العقود'!$D:$D,MATCH($B39,'العقود'!$A:$A,0)),""))</f>
        <v>ابو بكر</v>
      </c>
    </row>
    <row r="40" spans="1:13" x14ac:dyDescent="0.25">
      <c r="A40" t="s">
        <v>659</v>
      </c>
      <c r="B40" t="s">
        <v>304</v>
      </c>
      <c r="C40" s="27" t="str">
        <f>IF($B40="","",IFERROR(INDEX('العقود'!$F:$F,MATCH($B40,'العقود'!$A:$A,0)),""))</f>
        <v>سامح إبراهيم منصور</v>
      </c>
      <c r="D40" s="27" t="str">
        <f>IF($B40="","",IFERROR(INDEX('العقود'!$E:$E,MATCH($B40,'العقود'!$A:$A,0)),""))</f>
        <v>306</v>
      </c>
      <c r="E40" s="38" t="s">
        <v>619</v>
      </c>
      <c r="F40" s="39">
        <v>11195</v>
      </c>
      <c r="G40" s="33"/>
      <c r="H40" t="s">
        <v>620</v>
      </c>
      <c r="I40" t="s">
        <v>35</v>
      </c>
      <c r="J40" t="s">
        <v>35</v>
      </c>
      <c r="K40" t="s">
        <v>621</v>
      </c>
      <c r="L40" s="33">
        <v>46305</v>
      </c>
      <c r="M40" s="27" t="str">
        <f>IF($B40="","",IFERROR(INDEX('العقود'!$D:$D,MATCH($B40,'العقود'!$A:$A,0)),""))</f>
        <v>ابو بكر</v>
      </c>
    </row>
    <row r="41" spans="1:13" x14ac:dyDescent="0.25">
      <c r="A41" t="s">
        <v>660</v>
      </c>
      <c r="B41" t="s">
        <v>311</v>
      </c>
      <c r="C41" s="27" t="str">
        <f>IF($B41="","",IFERROR(INDEX('العقود'!$F:$F,MATCH($B41,'العقود'!$A:$A,0)),""))</f>
        <v>د/ منى أمير الشريف</v>
      </c>
      <c r="D41" s="27" t="str">
        <f>IF($B41="","",IFERROR(INDEX('العقود'!$E:$E,MATCH($B41,'العقود'!$A:$A,0)),""))</f>
        <v>307</v>
      </c>
      <c r="E41" s="38" t="s">
        <v>619</v>
      </c>
      <c r="F41" s="39">
        <v>12100</v>
      </c>
      <c r="G41" s="33"/>
      <c r="H41" t="s">
        <v>620</v>
      </c>
      <c r="I41" t="s">
        <v>35</v>
      </c>
      <c r="J41" t="s">
        <v>35</v>
      </c>
      <c r="K41" t="s">
        <v>621</v>
      </c>
      <c r="L41" s="33">
        <v>46305</v>
      </c>
      <c r="M41" s="27" t="str">
        <f>IF($B41="","",IFERROR(INDEX('العقود'!$D:$D,MATCH($B41,'العقود'!$A:$A,0)),""))</f>
        <v>ابو بكر</v>
      </c>
    </row>
    <row r="42" spans="1:13" x14ac:dyDescent="0.25">
      <c r="A42" t="s">
        <v>661</v>
      </c>
      <c r="B42" t="s">
        <v>318</v>
      </c>
      <c r="C42" s="27" t="str">
        <f>IF($B42="","",IFERROR(INDEX('العقود'!$F:$F,MATCH($B42,'العقود'!$A:$A,0)),""))</f>
        <v>شركة الأمل للخدمات الطبية</v>
      </c>
      <c r="D42" s="27" t="str">
        <f>IF($B42="","",IFERROR(INDEX('العقود'!$E:$E,MATCH($B42,'العقود'!$A:$A,0)),""))</f>
        <v>401</v>
      </c>
      <c r="E42" s="38" t="s">
        <v>619</v>
      </c>
      <c r="F42" s="39">
        <v>11000</v>
      </c>
      <c r="G42" s="33"/>
      <c r="H42" t="s">
        <v>620</v>
      </c>
      <c r="I42" t="s">
        <v>35</v>
      </c>
      <c r="J42" t="s">
        <v>35</v>
      </c>
      <c r="K42" t="s">
        <v>621</v>
      </c>
      <c r="L42" s="33">
        <v>46305</v>
      </c>
      <c r="M42" s="27" t="str">
        <f>IF($B42="","",IFERROR(INDEX('العقود'!$D:$D,MATCH($B42,'العقود'!$A:$A,0)),""))</f>
        <v>ابو بكر</v>
      </c>
    </row>
    <row r="43" spans="1:13" x14ac:dyDescent="0.25">
      <c r="A43" t="s">
        <v>662</v>
      </c>
      <c r="B43" t="s">
        <v>325</v>
      </c>
      <c r="C43" s="27" t="str">
        <f>IF($B43="","",IFERROR(INDEX('العقود'!$F:$F,MATCH($B43,'العقود'!$A:$A,0)),""))</f>
        <v>شركة البركة للتدريب</v>
      </c>
      <c r="D43" s="27" t="str">
        <f>IF($B43="","",IFERROR(INDEX('العقود'!$E:$E,MATCH($B43,'العقود'!$A:$A,0)),""))</f>
        <v>403</v>
      </c>
      <c r="E43" s="38" t="s">
        <v>619</v>
      </c>
      <c r="F43" s="39">
        <v>14850</v>
      </c>
      <c r="G43" s="33"/>
      <c r="H43" t="s">
        <v>620</v>
      </c>
      <c r="I43" t="s">
        <v>35</v>
      </c>
      <c r="J43" t="s">
        <v>35</v>
      </c>
      <c r="K43" t="s">
        <v>621</v>
      </c>
      <c r="L43" s="33">
        <v>46305</v>
      </c>
      <c r="M43" s="27" t="str">
        <f>IF($B43="","",IFERROR(INDEX('العقود'!$D:$D,MATCH($B43,'العقود'!$A:$A,0)),""))</f>
        <v>ابو بكر</v>
      </c>
    </row>
    <row r="44" spans="1:13" x14ac:dyDescent="0.25">
      <c r="A44" t="s">
        <v>663</v>
      </c>
      <c r="B44" t="s">
        <v>330</v>
      </c>
      <c r="C44" s="27" t="str">
        <f>IF($B44="","",IFERROR(INDEX('العقود'!$F:$F,MATCH($B44,'العقود'!$A:$A,0)),""))</f>
        <v>آية محمود بدوي</v>
      </c>
      <c r="D44" s="27" t="str">
        <f>IF($B44="","",IFERROR(INDEX('العقود'!$E:$E,MATCH($B44,'العقود'!$A:$A,0)),""))</f>
        <v>404</v>
      </c>
      <c r="E44" s="38" t="s">
        <v>619</v>
      </c>
      <c r="F44" s="39">
        <v>12000</v>
      </c>
      <c r="G44" s="33"/>
      <c r="H44" t="s">
        <v>620</v>
      </c>
      <c r="I44" t="s">
        <v>35</v>
      </c>
      <c r="J44" t="s">
        <v>35</v>
      </c>
      <c r="K44" t="s">
        <v>621</v>
      </c>
      <c r="L44" s="33">
        <v>46305</v>
      </c>
      <c r="M44" s="27" t="str">
        <f>IF($B44="","",IFERROR(INDEX('العقود'!$D:$D,MATCH($B44,'العقود'!$A:$A,0)),""))</f>
        <v>ابو بكر</v>
      </c>
    </row>
    <row r="45" spans="1:13" x14ac:dyDescent="0.25">
      <c r="A45" t="s">
        <v>664</v>
      </c>
      <c r="B45" t="s">
        <v>338</v>
      </c>
      <c r="C45" s="27" t="str">
        <f>IF($B45="","",IFERROR(INDEX('العقود'!$F:$F,MATCH($B45,'العقود'!$A:$A,0)),""))</f>
        <v>شركة الأصيل للإنتاج الفني</v>
      </c>
      <c r="D45" s="27" t="str">
        <f>IF($B45="","",IFERROR(INDEX('العقود'!$E:$E,MATCH($B45,'العقود'!$A:$A,0)),""))</f>
        <v>405</v>
      </c>
      <c r="E45" s="38" t="s">
        <v>619</v>
      </c>
      <c r="F45" s="39">
        <v>12000</v>
      </c>
      <c r="G45" s="33"/>
      <c r="H45" t="s">
        <v>620</v>
      </c>
      <c r="I45" t="s">
        <v>35</v>
      </c>
      <c r="J45" t="s">
        <v>35</v>
      </c>
      <c r="K45" t="s">
        <v>621</v>
      </c>
      <c r="L45" s="33">
        <v>46305</v>
      </c>
      <c r="M45" s="27" t="str">
        <f>IF($B45="","",IFERROR(INDEX('العقود'!$D:$D,MATCH($B45,'العقود'!$A:$A,0)),""))</f>
        <v>ابو بكر</v>
      </c>
    </row>
    <row r="46" spans="1:13" x14ac:dyDescent="0.25">
      <c r="A46" t="s">
        <v>665</v>
      </c>
      <c r="B46" t="s">
        <v>346</v>
      </c>
      <c r="C46" s="27" t="str">
        <f>IF($B46="","",IFERROR(INDEX('العقود'!$F:$F,MATCH($B46,'العقود'!$A:$A,0)),""))</f>
        <v>شركة البركة للاستشارات الهندسية</v>
      </c>
      <c r="D46" s="27" t="str">
        <f>IF($B46="","",IFERROR(INDEX('العقود'!$E:$E,MATCH($B46,'العقود'!$A:$A,0)),""))</f>
        <v>406</v>
      </c>
      <c r="E46" s="38" t="s">
        <v>619</v>
      </c>
      <c r="F46" s="39">
        <v>14575</v>
      </c>
      <c r="G46" s="33"/>
      <c r="H46" t="s">
        <v>620</v>
      </c>
      <c r="I46" t="s">
        <v>35</v>
      </c>
      <c r="J46" t="s">
        <v>35</v>
      </c>
      <c r="K46" t="s">
        <v>621</v>
      </c>
      <c r="L46" s="33">
        <v>46305</v>
      </c>
      <c r="M46" s="27" t="str">
        <f>IF($B46="","",IFERROR(INDEX('العقود'!$D:$D,MATCH($B46,'العقود'!$A:$A,0)),""))</f>
        <v>ابو بكر</v>
      </c>
    </row>
    <row r="47" spans="1:13" x14ac:dyDescent="0.25">
      <c r="A47" t="s">
        <v>666</v>
      </c>
      <c r="B47" t="s">
        <v>353</v>
      </c>
      <c r="C47" s="27" t="str">
        <f>IF($B47="","",IFERROR(INDEX('العقود'!$F:$F,MATCH($B47,'العقود'!$A:$A,0)),""))</f>
        <v>شركة الهرم لتكنولوجيا المعلومات</v>
      </c>
      <c r="D47" s="27" t="str">
        <f>IF($B47="","",IFERROR(INDEX('العقود'!$E:$E,MATCH($B47,'العقود'!$A:$A,0)),""))</f>
        <v>407</v>
      </c>
      <c r="E47" s="38" t="s">
        <v>619</v>
      </c>
      <c r="F47" s="39">
        <v>16500</v>
      </c>
      <c r="G47" s="33"/>
      <c r="H47" t="s">
        <v>620</v>
      </c>
      <c r="I47" t="s">
        <v>35</v>
      </c>
      <c r="J47" t="s">
        <v>35</v>
      </c>
      <c r="K47" t="s">
        <v>621</v>
      </c>
      <c r="L47" s="33">
        <v>46305</v>
      </c>
      <c r="M47" s="27" t="str">
        <f>IF($B47="","",IFERROR(INDEX('العقود'!$D:$D,MATCH($B47,'العقود'!$A:$A,0)),""))</f>
        <v>ابو بكر</v>
      </c>
    </row>
    <row r="48" spans="1:13" x14ac:dyDescent="0.25">
      <c r="A48" t="s">
        <v>667</v>
      </c>
      <c r="B48" t="s">
        <v>359</v>
      </c>
      <c r="C48" s="27" t="str">
        <f>IF($B48="","",IFERROR(INDEX('العقود'!$F:$F,MATCH($B48,'العقود'!$A:$A,0)),""))</f>
        <v>مصطفى وليد الجندي</v>
      </c>
      <c r="D48" s="27" t="str">
        <f>IF($B48="","",IFERROR(INDEX('العقود'!$E:$E,MATCH($B48,'العقود'!$A:$A,0)),""))</f>
        <v>408</v>
      </c>
      <c r="E48" s="38" t="s">
        <v>619</v>
      </c>
      <c r="F48" s="39">
        <v>18500</v>
      </c>
      <c r="G48" s="33"/>
      <c r="H48" t="s">
        <v>620</v>
      </c>
      <c r="I48" t="s">
        <v>35</v>
      </c>
      <c r="J48" t="s">
        <v>35</v>
      </c>
      <c r="K48" t="s">
        <v>621</v>
      </c>
      <c r="L48" s="33">
        <v>46305</v>
      </c>
      <c r="M48" s="27" t="str">
        <f>IF($B48="","",IFERROR(INDEX('العقود'!$D:$D,MATCH($B48,'العقود'!$A:$A,0)),""))</f>
        <v>ابو بكر</v>
      </c>
    </row>
    <row r="49" spans="1:13" x14ac:dyDescent="0.25">
      <c r="A49" t="s">
        <v>668</v>
      </c>
      <c r="B49" t="s">
        <v>366</v>
      </c>
      <c r="C49" s="27" t="str">
        <f>IF($B49="","",IFERROR(INDEX('العقود'!$F:$F,MATCH($B49,'العقود'!$A:$A,0)),""))</f>
        <v>شركة الياسمين للتسويق</v>
      </c>
      <c r="D49" s="27" t="str">
        <f>IF($B49="","",IFERROR(INDEX('العقود'!$E:$E,MATCH($B49,'العقود'!$A:$A,0)),""))</f>
        <v>501</v>
      </c>
      <c r="E49" s="38" t="s">
        <v>619</v>
      </c>
      <c r="F49" s="39">
        <v>15000</v>
      </c>
      <c r="G49" s="33"/>
      <c r="H49" t="s">
        <v>620</v>
      </c>
      <c r="I49" t="s">
        <v>35</v>
      </c>
      <c r="J49" t="s">
        <v>35</v>
      </c>
      <c r="K49" t="s">
        <v>621</v>
      </c>
      <c r="L49" s="33">
        <v>46305</v>
      </c>
      <c r="M49" s="27" t="str">
        <f>IF($B49="","",IFERROR(INDEX('العقود'!$D:$D,MATCH($B49,'العقود'!$A:$A,0)),""))</f>
        <v>ابو بكر</v>
      </c>
    </row>
    <row r="50" spans="1:13" x14ac:dyDescent="0.25">
      <c r="A50" t="s">
        <v>669</v>
      </c>
      <c r="B50" t="s">
        <v>369</v>
      </c>
      <c r="C50" s="27" t="str">
        <f>IF($B50="","",IFERROR(INDEX('العقود'!$F:$F,MATCH($B50,'العقود'!$A:$A,0)),""))</f>
        <v>شركة الياسمين للتسويق</v>
      </c>
      <c r="D50" s="27" t="str">
        <f>IF($B50="","",IFERROR(INDEX('العقود'!$E:$E,MATCH($B50,'العقود'!$A:$A,0)),""))</f>
        <v>502</v>
      </c>
      <c r="E50" s="38" t="s">
        <v>619</v>
      </c>
      <c r="F50" s="39">
        <v>15000</v>
      </c>
      <c r="G50" s="33"/>
      <c r="H50" t="s">
        <v>620</v>
      </c>
      <c r="I50" t="s">
        <v>35</v>
      </c>
      <c r="J50" t="s">
        <v>35</v>
      </c>
      <c r="K50" t="s">
        <v>621</v>
      </c>
      <c r="L50" s="33">
        <v>46305</v>
      </c>
      <c r="M50" s="27" t="str">
        <f>IF($B50="","",IFERROR(INDEX('العقود'!$D:$D,MATCH($B50,'العقود'!$A:$A,0)),""))</f>
        <v>ابو بكر</v>
      </c>
    </row>
    <row r="51" spans="1:13" x14ac:dyDescent="0.25">
      <c r="A51" t="s">
        <v>670</v>
      </c>
      <c r="B51" t="s">
        <v>374</v>
      </c>
      <c r="C51" s="27" t="str">
        <f>IF($B51="","",IFERROR(INDEX('العقود'!$F:$F,MATCH($B51,'العقود'!$A:$A,0)),""))</f>
        <v>إبراهيم أحمد البنا</v>
      </c>
      <c r="D51" s="27" t="str">
        <f>IF($B51="","",IFERROR(INDEX('العقود'!$E:$E,MATCH($B51,'العقود'!$A:$A,0)),""))</f>
        <v>503</v>
      </c>
      <c r="E51" s="38" t="s">
        <v>619</v>
      </c>
      <c r="F51" s="39">
        <v>11195</v>
      </c>
      <c r="G51" s="33"/>
      <c r="H51" t="s">
        <v>620</v>
      </c>
      <c r="I51" t="s">
        <v>35</v>
      </c>
      <c r="J51" t="s">
        <v>35</v>
      </c>
      <c r="K51" t="s">
        <v>621</v>
      </c>
      <c r="L51" s="33">
        <v>46305</v>
      </c>
      <c r="M51" s="27" t="str">
        <f>IF($B51="","",IFERROR(INDEX('العقود'!$D:$D,MATCH($B51,'العقود'!$A:$A,0)),""))</f>
        <v>ابو بكر</v>
      </c>
    </row>
    <row r="52" spans="1:13" x14ac:dyDescent="0.25">
      <c r="A52" t="s">
        <v>671</v>
      </c>
      <c r="B52" t="s">
        <v>380</v>
      </c>
      <c r="C52" s="27" t="str">
        <f>IF($B52="","",IFERROR(INDEX('العقود'!$F:$F,MATCH($B52,'العقود'!$A:$A,0)),""))</f>
        <v>شركة المستقبل للخدمات الطبية</v>
      </c>
      <c r="D52" s="27" t="str">
        <f>IF($B52="","",IFERROR(INDEX('العقود'!$E:$E,MATCH($B52,'العقود'!$A:$A,0)),""))</f>
        <v>504</v>
      </c>
      <c r="E52" s="38" t="s">
        <v>619</v>
      </c>
      <c r="F52" s="39">
        <v>10000</v>
      </c>
      <c r="G52" s="33"/>
      <c r="H52" t="s">
        <v>620</v>
      </c>
      <c r="I52" t="s">
        <v>35</v>
      </c>
      <c r="J52" t="s">
        <v>35</v>
      </c>
      <c r="K52" t="s">
        <v>621</v>
      </c>
      <c r="L52" s="33">
        <v>46305</v>
      </c>
      <c r="M52" s="27" t="str">
        <f>IF($B52="","",IFERROR(INDEX('العقود'!$D:$D,MATCH($B52,'العقود'!$A:$A,0)),""))</f>
        <v>ابو بكر</v>
      </c>
    </row>
    <row r="53" spans="1:13" x14ac:dyDescent="0.25">
      <c r="A53" t="s">
        <v>672</v>
      </c>
      <c r="B53" t="s">
        <v>384</v>
      </c>
      <c r="C53" s="27" t="str">
        <f>IF($B53="","",IFERROR(INDEX('العقود'!$F:$F,MATCH($B53,'العقود'!$A:$A,0)),""))</f>
        <v>حسين أمير بدوي</v>
      </c>
      <c r="D53" s="27" t="str">
        <f>IF($B53="","",IFERROR(INDEX('العقود'!$E:$E,MATCH($B53,'العقود'!$A:$A,0)),""))</f>
        <v>505</v>
      </c>
      <c r="E53" s="38" t="s">
        <v>619</v>
      </c>
      <c r="F53" s="39">
        <v>11000</v>
      </c>
      <c r="G53" s="33"/>
      <c r="H53" t="s">
        <v>620</v>
      </c>
      <c r="I53" t="s">
        <v>35</v>
      </c>
      <c r="J53" t="s">
        <v>35</v>
      </c>
      <c r="K53" t="s">
        <v>621</v>
      </c>
      <c r="L53" s="33">
        <v>46305</v>
      </c>
      <c r="M53" s="27" t="str">
        <f>IF($B53="","",IFERROR(INDEX('العقود'!$D:$D,MATCH($B53,'العقود'!$A:$A,0)),""))</f>
        <v>ابو بكر</v>
      </c>
    </row>
    <row r="54" spans="1:13" x14ac:dyDescent="0.25">
      <c r="A54" t="s">
        <v>673</v>
      </c>
      <c r="B54" t="s">
        <v>391</v>
      </c>
      <c r="C54" s="27" t="str">
        <f>IF($B54="","",IFERROR(INDEX('العقود'!$F:$F,MATCH($B54,'العقود'!$A:$A,0)),""))</f>
        <v>د/ آية هشام رشاد</v>
      </c>
      <c r="D54" s="27" t="str">
        <f>IF($B54="","",IFERROR(INDEX('العقود'!$E:$E,MATCH($B54,'العقود'!$A:$A,0)),""))</f>
        <v>506</v>
      </c>
      <c r="E54" s="38" t="s">
        <v>619</v>
      </c>
      <c r="F54" s="39">
        <v>17000</v>
      </c>
      <c r="G54" s="33"/>
      <c r="H54" t="s">
        <v>620</v>
      </c>
      <c r="I54" t="s">
        <v>35</v>
      </c>
      <c r="J54" t="s">
        <v>35</v>
      </c>
      <c r="K54" t="s">
        <v>621</v>
      </c>
      <c r="L54" s="33">
        <v>46305</v>
      </c>
      <c r="M54" s="27" t="str">
        <f>IF($B54="","",IFERROR(INDEX('العقود'!$D:$D,MATCH($B54,'العقود'!$A:$A,0)),""))</f>
        <v>ابو بكر</v>
      </c>
    </row>
    <row r="55" spans="1:13" x14ac:dyDescent="0.25">
      <c r="A55" t="s">
        <v>674</v>
      </c>
      <c r="B55" t="s">
        <v>407</v>
      </c>
      <c r="C55" s="27" t="str">
        <f>IF($B55="","",IFERROR(INDEX('العقود'!$F:$F,MATCH($B55,'العقود'!$A:$A,0)),""))</f>
        <v>شركة الوادي للتنمية</v>
      </c>
      <c r="D55" s="27" t="str">
        <f>IF($B55="","",IFERROR(INDEX('العقود'!$E:$E,MATCH($B55,'العقود'!$A:$A,0)),""))</f>
        <v>601</v>
      </c>
      <c r="E55" s="38" t="s">
        <v>619</v>
      </c>
      <c r="F55" s="39">
        <v>9680</v>
      </c>
      <c r="G55" s="33"/>
      <c r="H55" t="s">
        <v>620</v>
      </c>
      <c r="I55" t="s">
        <v>35</v>
      </c>
      <c r="J55" t="s">
        <v>35</v>
      </c>
      <c r="K55" t="s">
        <v>621</v>
      </c>
      <c r="L55" s="33">
        <v>46305</v>
      </c>
      <c r="M55" s="27" t="str">
        <f>IF($B55="","",IFERROR(INDEX('العقود'!$D:$D,MATCH($B55,'العقود'!$A:$A,0)),""))</f>
        <v>ابو بكر</v>
      </c>
    </row>
    <row r="56" spans="1:13" x14ac:dyDescent="0.25">
      <c r="A56" t="s">
        <v>675</v>
      </c>
      <c r="B56" t="s">
        <v>415</v>
      </c>
      <c r="C56" s="27" t="str">
        <f>IF($B56="","",IFERROR(INDEX('العقود'!$F:$F,MATCH($B56,'العقود'!$A:$A,0)),""))</f>
        <v>شركة الوفاء للاستشارات الهندسية</v>
      </c>
      <c r="D56" s="27" t="str">
        <f>IF($B56="","",IFERROR(INDEX('العقود'!$E:$E,MATCH($B56,'العقود'!$A:$A,0)),""))</f>
        <v>602</v>
      </c>
      <c r="E56" s="38" t="s">
        <v>619</v>
      </c>
      <c r="F56" s="39">
        <v>19000</v>
      </c>
      <c r="G56" s="33"/>
      <c r="H56" t="s">
        <v>620</v>
      </c>
      <c r="I56" t="s">
        <v>35</v>
      </c>
      <c r="J56" t="s">
        <v>35</v>
      </c>
      <c r="K56" t="s">
        <v>621</v>
      </c>
      <c r="L56" s="33">
        <v>46305</v>
      </c>
      <c r="M56" s="27" t="str">
        <f>IF($B56="","",IFERROR(INDEX('العقود'!$D:$D,MATCH($B56,'العقود'!$A:$A,0)),""))</f>
        <v>ابو بكر</v>
      </c>
    </row>
    <row r="57" spans="1:13" x14ac:dyDescent="0.25">
      <c r="A57" t="s">
        <v>676</v>
      </c>
      <c r="B57" t="s">
        <v>421</v>
      </c>
      <c r="C57" s="27" t="str">
        <f>IF($B57="","",IFERROR(INDEX('العقود'!$F:$F,MATCH($B57,'العقود'!$A:$A,0)),""))</f>
        <v>عادل باسم حسنين</v>
      </c>
      <c r="D57" s="27" t="str">
        <f>IF($B57="","",IFERROR(INDEX('العقود'!$E:$E,MATCH($B57,'العقود'!$A:$A,0)),""))</f>
        <v>603</v>
      </c>
      <c r="E57" s="38" t="s">
        <v>619</v>
      </c>
      <c r="F57" s="39">
        <v>11495</v>
      </c>
      <c r="G57" s="33"/>
      <c r="H57" t="s">
        <v>620</v>
      </c>
      <c r="I57" t="s">
        <v>35</v>
      </c>
      <c r="J57" t="s">
        <v>35</v>
      </c>
      <c r="K57" t="s">
        <v>621</v>
      </c>
      <c r="L57" s="33">
        <v>46305</v>
      </c>
      <c r="M57" s="27" t="str">
        <f>IF($B57="","",IFERROR(INDEX('العقود'!$D:$D,MATCH($B57,'العقود'!$A:$A,0)),""))</f>
        <v>ابو بكر</v>
      </c>
    </row>
    <row r="58" spans="1:13" x14ac:dyDescent="0.25">
      <c r="A58" t="s">
        <v>677</v>
      </c>
      <c r="B58" t="s">
        <v>427</v>
      </c>
      <c r="C58" s="27" t="str">
        <f>IF($B58="","",IFERROR(INDEX('العقود'!$F:$F,MATCH($B58,'العقود'!$A:$A,0)),""))</f>
        <v>ندى وليد حسنين</v>
      </c>
      <c r="D58" s="27" t="str">
        <f>IF($B58="","",IFERROR(INDEX('العقود'!$E:$E,MATCH($B58,'العقود'!$A:$A,0)),""))</f>
        <v>604</v>
      </c>
      <c r="E58" s="38" t="s">
        <v>619</v>
      </c>
      <c r="F58" s="39">
        <v>11000</v>
      </c>
      <c r="G58" s="33"/>
      <c r="H58" t="s">
        <v>620</v>
      </c>
      <c r="I58" t="s">
        <v>35</v>
      </c>
      <c r="J58" t="s">
        <v>35</v>
      </c>
      <c r="K58" t="s">
        <v>621</v>
      </c>
      <c r="L58" s="33">
        <v>46305</v>
      </c>
      <c r="M58" s="27" t="str">
        <f>IF($B58="","",IFERROR(INDEX('العقود'!$D:$D,MATCH($B58,'العقود'!$A:$A,0)),""))</f>
        <v>ابو بكر</v>
      </c>
    </row>
    <row r="59" spans="1:13" x14ac:dyDescent="0.25">
      <c r="A59" t="s">
        <v>678</v>
      </c>
      <c r="B59" t="s">
        <v>433</v>
      </c>
      <c r="C59" s="27" t="str">
        <f>IF($B59="","",IFERROR(INDEX('العقود'!$F:$F,MATCH($B59,'العقود'!$A:$A,0)),""))</f>
        <v>شريف هاني فهمي</v>
      </c>
      <c r="D59" s="27" t="str">
        <f>IF($B59="","",IFERROR(INDEX('العقود'!$E:$E,MATCH($B59,'العقود'!$A:$A,0)),""))</f>
        <v>605</v>
      </c>
      <c r="E59" s="38" t="s">
        <v>619</v>
      </c>
      <c r="F59" s="39">
        <v>8775</v>
      </c>
      <c r="G59" s="33"/>
      <c r="H59" t="s">
        <v>620</v>
      </c>
      <c r="I59" t="s">
        <v>35</v>
      </c>
      <c r="J59" t="s">
        <v>35</v>
      </c>
      <c r="K59" t="s">
        <v>621</v>
      </c>
      <c r="L59" s="33">
        <v>46305</v>
      </c>
      <c r="M59" s="27" t="str">
        <f>IF($B59="","",IFERROR(INDEX('العقود'!$D:$D,MATCH($B59,'العقود'!$A:$A,0)),""))</f>
        <v>ابو بكر</v>
      </c>
    </row>
    <row r="60" spans="1:13" x14ac:dyDescent="0.25">
      <c r="A60" t="s">
        <v>679</v>
      </c>
      <c r="B60" t="s">
        <v>443</v>
      </c>
      <c r="C60" s="27" t="str">
        <f>IF($B60="","",IFERROR(INDEX('العقود'!$F:$F,MATCH($B60,'العقود'!$A:$A,0)),""))</f>
        <v>شركة الياسمين للاستشارات الهندسية</v>
      </c>
      <c r="D60" s="27" t="str">
        <f>IF($B60="","",IFERROR(INDEX('العقود'!$E:$E,MATCH($B60,'العقود'!$A:$A,0)),""))</f>
        <v>606</v>
      </c>
      <c r="E60" s="38" t="s">
        <v>619</v>
      </c>
      <c r="F60" s="39">
        <v>15000</v>
      </c>
      <c r="G60" s="33"/>
      <c r="H60" t="s">
        <v>620</v>
      </c>
      <c r="I60" t="s">
        <v>35</v>
      </c>
      <c r="J60" t="s">
        <v>35</v>
      </c>
      <c r="K60" t="s">
        <v>621</v>
      </c>
      <c r="L60" s="33">
        <v>46305</v>
      </c>
      <c r="M60" s="27" t="str">
        <f>IF($B60="","",IFERROR(INDEX('العقود'!$D:$D,MATCH($B60,'العقود'!$A:$A,0)),""))</f>
        <v>ابو بكر</v>
      </c>
    </row>
    <row r="61" spans="1:13" x14ac:dyDescent="0.25">
      <c r="A61" t="s">
        <v>680</v>
      </c>
      <c r="B61" t="s">
        <v>452</v>
      </c>
      <c r="C61" s="27" t="str">
        <f>IF($B61="","",IFERROR(INDEX('العقود'!$F:$F,MATCH($B61,'العقود'!$A:$A,0)),""))</f>
        <v>شركة الدلتا للتجارة</v>
      </c>
      <c r="D61" s="27" t="str">
        <f>IF($B61="","",IFERROR(INDEX('العقود'!$E:$E,MATCH($B61,'العقود'!$A:$A,0)),""))</f>
        <v>607</v>
      </c>
      <c r="E61" s="38" t="s">
        <v>619</v>
      </c>
      <c r="F61" s="39">
        <v>10500</v>
      </c>
      <c r="G61" s="33"/>
      <c r="H61" t="s">
        <v>620</v>
      </c>
      <c r="I61" t="s">
        <v>35</v>
      </c>
      <c r="J61" t="s">
        <v>35</v>
      </c>
      <c r="K61" t="s">
        <v>621</v>
      </c>
      <c r="L61" s="33">
        <v>46305</v>
      </c>
      <c r="M61" s="27" t="str">
        <f>IF($B61="","",IFERROR(INDEX('العقود'!$D:$D,MATCH($B61,'العقود'!$A:$A,0)),""))</f>
        <v>ابو بكر</v>
      </c>
    </row>
    <row r="62" spans="1:13" x14ac:dyDescent="0.25">
      <c r="A62" t="s">
        <v>681</v>
      </c>
      <c r="B62" t="s">
        <v>459</v>
      </c>
      <c r="C62" s="27" t="str">
        <f>IF($B62="","",IFERROR(INDEX('العقود'!$F:$F,MATCH($B62,'العقود'!$A:$A,0)),""))</f>
        <v>شركة السلام للتسويق</v>
      </c>
      <c r="D62" s="27" t="str">
        <f>IF($B62="","",IFERROR(INDEX('العقود'!$E:$E,MATCH($B62,'العقود'!$A:$A,0)),""))</f>
        <v>608</v>
      </c>
      <c r="E62" s="38" t="s">
        <v>619</v>
      </c>
      <c r="F62" s="39">
        <v>13000</v>
      </c>
      <c r="G62" s="33"/>
      <c r="H62" t="s">
        <v>620</v>
      </c>
      <c r="I62" t="s">
        <v>35</v>
      </c>
      <c r="J62" t="s">
        <v>35</v>
      </c>
      <c r="K62" t="s">
        <v>621</v>
      </c>
      <c r="L62" s="33">
        <v>46305</v>
      </c>
      <c r="M62" s="27" t="str">
        <f>IF($B62="","",IFERROR(INDEX('العقود'!$D:$D,MATCH($B62,'العقود'!$A:$A,0)),""))</f>
        <v>ابو بكر</v>
      </c>
    </row>
    <row r="63" spans="1:13" x14ac:dyDescent="0.25">
      <c r="A63" t="s">
        <v>682</v>
      </c>
      <c r="B63" t="s">
        <v>467</v>
      </c>
      <c r="C63" s="27" t="str">
        <f>IF($B63="","",IFERROR(INDEX('العقود'!$F:$F,MATCH($B63,'العقود'!$A:$A,0)),""))</f>
        <v>شركة المستقبل للتنمية</v>
      </c>
      <c r="D63" s="27" t="str">
        <f>IF($B63="","",IFERROR(INDEX('العقود'!$E:$E,MATCH($B63,'العقود'!$A:$A,0)),""))</f>
        <v>701</v>
      </c>
      <c r="E63" s="38" t="s">
        <v>619</v>
      </c>
      <c r="F63" s="39">
        <v>17000</v>
      </c>
      <c r="G63" s="33"/>
      <c r="H63" t="s">
        <v>620</v>
      </c>
      <c r="I63" t="s">
        <v>35</v>
      </c>
      <c r="J63" t="s">
        <v>35</v>
      </c>
      <c r="K63" t="s">
        <v>621</v>
      </c>
      <c r="L63" s="33">
        <v>46305</v>
      </c>
      <c r="M63" s="27" t="str">
        <f>IF($B63="","",IFERROR(INDEX('العقود'!$D:$D,MATCH($B63,'العقود'!$A:$A,0)),""))</f>
        <v>ابو بكر</v>
      </c>
    </row>
    <row r="64" spans="1:13" x14ac:dyDescent="0.25">
      <c r="A64" t="s">
        <v>683</v>
      </c>
      <c r="B64" t="s">
        <v>481</v>
      </c>
      <c r="C64" s="27" t="str">
        <f>IF($B64="","",IFERROR(INDEX('العقود'!$F:$F,MATCH($B64,'العقود'!$A:$A,0)),""))</f>
        <v>شركة البركة للتسويق</v>
      </c>
      <c r="D64" s="27" t="str">
        <f>IF($B64="","",IFERROR(INDEX('العقود'!$E:$E,MATCH($B64,'العقود'!$A:$A,0)),""))</f>
        <v>704</v>
      </c>
      <c r="E64" s="38" t="s">
        <v>619</v>
      </c>
      <c r="F64" s="39">
        <v>11000</v>
      </c>
      <c r="G64" s="33"/>
      <c r="H64" t="s">
        <v>620</v>
      </c>
      <c r="I64" t="s">
        <v>35</v>
      </c>
      <c r="J64" t="s">
        <v>35</v>
      </c>
      <c r="K64" t="s">
        <v>621</v>
      </c>
      <c r="L64" s="33">
        <v>46305</v>
      </c>
      <c r="M64" s="27" t="str">
        <f>IF($B64="","",IFERROR(INDEX('العقود'!$D:$D,MATCH($B64,'العقود'!$A:$A,0)),""))</f>
        <v>ابو بكر</v>
      </c>
    </row>
    <row r="65" spans="1:13" x14ac:dyDescent="0.25">
      <c r="A65" t="s">
        <v>684</v>
      </c>
      <c r="B65" t="s">
        <v>487</v>
      </c>
      <c r="C65" s="27" t="str">
        <f>IF($B65="","",IFERROR(INDEX('العقود'!$F:$F,MATCH($B65,'العقود'!$A:$A,0)),""))</f>
        <v>عمر مروان غانم</v>
      </c>
      <c r="D65" s="27" t="str">
        <f>IF($B65="","",IFERROR(INDEX('العقود'!$E:$E,MATCH($B65,'العقود'!$A:$A,0)),""))</f>
        <v>705</v>
      </c>
      <c r="E65" s="38" t="s">
        <v>619</v>
      </c>
      <c r="F65" s="39">
        <v>11000</v>
      </c>
      <c r="G65" s="33"/>
      <c r="H65" t="s">
        <v>620</v>
      </c>
      <c r="I65" t="s">
        <v>35</v>
      </c>
      <c r="J65" t="s">
        <v>35</v>
      </c>
      <c r="K65" t="s">
        <v>621</v>
      </c>
      <c r="L65" s="33">
        <v>46305</v>
      </c>
      <c r="M65" s="27" t="str">
        <f>IF($B65="","",IFERROR(INDEX('العقود'!$D:$D,MATCH($B65,'العقود'!$A:$A,0)),""))</f>
        <v>ابو بكر</v>
      </c>
    </row>
    <row r="66" spans="1:13" x14ac:dyDescent="0.25">
      <c r="A66" t="s">
        <v>685</v>
      </c>
      <c r="B66" t="s">
        <v>495</v>
      </c>
      <c r="C66" s="27" t="str">
        <f>IF($B66="","",IFERROR(INDEX('العقود'!$F:$F,MATCH($B66,'العقود'!$A:$A,0)),""))</f>
        <v>شركة الأمل للتسويق</v>
      </c>
      <c r="D66" s="27" t="str">
        <f>IF($B66="","",IFERROR(INDEX('العقود'!$E:$E,MATCH($B66,'العقود'!$A:$A,0)),""))</f>
        <v>706</v>
      </c>
      <c r="E66" s="38" t="s">
        <v>619</v>
      </c>
      <c r="F66" s="39">
        <v>10890</v>
      </c>
      <c r="G66" s="33"/>
      <c r="H66" t="s">
        <v>620</v>
      </c>
      <c r="I66" t="s">
        <v>35</v>
      </c>
      <c r="J66" t="s">
        <v>35</v>
      </c>
      <c r="K66" t="s">
        <v>621</v>
      </c>
      <c r="L66" s="33">
        <v>46305</v>
      </c>
      <c r="M66" s="27" t="str">
        <f>IF($B66="","",IFERROR(INDEX('العقود'!$D:$D,MATCH($B66,'العقود'!$A:$A,0)),""))</f>
        <v>ابو بكر</v>
      </c>
    </row>
    <row r="67" spans="1:13" x14ac:dyDescent="0.25">
      <c r="A67" t="s">
        <v>686</v>
      </c>
      <c r="B67" t="s">
        <v>502</v>
      </c>
      <c r="C67" s="27" t="str">
        <f>IF($B67="","",IFERROR(INDEX('العقود'!$F:$F,MATCH($B67,'العقود'!$A:$A,0)),""))</f>
        <v>شركة الأفق للخدمات الطبية</v>
      </c>
      <c r="D67" s="27" t="str">
        <f>IF($B67="","",IFERROR(INDEX('العقود'!$E:$E,MATCH($B67,'العقود'!$A:$A,0)),""))</f>
        <v>707</v>
      </c>
      <c r="E67" s="38" t="s">
        <v>619</v>
      </c>
      <c r="F67" s="39">
        <v>13000</v>
      </c>
      <c r="G67" s="33"/>
      <c r="H67" t="s">
        <v>620</v>
      </c>
      <c r="I67" t="s">
        <v>35</v>
      </c>
      <c r="J67" t="s">
        <v>35</v>
      </c>
      <c r="K67" t="s">
        <v>621</v>
      </c>
      <c r="L67" s="33">
        <v>46305</v>
      </c>
      <c r="M67" s="27" t="str">
        <f>IF($B67="","",IFERROR(INDEX('العقود'!$D:$D,MATCH($B67,'العقود'!$A:$A,0)),""))</f>
        <v>ابو بكر</v>
      </c>
    </row>
    <row r="68" spans="1:13" x14ac:dyDescent="0.25">
      <c r="A68" t="s">
        <v>687</v>
      </c>
      <c r="B68" t="s">
        <v>506</v>
      </c>
      <c r="C68" s="27" t="str">
        <f>IF($B68="","",IFERROR(INDEX('العقود'!$F:$F,MATCH($B68,'العقود'!$A:$A,0)),""))</f>
        <v>شركة الأفق للخدمات الطبية</v>
      </c>
      <c r="D68" s="27" t="str">
        <f>IF($B68="","",IFERROR(INDEX('العقود'!$E:$E,MATCH($B68,'العقود'!$A:$A,0)),""))</f>
        <v>708</v>
      </c>
      <c r="E68" s="38" t="s">
        <v>619</v>
      </c>
      <c r="F68" s="39">
        <v>13000</v>
      </c>
      <c r="G68" s="33"/>
      <c r="H68" t="s">
        <v>620</v>
      </c>
      <c r="I68" t="s">
        <v>35</v>
      </c>
      <c r="J68" t="s">
        <v>35</v>
      </c>
      <c r="K68" t="s">
        <v>621</v>
      </c>
      <c r="L68" s="33">
        <v>46305</v>
      </c>
      <c r="M68" s="27" t="str">
        <f>IF($B68="","",IFERROR(INDEX('العقود'!$D:$D,MATCH($B68,'العقود'!$A:$A,0)),""))</f>
        <v>ابو بكر</v>
      </c>
    </row>
    <row r="69" spans="1:13" x14ac:dyDescent="0.25">
      <c r="A69" t="s">
        <v>688</v>
      </c>
      <c r="B69" t="s">
        <v>37</v>
      </c>
      <c r="C69" s="27" t="str">
        <f>IF($B69="","",IFERROR(INDEX('العقود'!$F:$F,MATCH($B69,'العقود'!$A:$A,0)),""))</f>
        <v>عمرو أيمن زكي</v>
      </c>
      <c r="D69" s="27" t="str">
        <f>IF($B69="","",IFERROR(INDEX('العقود'!$E:$E,MATCH($B69,'العقود'!$A:$A,0)),""))</f>
        <v>محل</v>
      </c>
      <c r="E69" s="38" t="s">
        <v>689</v>
      </c>
      <c r="F69" s="39">
        <v>12705</v>
      </c>
      <c r="G69" s="33"/>
      <c r="H69" t="s">
        <v>620</v>
      </c>
      <c r="I69" t="s">
        <v>35</v>
      </c>
      <c r="J69" t="s">
        <v>35</v>
      </c>
      <c r="K69" t="s">
        <v>621</v>
      </c>
      <c r="L69" s="33">
        <v>46305</v>
      </c>
      <c r="M69" s="27" t="str">
        <f>IF($B69="","",IFERROR(INDEX('العقود'!$D:$D,MATCH($B69,'العقود'!$A:$A,0)),""))</f>
        <v>بابل</v>
      </c>
    </row>
    <row r="70" spans="1:13" x14ac:dyDescent="0.25">
      <c r="A70" t="s">
        <v>690</v>
      </c>
      <c r="B70" t="s">
        <v>44</v>
      </c>
      <c r="C70" s="27" t="str">
        <f>IF($B70="","",IFERROR(INDEX('العقود'!$F:$F,MATCH($B70,'العقود'!$A:$A,0)),""))</f>
        <v>شركة البركة للمقاولات</v>
      </c>
      <c r="D70" s="27" t="str">
        <f>IF($B70="","",IFERROR(INDEX('العقود'!$E:$E,MATCH($B70,'العقود'!$A:$A,0)),""))</f>
        <v>محل</v>
      </c>
      <c r="E70" s="38" t="s">
        <v>689</v>
      </c>
      <c r="F70" s="39">
        <v>30500</v>
      </c>
      <c r="G70" s="33"/>
      <c r="H70" t="s">
        <v>620</v>
      </c>
      <c r="I70" t="s">
        <v>35</v>
      </c>
      <c r="J70" t="s">
        <v>35</v>
      </c>
      <c r="K70" t="s">
        <v>621</v>
      </c>
      <c r="L70" s="33">
        <v>46305</v>
      </c>
      <c r="M70" s="27" t="str">
        <f>IF($B70="","",IFERROR(INDEX('العقود'!$D:$D,MATCH($B70,'العقود'!$A:$A,0)),""))</f>
        <v>بابل</v>
      </c>
    </row>
    <row r="71" spans="1:13" x14ac:dyDescent="0.25">
      <c r="A71" t="s">
        <v>691</v>
      </c>
      <c r="B71" t="s">
        <v>52</v>
      </c>
      <c r="C71" s="27" t="str">
        <f>IF($B71="","",IFERROR(INDEX('العقود'!$F:$F,MATCH($B71,'العقود'!$A:$A,0)),""))</f>
        <v>شركة الأفق لتكنولوجيا المعلومات</v>
      </c>
      <c r="D71" s="27" t="str">
        <f>IF($B71="","",IFERROR(INDEX('العقود'!$E:$E,MATCH($B71,'العقود'!$A:$A,0)),""))</f>
        <v>ميزان 1/2</v>
      </c>
      <c r="E71" s="38" t="s">
        <v>689</v>
      </c>
      <c r="F71" s="39">
        <v>45100</v>
      </c>
      <c r="G71" s="33"/>
      <c r="H71" t="s">
        <v>620</v>
      </c>
      <c r="I71" t="s">
        <v>35</v>
      </c>
      <c r="J71" t="s">
        <v>35</v>
      </c>
      <c r="K71" t="s">
        <v>621</v>
      </c>
      <c r="L71" s="33">
        <v>46305</v>
      </c>
      <c r="M71" s="27" t="str">
        <f>IF($B71="","",IFERROR(INDEX('العقود'!$D:$D,MATCH($B71,'العقود'!$A:$A,0)),""))</f>
        <v>بابل</v>
      </c>
    </row>
    <row r="72" spans="1:13" x14ac:dyDescent="0.25">
      <c r="A72" t="s">
        <v>692</v>
      </c>
      <c r="B72" t="s">
        <v>59</v>
      </c>
      <c r="C72" s="27" t="str">
        <f>IF($B72="","",IFERROR(INDEX('العقود'!$F:$F,MATCH($B72,'العقود'!$A:$A,0)),""))</f>
        <v>شركة النور للإنتاج الفني</v>
      </c>
      <c r="D72" s="27" t="str">
        <f>IF($B72="","",IFERROR(INDEX('العقود'!$E:$E,MATCH($B72,'العقود'!$A:$A,0)),""))</f>
        <v>ميزان 3</v>
      </c>
      <c r="E72" s="38" t="s">
        <v>689</v>
      </c>
      <c r="F72" s="39">
        <v>41800</v>
      </c>
      <c r="G72" s="33"/>
      <c r="H72" t="s">
        <v>620</v>
      </c>
      <c r="I72" t="s">
        <v>35</v>
      </c>
      <c r="J72" t="s">
        <v>35</v>
      </c>
      <c r="K72" t="s">
        <v>621</v>
      </c>
      <c r="L72" s="33">
        <v>46305</v>
      </c>
      <c r="M72" s="27" t="str">
        <f>IF($B72="","",IFERROR(INDEX('العقود'!$D:$D,MATCH($B72,'العقود'!$A:$A,0)),""))</f>
        <v>بابل</v>
      </c>
    </row>
    <row r="73" spans="1:13" x14ac:dyDescent="0.25">
      <c r="A73" t="s">
        <v>693</v>
      </c>
      <c r="B73" t="s">
        <v>63</v>
      </c>
      <c r="C73" s="27" t="str">
        <f>IF($B73="","",IFERROR(INDEX('العقود'!$F:$F,MATCH($B73,'العقود'!$A:$A,0)),""))</f>
        <v>شركة الأفق لتكنولوجيا المعلومات</v>
      </c>
      <c r="D73" s="27" t="str">
        <f>IF($B73="","",IFERROR(INDEX('العقود'!$E:$E,MATCH($B73,'العقود'!$A:$A,0)),""))</f>
        <v>الدور الثاني</v>
      </c>
      <c r="E73" s="38" t="s">
        <v>689</v>
      </c>
      <c r="F73" s="39">
        <v>83600</v>
      </c>
      <c r="G73" s="33"/>
      <c r="H73" t="s">
        <v>620</v>
      </c>
      <c r="I73" t="s">
        <v>35</v>
      </c>
      <c r="J73" t="s">
        <v>35</v>
      </c>
      <c r="K73" t="s">
        <v>621</v>
      </c>
      <c r="L73" s="33">
        <v>46305</v>
      </c>
      <c r="M73" s="27" t="str">
        <f>IF($B73="","",IFERROR(INDEX('العقود'!$D:$D,MATCH($B73,'العقود'!$A:$A,0)),""))</f>
        <v>بابل</v>
      </c>
    </row>
    <row r="74" spans="1:13" x14ac:dyDescent="0.25">
      <c r="A74" t="s">
        <v>694</v>
      </c>
      <c r="B74" t="s">
        <v>70</v>
      </c>
      <c r="C74" s="27" t="str">
        <f>IF($B74="","",IFERROR(INDEX('العقود'!$F:$F,MATCH($B74,'العقود'!$A:$A,0)),""))</f>
        <v>شركة الأمل للاستشارات الهندسية</v>
      </c>
      <c r="D74" s="27" t="str">
        <f>IF($B74="","",IFERROR(INDEX('العقود'!$E:$E,MATCH($B74,'العقود'!$A:$A,0)),""))</f>
        <v>مكتب 42</v>
      </c>
      <c r="E74" s="38" t="s">
        <v>689</v>
      </c>
      <c r="F74" s="39">
        <v>30250</v>
      </c>
      <c r="G74" s="33"/>
      <c r="H74" t="s">
        <v>620</v>
      </c>
      <c r="I74" t="s">
        <v>35</v>
      </c>
      <c r="J74" t="s">
        <v>35</v>
      </c>
      <c r="K74" t="s">
        <v>621</v>
      </c>
      <c r="L74" s="33">
        <v>46305</v>
      </c>
      <c r="M74" s="27" t="str">
        <f>IF($B74="","",IFERROR(INDEX('العقود'!$D:$D,MATCH($B74,'العقود'!$A:$A,0)),""))</f>
        <v>بابل</v>
      </c>
    </row>
    <row r="75" spans="1:13" x14ac:dyDescent="0.25">
      <c r="A75" t="s">
        <v>695</v>
      </c>
      <c r="B75" t="s">
        <v>76</v>
      </c>
      <c r="C75" s="27" t="str">
        <f>IF($B75="","",IFERROR(INDEX('العقود'!$F:$F,MATCH($B75,'العقود'!$A:$A,0)),""))</f>
        <v>عمرو إبراهيم فوزي</v>
      </c>
      <c r="D75" s="27" t="str">
        <f>IF($B75="","",IFERROR(INDEX('العقود'!$E:$E,MATCH($B75,'العقود'!$A:$A,0)),""))</f>
        <v>مكتب 61</v>
      </c>
      <c r="E75" s="38" t="s">
        <v>689</v>
      </c>
      <c r="F75" s="39">
        <v>24330</v>
      </c>
      <c r="G75" s="33"/>
      <c r="H75" t="s">
        <v>620</v>
      </c>
      <c r="I75" t="s">
        <v>35</v>
      </c>
      <c r="J75" t="s">
        <v>35</v>
      </c>
      <c r="K75" t="s">
        <v>621</v>
      </c>
      <c r="L75" s="33">
        <v>46305</v>
      </c>
      <c r="M75" s="27" t="str">
        <f>IF($B75="","",IFERROR(INDEX('العقود'!$D:$D,MATCH($B75,'العقود'!$A:$A,0)),""))</f>
        <v>بابل</v>
      </c>
    </row>
    <row r="76" spans="1:13" x14ac:dyDescent="0.25">
      <c r="A76" t="s">
        <v>696</v>
      </c>
      <c r="B76" t="s">
        <v>86</v>
      </c>
      <c r="C76" s="27" t="str">
        <f>IF($B76="","",IFERROR(INDEX('العقود'!$F:$F,MATCH($B76,'العقود'!$A:$A,0)),""))</f>
        <v>شركة المستقبل للتدريب</v>
      </c>
      <c r="D76" s="27" t="str">
        <f>IF($B76="","",IFERROR(INDEX('العقود'!$E:$E,MATCH($B76,'العقود'!$A:$A,0)),""))</f>
        <v>ميزان 1</v>
      </c>
      <c r="E76" s="38" t="s">
        <v>689</v>
      </c>
      <c r="F76" s="39">
        <v>42350</v>
      </c>
      <c r="G76" s="33"/>
      <c r="H76" t="s">
        <v>620</v>
      </c>
      <c r="I76" t="s">
        <v>35</v>
      </c>
      <c r="J76" t="s">
        <v>35</v>
      </c>
      <c r="K76" t="s">
        <v>621</v>
      </c>
      <c r="L76" s="33">
        <v>46305</v>
      </c>
      <c r="M76" s="27" t="str">
        <f>IF($B76="","",IFERROR(INDEX('العقود'!$D:$D,MATCH($B76,'العقود'!$A:$A,0)),""))</f>
        <v>محيي الدين</v>
      </c>
    </row>
    <row r="77" spans="1:13" x14ac:dyDescent="0.25">
      <c r="A77" t="s">
        <v>697</v>
      </c>
      <c r="B77" t="s">
        <v>95</v>
      </c>
      <c r="C77" s="27" t="str">
        <f>IF($B77="","",IFERROR(INDEX('العقود'!$F:$F,MATCH($B77,'العقود'!$A:$A,0)),""))</f>
        <v>شركة الياسمين للتجارة</v>
      </c>
      <c r="D77" s="27" t="str">
        <f>IF($B77="","",IFERROR(INDEX('العقود'!$E:$E,MATCH($B77,'العقود'!$A:$A,0)),""))</f>
        <v>ميزان 2</v>
      </c>
      <c r="E77" s="38" t="s">
        <v>689</v>
      </c>
      <c r="F77" s="39">
        <v>25410</v>
      </c>
      <c r="G77" s="33"/>
      <c r="H77" t="s">
        <v>620</v>
      </c>
      <c r="I77" t="s">
        <v>35</v>
      </c>
      <c r="J77" t="s">
        <v>35</v>
      </c>
      <c r="K77" t="s">
        <v>621</v>
      </c>
      <c r="L77" s="33">
        <v>46305</v>
      </c>
      <c r="M77" s="27" t="str">
        <f>IF($B77="","",IFERROR(INDEX('العقود'!$D:$D,MATCH($B77,'العقود'!$A:$A,0)),""))</f>
        <v>محيي الدين</v>
      </c>
    </row>
    <row r="78" spans="1:13" x14ac:dyDescent="0.25">
      <c r="A78" t="s">
        <v>698</v>
      </c>
      <c r="B78" t="s">
        <v>103</v>
      </c>
      <c r="C78" s="27" t="str">
        <f>IF($B78="","",IFERROR(INDEX('العقود'!$F:$F,MATCH($B78,'العقود'!$A:$A,0)),""))</f>
        <v>شركة الأفق للاستيراد والتصدير</v>
      </c>
      <c r="D78" s="27" t="str">
        <f>IF($B78="","",IFERROR(INDEX('العقود'!$E:$E,MATCH($B78,'العقود'!$A:$A,0)),""))</f>
        <v>202</v>
      </c>
      <c r="E78" s="38" t="s">
        <v>689</v>
      </c>
      <c r="F78" s="39">
        <v>46585</v>
      </c>
      <c r="G78" s="33"/>
      <c r="H78" t="s">
        <v>620</v>
      </c>
      <c r="I78" t="s">
        <v>35</v>
      </c>
      <c r="J78" t="s">
        <v>35</v>
      </c>
      <c r="K78" t="s">
        <v>621</v>
      </c>
      <c r="L78" s="33">
        <v>46305</v>
      </c>
      <c r="M78" s="27" t="str">
        <f>IF($B78="","",IFERROR(INDEX('العقود'!$D:$D,MATCH($B78,'العقود'!$A:$A,0)),""))</f>
        <v>محيي الدين</v>
      </c>
    </row>
    <row r="79" spans="1:13" x14ac:dyDescent="0.25">
      <c r="A79" t="s">
        <v>699</v>
      </c>
      <c r="B79" t="s">
        <v>110</v>
      </c>
      <c r="C79" s="27" t="str">
        <f>IF($B79="","",IFERROR(INDEX('العقود'!$F:$F,MATCH($B79,'العقود'!$A:$A,0)),""))</f>
        <v>شريف هشام فوزي</v>
      </c>
      <c r="D79" s="27" t="str">
        <f>IF($B79="","",IFERROR(INDEX('العقود'!$E:$E,MATCH($B79,'العقود'!$A:$A,0)),""))</f>
        <v>301</v>
      </c>
      <c r="E79" s="38" t="s">
        <v>689</v>
      </c>
      <c r="F79" s="39">
        <v>22990</v>
      </c>
      <c r="G79" s="33"/>
      <c r="H79" t="s">
        <v>620</v>
      </c>
      <c r="I79" t="s">
        <v>35</v>
      </c>
      <c r="J79" t="s">
        <v>35</v>
      </c>
      <c r="K79" t="s">
        <v>621</v>
      </c>
      <c r="L79" s="33">
        <v>46305</v>
      </c>
      <c r="M79" s="27" t="str">
        <f>IF($B79="","",IFERROR(INDEX('العقود'!$D:$D,MATCH($B79,'العقود'!$A:$A,0)),""))</f>
        <v>محيي الدين</v>
      </c>
    </row>
    <row r="80" spans="1:13" x14ac:dyDescent="0.25">
      <c r="A80" t="s">
        <v>700</v>
      </c>
      <c r="B80" t="s">
        <v>117</v>
      </c>
      <c r="C80" s="27" t="str">
        <f>IF($B80="","",IFERROR(INDEX('العقود'!$F:$F,MATCH($B80,'العقود'!$A:$A,0)),""))</f>
        <v>د/ باسم أمير سليم</v>
      </c>
      <c r="D80" s="27" t="str">
        <f>IF($B80="","",IFERROR(INDEX('العقود'!$E:$E,MATCH($B80,'العقود'!$A:$A,0)),""))</f>
        <v>302</v>
      </c>
      <c r="E80" s="38" t="s">
        <v>689</v>
      </c>
      <c r="F80" s="39">
        <v>35000</v>
      </c>
      <c r="G80" s="33"/>
      <c r="H80" t="s">
        <v>620</v>
      </c>
      <c r="I80" t="s">
        <v>35</v>
      </c>
      <c r="J80" t="s">
        <v>35</v>
      </c>
      <c r="K80" t="s">
        <v>621</v>
      </c>
      <c r="L80" s="33">
        <v>46305</v>
      </c>
      <c r="M80" s="27" t="str">
        <f>IF($B80="","",IFERROR(INDEX('العقود'!$D:$D,MATCH($B80,'العقود'!$A:$A,0)),""))</f>
        <v>محيي الدين</v>
      </c>
    </row>
    <row r="81" spans="1:13" x14ac:dyDescent="0.25">
      <c r="A81" t="s">
        <v>701</v>
      </c>
      <c r="B81" t="s">
        <v>126</v>
      </c>
      <c r="C81" s="27" t="str">
        <f>IF($B81="","",IFERROR(INDEX('العقود'!$F:$F,MATCH($B81,'العقود'!$A:$A,0)),""))</f>
        <v>شركة الصفوة للإنتاج الفني</v>
      </c>
      <c r="D81" s="27" t="str">
        <f>IF($B81="","",IFERROR(INDEX('العقود'!$E:$E,MATCH($B81,'العقود'!$A:$A,0)),""))</f>
        <v>303</v>
      </c>
      <c r="E81" s="38" t="s">
        <v>689</v>
      </c>
      <c r="F81" s="39">
        <v>43000</v>
      </c>
      <c r="G81" s="33"/>
      <c r="H81" t="s">
        <v>620</v>
      </c>
      <c r="I81" t="s">
        <v>35</v>
      </c>
      <c r="J81" t="s">
        <v>35</v>
      </c>
      <c r="K81" t="s">
        <v>621</v>
      </c>
      <c r="L81" s="33">
        <v>46305</v>
      </c>
      <c r="M81" s="27" t="str">
        <f>IF($B81="","",IFERROR(INDEX('العقود'!$D:$D,MATCH($B81,'العقود'!$A:$A,0)),""))</f>
        <v>محيي الدين</v>
      </c>
    </row>
    <row r="82" spans="1:13" x14ac:dyDescent="0.25">
      <c r="A82" t="s">
        <v>702</v>
      </c>
      <c r="B82" t="s">
        <v>130</v>
      </c>
      <c r="C82" s="27" t="str">
        <f>IF($B82="","",IFERROR(INDEX('العقود'!$F:$F,MATCH($B82,'العقود'!$A:$A,0)),""))</f>
        <v>شركة الصفوة للإنتاج الفني</v>
      </c>
      <c r="D82" s="27" t="str">
        <f>IF($B82="","",IFERROR(INDEX('العقود'!$E:$E,MATCH($B82,'العقود'!$A:$A,0)),""))</f>
        <v>304</v>
      </c>
      <c r="E82" s="38" t="s">
        <v>689</v>
      </c>
      <c r="F82" s="39">
        <v>25300</v>
      </c>
      <c r="G82" s="33"/>
      <c r="H82" t="s">
        <v>620</v>
      </c>
      <c r="I82" t="s">
        <v>35</v>
      </c>
      <c r="J82" t="s">
        <v>35</v>
      </c>
      <c r="K82" t="s">
        <v>621</v>
      </c>
      <c r="L82" s="33">
        <v>46305</v>
      </c>
      <c r="M82" s="27" t="str">
        <f>IF($B82="","",IFERROR(INDEX('العقود'!$D:$D,MATCH($B82,'العقود'!$A:$A,0)),""))</f>
        <v>محيي الدين</v>
      </c>
    </row>
    <row r="83" spans="1:13" x14ac:dyDescent="0.25">
      <c r="A83" t="s">
        <v>703</v>
      </c>
      <c r="B83" t="s">
        <v>136</v>
      </c>
      <c r="C83" s="27" t="str">
        <f>IF($B83="","",IFERROR(INDEX('العقود'!$F:$F,MATCH($B83,'العقود'!$A:$A,0)),""))</f>
        <v>د/ يوسف حسن مكرم</v>
      </c>
      <c r="D83" s="27" t="str">
        <f>IF($B83="","",IFERROR(INDEX('العقود'!$E:$E,MATCH($B83,'العقود'!$A:$A,0)),""))</f>
        <v>401</v>
      </c>
      <c r="E83" s="38" t="s">
        <v>689</v>
      </c>
      <c r="F83" s="39">
        <v>37665</v>
      </c>
      <c r="G83" s="33"/>
      <c r="H83" t="s">
        <v>620</v>
      </c>
      <c r="I83" t="s">
        <v>35</v>
      </c>
      <c r="J83" t="s">
        <v>35</v>
      </c>
      <c r="K83" t="s">
        <v>621</v>
      </c>
      <c r="L83" s="33">
        <v>46305</v>
      </c>
      <c r="M83" s="27" t="str">
        <f>IF($B83="","",IFERROR(INDEX('العقود'!$D:$D,MATCH($B83,'العقود'!$A:$A,0)),""))</f>
        <v>محيي الدين</v>
      </c>
    </row>
    <row r="84" spans="1:13" x14ac:dyDescent="0.25">
      <c r="A84" t="s">
        <v>704</v>
      </c>
      <c r="B84" t="s">
        <v>143</v>
      </c>
      <c r="C84" s="27" t="str">
        <f>IF($B84="","",IFERROR(INDEX('العقود'!$F:$F,MATCH($B84,'العقود'!$A:$A,0)),""))</f>
        <v>د/ فادي سعيد منصور</v>
      </c>
      <c r="D84" s="27" t="str">
        <f>IF($B84="","",IFERROR(INDEX('العقود'!$E:$E,MATCH($B84,'العقود'!$A:$A,0)),""))</f>
        <v>404</v>
      </c>
      <c r="E84" s="38" t="s">
        <v>689</v>
      </c>
      <c r="F84" s="39">
        <v>30250</v>
      </c>
      <c r="G84" s="33"/>
      <c r="H84" t="s">
        <v>620</v>
      </c>
      <c r="I84" t="s">
        <v>35</v>
      </c>
      <c r="J84" t="s">
        <v>35</v>
      </c>
      <c r="K84" t="s">
        <v>621</v>
      </c>
      <c r="L84" s="33">
        <v>46305</v>
      </c>
      <c r="M84" s="27" t="str">
        <f>IF($B84="","",IFERROR(INDEX('العقود'!$D:$D,MATCH($B84,'العقود'!$A:$A,0)),""))</f>
        <v>محيي الدين</v>
      </c>
    </row>
    <row r="85" spans="1:13" x14ac:dyDescent="0.25">
      <c r="A85" t="s">
        <v>705</v>
      </c>
      <c r="B85" t="s">
        <v>149</v>
      </c>
      <c r="C85" s="27" t="str">
        <f>IF($B85="","",IFERROR(INDEX('العقود'!$F:$F,MATCH($B85,'العقود'!$A:$A,0)),""))</f>
        <v>د/ رضوى خالد عبد الرحمن</v>
      </c>
      <c r="D85" s="27" t="str">
        <f>IF($B85="","",IFERROR(INDEX('العقود'!$E:$E,MATCH($B85,'العقود'!$A:$A,0)),""))</f>
        <v>502</v>
      </c>
      <c r="E85" s="38" t="s">
        <v>689</v>
      </c>
      <c r="F85" s="39">
        <v>19060</v>
      </c>
      <c r="G85" s="33"/>
      <c r="H85" t="s">
        <v>620</v>
      </c>
      <c r="I85" t="s">
        <v>35</v>
      </c>
      <c r="J85" t="s">
        <v>35</v>
      </c>
      <c r="K85" t="s">
        <v>621</v>
      </c>
      <c r="L85" s="33">
        <v>46305</v>
      </c>
      <c r="M85" s="27" t="str">
        <f>IF($B85="","",IFERROR(INDEX('العقود'!$D:$D,MATCH($B85,'العقود'!$A:$A,0)),""))</f>
        <v>محيي الدين</v>
      </c>
    </row>
    <row r="86" spans="1:13" x14ac:dyDescent="0.25">
      <c r="A86" t="s">
        <v>706</v>
      </c>
      <c r="B86" t="s">
        <v>156</v>
      </c>
      <c r="C86" s="27" t="str">
        <f>IF($B86="","",IFERROR(INDEX('العقود'!$F:$F,MATCH($B86,'العقود'!$A:$A,0)),""))</f>
        <v>د/ آية أيمن بدوي</v>
      </c>
      <c r="D86" s="27" t="str">
        <f>IF($B86="","",IFERROR(INDEX('العقود'!$E:$E,MATCH($B86,'العقود'!$A:$A,0)),""))</f>
        <v>503</v>
      </c>
      <c r="E86" s="38" t="s">
        <v>689</v>
      </c>
      <c r="F86" s="39">
        <v>20570</v>
      </c>
      <c r="G86" s="33"/>
      <c r="H86" t="s">
        <v>620</v>
      </c>
      <c r="I86" t="s">
        <v>35</v>
      </c>
      <c r="J86" t="s">
        <v>35</v>
      </c>
      <c r="K86" t="s">
        <v>621</v>
      </c>
      <c r="L86" s="33">
        <v>46305</v>
      </c>
      <c r="M86" s="27" t="str">
        <f>IF($B86="","",IFERROR(INDEX('العقود'!$D:$D,MATCH($B86,'العقود'!$A:$A,0)),""))</f>
        <v>محيي الدين</v>
      </c>
    </row>
    <row r="87" spans="1:13" x14ac:dyDescent="0.25">
      <c r="A87" t="s">
        <v>707</v>
      </c>
      <c r="B87" t="s">
        <v>162</v>
      </c>
      <c r="C87" s="27" t="str">
        <f>IF($B87="","",IFERROR(INDEX('العقود'!$F:$F,MATCH($B87,'العقود'!$A:$A,0)),""))</f>
        <v>محمد سعيد عبد الرحمن</v>
      </c>
      <c r="D87" s="27" t="str">
        <f>IF($B87="","",IFERROR(INDEX('العقود'!$E:$E,MATCH($B87,'العقود'!$A:$A,0)),""))</f>
        <v>504</v>
      </c>
      <c r="E87" s="38" t="s">
        <v>689</v>
      </c>
      <c r="F87" s="39">
        <v>25410</v>
      </c>
      <c r="G87" s="33"/>
      <c r="H87" t="s">
        <v>620</v>
      </c>
      <c r="I87" t="s">
        <v>35</v>
      </c>
      <c r="J87" t="s">
        <v>35</v>
      </c>
      <c r="K87" t="s">
        <v>621</v>
      </c>
      <c r="L87" s="33">
        <v>46305</v>
      </c>
      <c r="M87" s="27" t="str">
        <f>IF($B87="","",IFERROR(INDEX('العقود'!$D:$D,MATCH($B87,'العقود'!$A:$A,0)),""))</f>
        <v>محيي الدين</v>
      </c>
    </row>
    <row r="88" spans="1:13" x14ac:dyDescent="0.25">
      <c r="A88" t="s">
        <v>708</v>
      </c>
      <c r="B88" t="s">
        <v>171</v>
      </c>
      <c r="C88" s="27" t="str">
        <f>IF($B88="","",IFERROR(INDEX('العقود'!$F:$F,MATCH($B88,'العقود'!$A:$A,0)),""))</f>
        <v>شركة الأمل للإنتاج الفني</v>
      </c>
      <c r="D88" s="27" t="str">
        <f>IF($B88="","",IFERROR(INDEX('العقود'!$E:$E,MATCH($B88,'العقود'!$A:$A,0)),""))</f>
        <v>ميزان 1</v>
      </c>
      <c r="E88" s="38" t="s">
        <v>689</v>
      </c>
      <c r="F88" s="39">
        <v>40700</v>
      </c>
      <c r="G88" s="33"/>
      <c r="H88" t="s">
        <v>620</v>
      </c>
      <c r="I88" t="s">
        <v>35</v>
      </c>
      <c r="J88" t="s">
        <v>35</v>
      </c>
      <c r="K88" t="s">
        <v>621</v>
      </c>
      <c r="L88" s="33">
        <v>46305</v>
      </c>
      <c r="M88" s="27" t="str">
        <f>IF($B88="","",IFERROR(INDEX('العقود'!$D:$D,MATCH($B88,'العقود'!$A:$A,0)),""))</f>
        <v>ابو بكر</v>
      </c>
    </row>
    <row r="89" spans="1:13" x14ac:dyDescent="0.25">
      <c r="A89" t="s">
        <v>709</v>
      </c>
      <c r="B89" t="s">
        <v>177</v>
      </c>
      <c r="C89" s="27" t="str">
        <f>IF($B89="","",IFERROR(INDEX('العقود'!$F:$F,MATCH($B89,'العقود'!$A:$A,0)),""))</f>
        <v>شركة النور للاستشارات الهندسية</v>
      </c>
      <c r="D89" s="27" t="str">
        <f>IF($B89="","",IFERROR(INDEX('العقود'!$E:$E,MATCH($B89,'العقود'!$A:$A,0)),""))</f>
        <v>ميزان 2</v>
      </c>
      <c r="E89" s="38" t="s">
        <v>689</v>
      </c>
      <c r="F89" s="39">
        <v>40700</v>
      </c>
      <c r="G89" s="33"/>
      <c r="H89" t="s">
        <v>620</v>
      </c>
      <c r="I89" t="s">
        <v>35</v>
      </c>
      <c r="J89" t="s">
        <v>35</v>
      </c>
      <c r="K89" t="s">
        <v>621</v>
      </c>
      <c r="L89" s="33">
        <v>46305</v>
      </c>
      <c r="M89" s="27" t="str">
        <f>IF($B89="","",IFERROR(INDEX('العقود'!$D:$D,MATCH($B89,'العقود'!$A:$A,0)),""))</f>
        <v>ابو بكر</v>
      </c>
    </row>
    <row r="90" spans="1:13" x14ac:dyDescent="0.25">
      <c r="A90" t="s">
        <v>710</v>
      </c>
      <c r="B90" t="s">
        <v>183</v>
      </c>
      <c r="C90" s="27" t="str">
        <f>IF($B90="","",IFERROR(INDEX('العقود'!$F:$F,MATCH($B90,'العقود'!$A:$A,0)),""))</f>
        <v>عادل عمر مكرم</v>
      </c>
      <c r="D90" s="27" t="str">
        <f>IF($B90="","",IFERROR(INDEX('العقود'!$E:$E,MATCH($B90,'العقود'!$A:$A,0)),""))</f>
        <v>102</v>
      </c>
      <c r="E90" s="38" t="s">
        <v>689</v>
      </c>
      <c r="F90" s="39">
        <v>17500</v>
      </c>
      <c r="G90" s="33"/>
      <c r="H90" t="s">
        <v>620</v>
      </c>
      <c r="I90" t="s">
        <v>35</v>
      </c>
      <c r="J90" t="s">
        <v>35</v>
      </c>
      <c r="K90" t="s">
        <v>621</v>
      </c>
      <c r="L90" s="33">
        <v>46305</v>
      </c>
      <c r="M90" s="27" t="str">
        <f>IF($B90="","",IFERROR(INDEX('العقود'!$D:$D,MATCH($B90,'العقود'!$A:$A,0)),""))</f>
        <v>ابو بكر</v>
      </c>
    </row>
    <row r="91" spans="1:13" x14ac:dyDescent="0.25">
      <c r="A91" t="s">
        <v>711</v>
      </c>
      <c r="B91" t="s">
        <v>190</v>
      </c>
      <c r="C91" s="27" t="str">
        <f>IF($B91="","",IFERROR(INDEX('العقود'!$F:$F,MATCH($B91,'العقود'!$A:$A,0)),""))</f>
        <v>تامر علي بدوي</v>
      </c>
      <c r="D91" s="27" t="str">
        <f>IF($B91="","",IFERROR(INDEX('العقود'!$E:$E,MATCH($B91,'العقود'!$A:$A,0)),""))</f>
        <v>103</v>
      </c>
      <c r="E91" s="38" t="s">
        <v>689</v>
      </c>
      <c r="F91" s="39">
        <v>7000</v>
      </c>
      <c r="G91" s="33"/>
      <c r="H91" t="s">
        <v>620</v>
      </c>
      <c r="I91" t="s">
        <v>35</v>
      </c>
      <c r="J91" t="s">
        <v>35</v>
      </c>
      <c r="K91" t="s">
        <v>621</v>
      </c>
      <c r="L91" s="33">
        <v>46305</v>
      </c>
      <c r="M91" s="27" t="str">
        <f>IF($B91="","",IFERROR(INDEX('العقود'!$D:$D,MATCH($B91,'العقود'!$A:$A,0)),""))</f>
        <v>ابو بكر</v>
      </c>
    </row>
    <row r="92" spans="1:13" x14ac:dyDescent="0.25">
      <c r="A92" t="s">
        <v>712</v>
      </c>
      <c r="B92" t="s">
        <v>196</v>
      </c>
      <c r="C92" s="27" t="str">
        <f>IF($B92="","",IFERROR(INDEX('العقود'!$F:$F,MATCH($B92,'العقود'!$A:$A,0)),""))</f>
        <v>مروان محمود حسنين</v>
      </c>
      <c r="D92" s="27" t="str">
        <f>IF($B92="","",IFERROR(INDEX('العقود'!$E:$E,MATCH($B92,'العقود'!$A:$A,0)),""))</f>
        <v>104</v>
      </c>
      <c r="E92" s="38" t="s">
        <v>689</v>
      </c>
      <c r="F92" s="39">
        <v>13000</v>
      </c>
      <c r="G92" s="33"/>
      <c r="H92" t="s">
        <v>620</v>
      </c>
      <c r="I92" t="s">
        <v>35</v>
      </c>
      <c r="J92" t="s">
        <v>35</v>
      </c>
      <c r="K92" t="s">
        <v>621</v>
      </c>
      <c r="L92" s="33">
        <v>46305</v>
      </c>
      <c r="M92" s="27" t="str">
        <f>IF($B92="","",IFERROR(INDEX('العقود'!$D:$D,MATCH($B92,'العقود'!$A:$A,0)),""))</f>
        <v>ابو بكر</v>
      </c>
    </row>
    <row r="93" spans="1:13" x14ac:dyDescent="0.25">
      <c r="A93" t="s">
        <v>713</v>
      </c>
      <c r="B93" t="s">
        <v>201</v>
      </c>
      <c r="C93" s="27" t="str">
        <f>IF($B93="","",IFERROR(INDEX('العقود'!$F:$F,MATCH($B93,'العقود'!$A:$A,0)),""))</f>
        <v>عادل عمر مكرم</v>
      </c>
      <c r="D93" s="27" t="str">
        <f>IF($B93="","",IFERROR(INDEX('العقود'!$E:$E,MATCH($B93,'العقود'!$A:$A,0)),""))</f>
        <v>105</v>
      </c>
      <c r="E93" s="38" t="s">
        <v>689</v>
      </c>
      <c r="F93" s="39">
        <v>13500</v>
      </c>
      <c r="G93" s="33"/>
      <c r="H93" t="s">
        <v>620</v>
      </c>
      <c r="I93" t="s">
        <v>35</v>
      </c>
      <c r="J93" t="s">
        <v>35</v>
      </c>
      <c r="K93" t="s">
        <v>621</v>
      </c>
      <c r="L93" s="33">
        <v>46305</v>
      </c>
      <c r="M93" s="27" t="str">
        <f>IF($B93="","",IFERROR(INDEX('العقود'!$D:$D,MATCH($B93,'العقود'!$A:$A,0)),""))</f>
        <v>ابو بكر</v>
      </c>
    </row>
    <row r="94" spans="1:13" x14ac:dyDescent="0.25">
      <c r="A94" t="s">
        <v>714</v>
      </c>
      <c r="B94" t="s">
        <v>207</v>
      </c>
      <c r="C94" s="27" t="str">
        <f>IF($B94="","",IFERROR(INDEX('العقود'!$F:$F,MATCH($B94,'العقود'!$A:$A,0)),""))</f>
        <v>حسين أمير بدوي</v>
      </c>
      <c r="D94" s="27" t="str">
        <f>IF($B94="","",IFERROR(INDEX('العقود'!$E:$E,MATCH($B94,'العقود'!$A:$A,0)),""))</f>
        <v>106</v>
      </c>
      <c r="E94" s="38" t="s">
        <v>689</v>
      </c>
      <c r="F94" s="39">
        <v>7000</v>
      </c>
      <c r="G94" s="33"/>
      <c r="H94" t="s">
        <v>620</v>
      </c>
      <c r="I94" t="s">
        <v>35</v>
      </c>
      <c r="J94" t="s">
        <v>35</v>
      </c>
      <c r="K94" t="s">
        <v>621</v>
      </c>
      <c r="L94" s="33">
        <v>46305</v>
      </c>
      <c r="M94" s="27" t="str">
        <f>IF($B94="","",IFERROR(INDEX('العقود'!$D:$D,MATCH($B94,'العقود'!$A:$A,0)),""))</f>
        <v>ابو بكر</v>
      </c>
    </row>
    <row r="95" spans="1:13" x14ac:dyDescent="0.25">
      <c r="A95" t="s">
        <v>715</v>
      </c>
      <c r="B95" t="s">
        <v>211</v>
      </c>
      <c r="C95" s="27" t="str">
        <f>IF($B95="","",IFERROR(INDEX('العقود'!$F:$F,MATCH($B95,'العقود'!$A:$A,0)),""))</f>
        <v>حسين أمير بدوي</v>
      </c>
      <c r="D95" s="27" t="str">
        <f>IF($B95="","",IFERROR(INDEX('العقود'!$E:$E,MATCH($B95,'العقود'!$A:$A,0)),""))</f>
        <v>107</v>
      </c>
      <c r="E95" s="38" t="s">
        <v>689</v>
      </c>
      <c r="F95" s="39">
        <v>6000</v>
      </c>
      <c r="G95" s="33"/>
      <c r="H95" t="s">
        <v>620</v>
      </c>
      <c r="I95" t="s">
        <v>35</v>
      </c>
      <c r="J95" t="s">
        <v>35</v>
      </c>
      <c r="K95" t="s">
        <v>621</v>
      </c>
      <c r="L95" s="33">
        <v>46305</v>
      </c>
      <c r="M95" s="27" t="str">
        <f>IF($B95="","",IFERROR(INDEX('العقود'!$D:$D,MATCH($B95,'العقود'!$A:$A,0)),""))</f>
        <v>ابو بكر</v>
      </c>
    </row>
    <row r="96" spans="1:13" x14ac:dyDescent="0.25">
      <c r="A96" t="s">
        <v>716</v>
      </c>
      <c r="B96" t="s">
        <v>215</v>
      </c>
      <c r="C96" s="27" t="str">
        <f>IF($B96="","",IFERROR(INDEX('العقود'!$F:$F,MATCH($B96,'العقود'!$A:$A,0)),""))</f>
        <v>حسين أمير بدوي</v>
      </c>
      <c r="D96" s="27" t="str">
        <f>IF($B96="","",IFERROR(INDEX('العقود'!$E:$E,MATCH($B96,'العقود'!$A:$A,0)),""))</f>
        <v>108</v>
      </c>
      <c r="E96" s="38" t="s">
        <v>689</v>
      </c>
      <c r="F96" s="39">
        <v>6000</v>
      </c>
      <c r="G96" s="33"/>
      <c r="H96" t="s">
        <v>620</v>
      </c>
      <c r="I96" t="s">
        <v>35</v>
      </c>
      <c r="J96" t="s">
        <v>35</v>
      </c>
      <c r="K96" t="s">
        <v>621</v>
      </c>
      <c r="L96" s="33">
        <v>46305</v>
      </c>
      <c r="M96" s="27" t="str">
        <f>IF($B96="","",IFERROR(INDEX('العقود'!$D:$D,MATCH($B96,'العقود'!$A:$A,0)),""))</f>
        <v>ابو بكر</v>
      </c>
    </row>
    <row r="97" spans="1:13" x14ac:dyDescent="0.25">
      <c r="A97" t="s">
        <v>717</v>
      </c>
      <c r="B97" t="s">
        <v>222</v>
      </c>
      <c r="C97" s="27" t="str">
        <f>IF($B97="","",IFERROR(INDEX('العقود'!$F:$F,MATCH($B97,'العقود'!$A:$A,0)),""))</f>
        <v>شركة الأفق للتدريب</v>
      </c>
      <c r="D97" s="27" t="str">
        <f>IF($B97="","",IFERROR(INDEX('العقود'!$E:$E,MATCH($B97,'العقود'!$A:$A,0)),""))</f>
        <v>201</v>
      </c>
      <c r="E97" s="38" t="s">
        <v>689</v>
      </c>
      <c r="F97" s="39">
        <v>11495</v>
      </c>
      <c r="G97" s="33"/>
      <c r="H97" t="s">
        <v>620</v>
      </c>
      <c r="I97" t="s">
        <v>35</v>
      </c>
      <c r="J97" t="s">
        <v>35</v>
      </c>
      <c r="K97" t="s">
        <v>621</v>
      </c>
      <c r="L97" s="33">
        <v>46305</v>
      </c>
      <c r="M97" s="27" t="str">
        <f>IF($B97="","",IFERROR(INDEX('العقود'!$D:$D,MATCH($B97,'العقود'!$A:$A,0)),""))</f>
        <v>ابو بكر</v>
      </c>
    </row>
    <row r="98" spans="1:13" x14ac:dyDescent="0.25">
      <c r="A98" t="s">
        <v>718</v>
      </c>
      <c r="B98" t="s">
        <v>228</v>
      </c>
      <c r="C98" s="27" t="str">
        <f>IF($B98="","",IFERROR(INDEX('العقود'!$F:$F,MATCH($B98,'العقود'!$A:$A,0)),""))</f>
        <v>د/ نادر شريف شاكر</v>
      </c>
      <c r="D98" s="27" t="str">
        <f>IF($B98="","",IFERROR(INDEX('العقود'!$E:$E,MATCH($B98,'العقود'!$A:$A,0)),""))</f>
        <v>202</v>
      </c>
      <c r="E98" s="38" t="s">
        <v>689</v>
      </c>
      <c r="F98" s="39">
        <v>16500</v>
      </c>
      <c r="G98" s="33"/>
      <c r="H98" t="s">
        <v>620</v>
      </c>
      <c r="I98" t="s">
        <v>35</v>
      </c>
      <c r="J98" t="s">
        <v>35</v>
      </c>
      <c r="K98" t="s">
        <v>621</v>
      </c>
      <c r="L98" s="33">
        <v>46305</v>
      </c>
      <c r="M98" s="27" t="str">
        <f>IF($B98="","",IFERROR(INDEX('العقود'!$D:$D,MATCH($B98,'العقود'!$A:$A,0)),""))</f>
        <v>ابو بكر</v>
      </c>
    </row>
    <row r="99" spans="1:13" x14ac:dyDescent="0.25">
      <c r="A99" t="s">
        <v>719</v>
      </c>
      <c r="B99" t="s">
        <v>235</v>
      </c>
      <c r="C99" s="27" t="str">
        <f>IF($B99="","",IFERROR(INDEX('العقود'!$F:$F,MATCH($B99,'العقود'!$A:$A,0)),""))</f>
        <v>د/ يوسف خالد الخولي</v>
      </c>
      <c r="D99" s="27" t="str">
        <f>IF($B99="","",IFERROR(INDEX('العقود'!$E:$E,MATCH($B99,'العقود'!$A:$A,0)),""))</f>
        <v>204</v>
      </c>
      <c r="E99" s="38" t="s">
        <v>689</v>
      </c>
      <c r="F99" s="39">
        <v>12500</v>
      </c>
      <c r="G99" s="33"/>
      <c r="H99" t="s">
        <v>620</v>
      </c>
      <c r="I99" t="s">
        <v>35</v>
      </c>
      <c r="J99" t="s">
        <v>35</v>
      </c>
      <c r="K99" t="s">
        <v>621</v>
      </c>
      <c r="L99" s="33">
        <v>46305</v>
      </c>
      <c r="M99" s="27" t="str">
        <f>IF($B99="","",IFERROR(INDEX('العقود'!$D:$D,MATCH($B99,'العقود'!$A:$A,0)),""))</f>
        <v>ابو بكر</v>
      </c>
    </row>
    <row r="100" spans="1:13" x14ac:dyDescent="0.25">
      <c r="A100" t="s">
        <v>720</v>
      </c>
      <c r="B100" t="s">
        <v>246</v>
      </c>
      <c r="C100" s="27" t="str">
        <f>IF($B100="","",IFERROR(INDEX('العقود'!$F:$F,MATCH($B100,'العقود'!$A:$A,0)),""))</f>
        <v>أحمد عمرو سليم</v>
      </c>
      <c r="D100" s="27" t="str">
        <f>IF($B100="","",IFERROR(INDEX('العقود'!$E:$E,MATCH($B100,'العقود'!$A:$A,0)),""))</f>
        <v>205</v>
      </c>
      <c r="E100" s="38" t="s">
        <v>689</v>
      </c>
      <c r="F100" s="39">
        <v>14000</v>
      </c>
      <c r="G100" s="33"/>
      <c r="H100" t="s">
        <v>620</v>
      </c>
      <c r="I100" t="s">
        <v>35</v>
      </c>
      <c r="J100" t="s">
        <v>35</v>
      </c>
      <c r="K100" t="s">
        <v>621</v>
      </c>
      <c r="L100" s="33">
        <v>46305</v>
      </c>
      <c r="M100" s="27" t="str">
        <f>IF($B100="","",IFERROR(INDEX('العقود'!$D:$D,MATCH($B100,'العقود'!$A:$A,0)),""))</f>
        <v>ابو بكر</v>
      </c>
    </row>
    <row r="101" spans="1:13" x14ac:dyDescent="0.25">
      <c r="A101" t="s">
        <v>721</v>
      </c>
      <c r="B101" t="s">
        <v>253</v>
      </c>
      <c r="C101" s="27" t="str">
        <f>IF($B101="","",IFERROR(INDEX('العقود'!$F:$F,MATCH($B101,'العقود'!$A:$A,0)),""))</f>
        <v>شركة النخبة للتجارة</v>
      </c>
      <c r="D101" s="27" t="str">
        <f>IF($B101="","",IFERROR(INDEX('العقود'!$E:$E,MATCH($B101,'العقود'!$A:$A,0)),""))</f>
        <v>206</v>
      </c>
      <c r="E101" s="38" t="s">
        <v>689</v>
      </c>
      <c r="F101" s="39">
        <v>16500</v>
      </c>
      <c r="G101" s="33"/>
      <c r="H101" t="s">
        <v>620</v>
      </c>
      <c r="I101" t="s">
        <v>35</v>
      </c>
      <c r="J101" t="s">
        <v>35</v>
      </c>
      <c r="K101" t="s">
        <v>621</v>
      </c>
      <c r="L101" s="33">
        <v>46305</v>
      </c>
      <c r="M101" s="27" t="str">
        <f>IF($B101="","",IFERROR(INDEX('العقود'!$D:$D,MATCH($B101,'العقود'!$A:$A,0)),""))</f>
        <v>ابو بكر</v>
      </c>
    </row>
    <row r="102" spans="1:13" x14ac:dyDescent="0.25">
      <c r="A102" t="s">
        <v>722</v>
      </c>
      <c r="B102" t="s">
        <v>268</v>
      </c>
      <c r="C102" s="27" t="str">
        <f>IF($B102="","",IFERROR(INDEX('العقود'!$F:$F,MATCH($B102,'العقود'!$A:$A,0)),""))</f>
        <v>شركة النخبة للإنتاج الفني</v>
      </c>
      <c r="D102" s="27" t="str">
        <f>IF($B102="","",IFERROR(INDEX('العقود'!$E:$E,MATCH($B102,'العقود'!$A:$A,0)),""))</f>
        <v>208</v>
      </c>
      <c r="E102" s="38" t="s">
        <v>689</v>
      </c>
      <c r="F102" s="39">
        <v>19250</v>
      </c>
      <c r="G102" s="33"/>
      <c r="H102" t="s">
        <v>620</v>
      </c>
      <c r="I102" t="s">
        <v>35</v>
      </c>
      <c r="J102" t="s">
        <v>35</v>
      </c>
      <c r="K102" t="s">
        <v>621</v>
      </c>
      <c r="L102" s="33">
        <v>46305</v>
      </c>
      <c r="M102" s="27" t="str">
        <f>IF($B102="","",IFERROR(INDEX('العقود'!$D:$D,MATCH($B102,'العقود'!$A:$A,0)),""))</f>
        <v>ابو بكر</v>
      </c>
    </row>
    <row r="103" spans="1:13" x14ac:dyDescent="0.25">
      <c r="A103" t="s">
        <v>723</v>
      </c>
      <c r="B103" t="s">
        <v>273</v>
      </c>
      <c r="C103" s="27" t="str">
        <f>IF($B103="","",IFERROR(INDEX('العقود'!$F:$F,MATCH($B103,'العقود'!$A:$A,0)),""))</f>
        <v>أحمد طارق غانم</v>
      </c>
      <c r="D103" s="27" t="str">
        <f>IF($B103="","",IFERROR(INDEX('العقود'!$E:$E,MATCH($B103,'العقود'!$A:$A,0)),""))</f>
        <v>301</v>
      </c>
      <c r="E103" s="38" t="s">
        <v>689</v>
      </c>
      <c r="F103" s="39">
        <v>17000</v>
      </c>
      <c r="G103" s="33"/>
      <c r="H103" t="s">
        <v>620</v>
      </c>
      <c r="I103" t="s">
        <v>35</v>
      </c>
      <c r="J103" t="s">
        <v>35</v>
      </c>
      <c r="K103" t="s">
        <v>621</v>
      </c>
      <c r="L103" s="33">
        <v>46305</v>
      </c>
      <c r="M103" s="27" t="str">
        <f>IF($B103="","",IFERROR(INDEX('العقود'!$D:$D,MATCH($B103,'العقود'!$A:$A,0)),""))</f>
        <v>ابو بكر</v>
      </c>
    </row>
    <row r="104" spans="1:13" x14ac:dyDescent="0.25">
      <c r="A104" t="s">
        <v>724</v>
      </c>
      <c r="B104" t="s">
        <v>279</v>
      </c>
      <c r="C104" s="27" t="str">
        <f>IF($B104="","",IFERROR(INDEX('العقود'!$F:$F,MATCH($B104,'العقود'!$A:$A,0)),""))</f>
        <v>خالد شريف زكي</v>
      </c>
      <c r="D104" s="27" t="str">
        <f>IF($B104="","",IFERROR(INDEX('العقود'!$E:$E,MATCH($B104,'العقود'!$A:$A,0)),""))</f>
        <v>302</v>
      </c>
      <c r="E104" s="38" t="s">
        <v>689</v>
      </c>
      <c r="F104" s="39">
        <v>17000</v>
      </c>
      <c r="G104" s="33"/>
      <c r="H104" t="s">
        <v>620</v>
      </c>
      <c r="I104" t="s">
        <v>35</v>
      </c>
      <c r="J104" t="s">
        <v>35</v>
      </c>
      <c r="K104" t="s">
        <v>621</v>
      </c>
      <c r="L104" s="33">
        <v>46305</v>
      </c>
      <c r="M104" s="27" t="str">
        <f>IF($B104="","",IFERROR(INDEX('العقود'!$D:$D,MATCH($B104,'العقود'!$A:$A,0)),""))</f>
        <v>ابو بكر</v>
      </c>
    </row>
    <row r="105" spans="1:13" x14ac:dyDescent="0.25">
      <c r="A105" t="s">
        <v>725</v>
      </c>
      <c r="B105" t="s">
        <v>282</v>
      </c>
      <c r="C105" s="27" t="str">
        <f>IF($B105="","",IFERROR(INDEX('العقود'!$F:$F,MATCH($B105,'العقود'!$A:$A,0)),""))</f>
        <v>عادل عمر مكرم</v>
      </c>
      <c r="D105" s="27" t="str">
        <f>IF($B105="","",IFERROR(INDEX('العقود'!$E:$E,MATCH($B105,'العقود'!$A:$A,0)),""))</f>
        <v>303</v>
      </c>
      <c r="E105" s="38" t="s">
        <v>689</v>
      </c>
      <c r="F105" s="39">
        <v>19000</v>
      </c>
      <c r="G105" s="33"/>
      <c r="H105" t="s">
        <v>620</v>
      </c>
      <c r="I105" t="s">
        <v>35</v>
      </c>
      <c r="J105" t="s">
        <v>35</v>
      </c>
      <c r="K105" t="s">
        <v>621</v>
      </c>
      <c r="L105" s="33">
        <v>46305</v>
      </c>
      <c r="M105" s="27" t="str">
        <f>IF($B105="","",IFERROR(INDEX('العقود'!$D:$D,MATCH($B105,'العقود'!$A:$A,0)),""))</f>
        <v>ابو بكر</v>
      </c>
    </row>
    <row r="106" spans="1:13" x14ac:dyDescent="0.25">
      <c r="A106" t="s">
        <v>726</v>
      </c>
      <c r="B106" t="s">
        <v>298</v>
      </c>
      <c r="C106" s="27" t="str">
        <f>IF($B106="","",IFERROR(INDEX('العقود'!$F:$F,MATCH($B106,'العقود'!$A:$A,0)),""))</f>
        <v>شركة النور للخدمات الطبية</v>
      </c>
      <c r="D106" s="27" t="str">
        <f>IF($B106="","",IFERROR(INDEX('العقود'!$E:$E,MATCH($B106,'العقود'!$A:$A,0)),""))</f>
        <v>305</v>
      </c>
      <c r="E106" s="38" t="s">
        <v>689</v>
      </c>
      <c r="F106" s="39">
        <v>11500</v>
      </c>
      <c r="G106" s="33"/>
      <c r="H106" t="s">
        <v>620</v>
      </c>
      <c r="I106" t="s">
        <v>35</v>
      </c>
      <c r="J106" t="s">
        <v>35</v>
      </c>
      <c r="K106" t="s">
        <v>621</v>
      </c>
      <c r="L106" s="33">
        <v>46305</v>
      </c>
      <c r="M106" s="27" t="str">
        <f>IF($B106="","",IFERROR(INDEX('العقود'!$D:$D,MATCH($B106,'العقود'!$A:$A,0)),""))</f>
        <v>ابو بكر</v>
      </c>
    </row>
    <row r="107" spans="1:13" x14ac:dyDescent="0.25">
      <c r="A107" t="s">
        <v>727</v>
      </c>
      <c r="B107" t="s">
        <v>304</v>
      </c>
      <c r="C107" s="27" t="str">
        <f>IF($B107="","",IFERROR(INDEX('العقود'!$F:$F,MATCH($B107,'العقود'!$A:$A,0)),""))</f>
        <v>سامح إبراهيم منصور</v>
      </c>
      <c r="D107" s="27" t="str">
        <f>IF($B107="","",IFERROR(INDEX('العقود'!$E:$E,MATCH($B107,'العقود'!$A:$A,0)),""))</f>
        <v>306</v>
      </c>
      <c r="E107" s="38" t="s">
        <v>689</v>
      </c>
      <c r="F107" s="39">
        <v>11195</v>
      </c>
      <c r="G107" s="33"/>
      <c r="H107" t="s">
        <v>620</v>
      </c>
      <c r="I107" t="s">
        <v>35</v>
      </c>
      <c r="J107" t="s">
        <v>35</v>
      </c>
      <c r="K107" t="s">
        <v>621</v>
      </c>
      <c r="L107" s="33">
        <v>46305</v>
      </c>
      <c r="M107" s="27" t="str">
        <f>IF($B107="","",IFERROR(INDEX('العقود'!$D:$D,MATCH($B107,'العقود'!$A:$A,0)),""))</f>
        <v>ابو بكر</v>
      </c>
    </row>
    <row r="108" spans="1:13" x14ac:dyDescent="0.25">
      <c r="A108" t="s">
        <v>728</v>
      </c>
      <c r="B108" t="s">
        <v>311</v>
      </c>
      <c r="C108" s="27" t="str">
        <f>IF($B108="","",IFERROR(INDEX('العقود'!$F:$F,MATCH($B108,'العقود'!$A:$A,0)),""))</f>
        <v>د/ منى أمير الشريف</v>
      </c>
      <c r="D108" s="27" t="str">
        <f>IF($B108="","",IFERROR(INDEX('العقود'!$E:$E,MATCH($B108,'العقود'!$A:$A,0)),""))</f>
        <v>307</v>
      </c>
      <c r="E108" s="38" t="s">
        <v>689</v>
      </c>
      <c r="F108" s="39">
        <v>12100</v>
      </c>
      <c r="G108" s="33"/>
      <c r="H108" t="s">
        <v>620</v>
      </c>
      <c r="I108" t="s">
        <v>35</v>
      </c>
      <c r="J108" t="s">
        <v>35</v>
      </c>
      <c r="K108" t="s">
        <v>621</v>
      </c>
      <c r="L108" s="33">
        <v>46305</v>
      </c>
      <c r="M108" s="27" t="str">
        <f>IF($B108="","",IFERROR(INDEX('العقود'!$D:$D,MATCH($B108,'العقود'!$A:$A,0)),""))</f>
        <v>ابو بكر</v>
      </c>
    </row>
    <row r="109" spans="1:13" x14ac:dyDescent="0.25">
      <c r="A109" t="s">
        <v>729</v>
      </c>
      <c r="B109" t="s">
        <v>318</v>
      </c>
      <c r="C109" s="27" t="str">
        <f>IF($B109="","",IFERROR(INDEX('العقود'!$F:$F,MATCH($B109,'العقود'!$A:$A,0)),""))</f>
        <v>شركة الأمل للخدمات الطبية</v>
      </c>
      <c r="D109" s="27" t="str">
        <f>IF($B109="","",IFERROR(INDEX('العقود'!$E:$E,MATCH($B109,'العقود'!$A:$A,0)),""))</f>
        <v>401</v>
      </c>
      <c r="E109" s="38" t="s">
        <v>689</v>
      </c>
      <c r="F109" s="39">
        <v>11000</v>
      </c>
      <c r="G109" s="33"/>
      <c r="H109" t="s">
        <v>620</v>
      </c>
      <c r="I109" t="s">
        <v>35</v>
      </c>
      <c r="J109" t="s">
        <v>35</v>
      </c>
      <c r="K109" t="s">
        <v>621</v>
      </c>
      <c r="L109" s="33">
        <v>46305</v>
      </c>
      <c r="M109" s="27" t="str">
        <f>IF($B109="","",IFERROR(INDEX('العقود'!$D:$D,MATCH($B109,'العقود'!$A:$A,0)),""))</f>
        <v>ابو بكر</v>
      </c>
    </row>
    <row r="110" spans="1:13" x14ac:dyDescent="0.25">
      <c r="A110" t="s">
        <v>730</v>
      </c>
      <c r="B110" t="s">
        <v>325</v>
      </c>
      <c r="C110" s="27" t="str">
        <f>IF($B110="","",IFERROR(INDEX('العقود'!$F:$F,MATCH($B110,'العقود'!$A:$A,0)),""))</f>
        <v>شركة البركة للتدريب</v>
      </c>
      <c r="D110" s="27" t="str">
        <f>IF($B110="","",IFERROR(INDEX('العقود'!$E:$E,MATCH($B110,'العقود'!$A:$A,0)),""))</f>
        <v>403</v>
      </c>
      <c r="E110" s="38" t="s">
        <v>689</v>
      </c>
      <c r="F110" s="39">
        <v>14850</v>
      </c>
      <c r="G110" s="33"/>
      <c r="H110" t="s">
        <v>620</v>
      </c>
      <c r="I110" t="s">
        <v>35</v>
      </c>
      <c r="J110" t="s">
        <v>35</v>
      </c>
      <c r="K110" t="s">
        <v>621</v>
      </c>
      <c r="L110" s="33">
        <v>46305</v>
      </c>
      <c r="M110" s="27" t="str">
        <f>IF($B110="","",IFERROR(INDEX('العقود'!$D:$D,MATCH($B110,'العقود'!$A:$A,0)),""))</f>
        <v>ابو بكر</v>
      </c>
    </row>
    <row r="111" spans="1:13" x14ac:dyDescent="0.25">
      <c r="A111" t="s">
        <v>731</v>
      </c>
      <c r="B111" t="s">
        <v>330</v>
      </c>
      <c r="C111" s="27" t="str">
        <f>IF($B111="","",IFERROR(INDEX('العقود'!$F:$F,MATCH($B111,'العقود'!$A:$A,0)),""))</f>
        <v>آية محمود بدوي</v>
      </c>
      <c r="D111" s="27" t="str">
        <f>IF($B111="","",IFERROR(INDEX('العقود'!$E:$E,MATCH($B111,'العقود'!$A:$A,0)),""))</f>
        <v>404</v>
      </c>
      <c r="E111" s="38" t="s">
        <v>689</v>
      </c>
      <c r="F111" s="39">
        <v>12000</v>
      </c>
      <c r="G111" s="33"/>
      <c r="H111" t="s">
        <v>620</v>
      </c>
      <c r="I111" t="s">
        <v>35</v>
      </c>
      <c r="J111" t="s">
        <v>35</v>
      </c>
      <c r="K111" t="s">
        <v>621</v>
      </c>
      <c r="L111" s="33">
        <v>46305</v>
      </c>
      <c r="M111" s="27" t="str">
        <f>IF($B111="","",IFERROR(INDEX('العقود'!$D:$D,MATCH($B111,'العقود'!$A:$A,0)),""))</f>
        <v>ابو بكر</v>
      </c>
    </row>
    <row r="112" spans="1:13" x14ac:dyDescent="0.25">
      <c r="A112" t="s">
        <v>732</v>
      </c>
      <c r="B112" t="s">
        <v>338</v>
      </c>
      <c r="C112" s="27" t="str">
        <f>IF($B112="","",IFERROR(INDEX('العقود'!$F:$F,MATCH($B112,'العقود'!$A:$A,0)),""))</f>
        <v>شركة الأصيل للإنتاج الفني</v>
      </c>
      <c r="D112" s="27" t="str">
        <f>IF($B112="","",IFERROR(INDEX('العقود'!$E:$E,MATCH($B112,'العقود'!$A:$A,0)),""))</f>
        <v>405</v>
      </c>
      <c r="E112" s="38" t="s">
        <v>689</v>
      </c>
      <c r="F112" s="39">
        <v>12000</v>
      </c>
      <c r="G112" s="33"/>
      <c r="H112" t="s">
        <v>620</v>
      </c>
      <c r="I112" t="s">
        <v>35</v>
      </c>
      <c r="J112" t="s">
        <v>35</v>
      </c>
      <c r="K112" t="s">
        <v>621</v>
      </c>
      <c r="L112" s="33">
        <v>46305</v>
      </c>
      <c r="M112" s="27" t="str">
        <f>IF($B112="","",IFERROR(INDEX('العقود'!$D:$D,MATCH($B112,'العقود'!$A:$A,0)),""))</f>
        <v>ابو بكر</v>
      </c>
    </row>
    <row r="113" spans="1:13" x14ac:dyDescent="0.25">
      <c r="A113" t="s">
        <v>733</v>
      </c>
      <c r="B113" t="s">
        <v>346</v>
      </c>
      <c r="C113" s="27" t="str">
        <f>IF($B113="","",IFERROR(INDEX('العقود'!$F:$F,MATCH($B113,'العقود'!$A:$A,0)),""))</f>
        <v>شركة البركة للاستشارات الهندسية</v>
      </c>
      <c r="D113" s="27" t="str">
        <f>IF($B113="","",IFERROR(INDEX('العقود'!$E:$E,MATCH($B113,'العقود'!$A:$A,0)),""))</f>
        <v>406</v>
      </c>
      <c r="E113" s="38" t="s">
        <v>689</v>
      </c>
      <c r="F113" s="39">
        <v>14565</v>
      </c>
      <c r="G113" s="33"/>
      <c r="H113" t="s">
        <v>620</v>
      </c>
      <c r="I113" t="s">
        <v>35</v>
      </c>
      <c r="J113" t="s">
        <v>35</v>
      </c>
      <c r="K113" t="s">
        <v>621</v>
      </c>
      <c r="L113" s="33">
        <v>46305</v>
      </c>
      <c r="M113" s="27" t="str">
        <f>IF($B113="","",IFERROR(INDEX('العقود'!$D:$D,MATCH($B113,'العقود'!$A:$A,0)),""))</f>
        <v>ابو بكر</v>
      </c>
    </row>
    <row r="114" spans="1:13" x14ac:dyDescent="0.25">
      <c r="A114" t="s">
        <v>734</v>
      </c>
      <c r="B114" t="s">
        <v>353</v>
      </c>
      <c r="C114" s="27" t="str">
        <f>IF($B114="","",IFERROR(INDEX('العقود'!$F:$F,MATCH($B114,'العقود'!$A:$A,0)),""))</f>
        <v>شركة الهرم لتكنولوجيا المعلومات</v>
      </c>
      <c r="D114" s="27" t="str">
        <f>IF($B114="","",IFERROR(INDEX('العقود'!$E:$E,MATCH($B114,'العقود'!$A:$A,0)),""))</f>
        <v>407</v>
      </c>
      <c r="E114" s="38" t="s">
        <v>689</v>
      </c>
      <c r="F114" s="39">
        <v>16500</v>
      </c>
      <c r="G114" s="33"/>
      <c r="H114" t="s">
        <v>620</v>
      </c>
      <c r="I114" t="s">
        <v>35</v>
      </c>
      <c r="J114" t="s">
        <v>35</v>
      </c>
      <c r="K114" t="s">
        <v>621</v>
      </c>
      <c r="L114" s="33">
        <v>46305</v>
      </c>
      <c r="M114" s="27" t="str">
        <f>IF($B114="","",IFERROR(INDEX('العقود'!$D:$D,MATCH($B114,'العقود'!$A:$A,0)),""))</f>
        <v>ابو بكر</v>
      </c>
    </row>
    <row r="115" spans="1:13" x14ac:dyDescent="0.25">
      <c r="A115" t="s">
        <v>735</v>
      </c>
      <c r="B115" t="s">
        <v>359</v>
      </c>
      <c r="C115" s="27" t="str">
        <f>IF($B115="","",IFERROR(INDEX('العقود'!$F:$F,MATCH($B115,'العقود'!$A:$A,0)),""))</f>
        <v>مصطفى وليد الجندي</v>
      </c>
      <c r="D115" s="27" t="str">
        <f>IF($B115="","",IFERROR(INDEX('العقود'!$E:$E,MATCH($B115,'العقود'!$A:$A,0)),""))</f>
        <v>408</v>
      </c>
      <c r="E115" s="38" t="s">
        <v>689</v>
      </c>
      <c r="F115" s="39">
        <v>18500</v>
      </c>
      <c r="G115" s="33"/>
      <c r="H115" t="s">
        <v>620</v>
      </c>
      <c r="I115" t="s">
        <v>35</v>
      </c>
      <c r="J115" t="s">
        <v>35</v>
      </c>
      <c r="K115" t="s">
        <v>621</v>
      </c>
      <c r="L115" s="33">
        <v>46305</v>
      </c>
      <c r="M115" s="27" t="str">
        <f>IF($B115="","",IFERROR(INDEX('العقود'!$D:$D,MATCH($B115,'العقود'!$A:$A,0)),""))</f>
        <v>ابو بكر</v>
      </c>
    </row>
    <row r="116" spans="1:13" x14ac:dyDescent="0.25">
      <c r="A116" t="s">
        <v>736</v>
      </c>
      <c r="B116" t="s">
        <v>366</v>
      </c>
      <c r="C116" s="27" t="str">
        <f>IF($B116="","",IFERROR(INDEX('العقود'!$F:$F,MATCH($B116,'العقود'!$A:$A,0)),""))</f>
        <v>شركة الياسمين للتسويق</v>
      </c>
      <c r="D116" s="27" t="str">
        <f>IF($B116="","",IFERROR(INDEX('العقود'!$E:$E,MATCH($B116,'العقود'!$A:$A,0)),""))</f>
        <v>501</v>
      </c>
      <c r="E116" s="38" t="s">
        <v>689</v>
      </c>
      <c r="F116" s="39">
        <v>15000</v>
      </c>
      <c r="G116" s="33"/>
      <c r="H116" t="s">
        <v>620</v>
      </c>
      <c r="I116" t="s">
        <v>35</v>
      </c>
      <c r="J116" t="s">
        <v>35</v>
      </c>
      <c r="K116" t="s">
        <v>621</v>
      </c>
      <c r="L116" s="33">
        <v>46305</v>
      </c>
      <c r="M116" s="27" t="str">
        <f>IF($B116="","",IFERROR(INDEX('العقود'!$D:$D,MATCH($B116,'العقود'!$A:$A,0)),""))</f>
        <v>ابو بكر</v>
      </c>
    </row>
    <row r="117" spans="1:13" x14ac:dyDescent="0.25">
      <c r="A117" t="s">
        <v>737</v>
      </c>
      <c r="B117" t="s">
        <v>369</v>
      </c>
      <c r="C117" s="27" t="str">
        <f>IF($B117="","",IFERROR(INDEX('العقود'!$F:$F,MATCH($B117,'العقود'!$A:$A,0)),""))</f>
        <v>شركة الياسمين للتسويق</v>
      </c>
      <c r="D117" s="27" t="str">
        <f>IF($B117="","",IFERROR(INDEX('العقود'!$E:$E,MATCH($B117,'العقود'!$A:$A,0)),""))</f>
        <v>502</v>
      </c>
      <c r="E117" s="38" t="s">
        <v>689</v>
      </c>
      <c r="F117" s="39">
        <v>15000</v>
      </c>
      <c r="G117" s="33"/>
      <c r="H117" t="s">
        <v>620</v>
      </c>
      <c r="I117" t="s">
        <v>35</v>
      </c>
      <c r="J117" t="s">
        <v>35</v>
      </c>
      <c r="K117" t="s">
        <v>621</v>
      </c>
      <c r="L117" s="33">
        <v>46305</v>
      </c>
      <c r="M117" s="27" t="str">
        <f>IF($B117="","",IFERROR(INDEX('العقود'!$D:$D,MATCH($B117,'العقود'!$A:$A,0)),""))</f>
        <v>ابو بكر</v>
      </c>
    </row>
    <row r="118" spans="1:13" x14ac:dyDescent="0.25">
      <c r="A118" t="s">
        <v>738</v>
      </c>
      <c r="B118" t="s">
        <v>374</v>
      </c>
      <c r="C118" s="27" t="str">
        <f>IF($B118="","",IFERROR(INDEX('العقود'!$F:$F,MATCH($B118,'العقود'!$A:$A,0)),""))</f>
        <v>إبراهيم أحمد البنا</v>
      </c>
      <c r="D118" s="27" t="str">
        <f>IF($B118="","",IFERROR(INDEX('العقود'!$E:$E,MATCH($B118,'العقود'!$A:$A,0)),""))</f>
        <v>503</v>
      </c>
      <c r="E118" s="38" t="s">
        <v>689</v>
      </c>
      <c r="F118" s="39">
        <v>11195</v>
      </c>
      <c r="G118" s="33"/>
      <c r="H118" t="s">
        <v>620</v>
      </c>
      <c r="I118" t="s">
        <v>35</v>
      </c>
      <c r="J118" t="s">
        <v>35</v>
      </c>
      <c r="K118" t="s">
        <v>621</v>
      </c>
      <c r="L118" s="33">
        <v>46305</v>
      </c>
      <c r="M118" s="27" t="str">
        <f>IF($B118="","",IFERROR(INDEX('العقود'!$D:$D,MATCH($B118,'العقود'!$A:$A,0)),""))</f>
        <v>ابو بكر</v>
      </c>
    </row>
    <row r="119" spans="1:13" x14ac:dyDescent="0.25">
      <c r="A119" t="s">
        <v>739</v>
      </c>
      <c r="B119" t="s">
        <v>380</v>
      </c>
      <c r="C119" s="27" t="str">
        <f>IF($B119="","",IFERROR(INDEX('العقود'!$F:$F,MATCH($B119,'العقود'!$A:$A,0)),""))</f>
        <v>شركة المستقبل للخدمات الطبية</v>
      </c>
      <c r="D119" s="27" t="str">
        <f>IF($B119="","",IFERROR(INDEX('العقود'!$E:$E,MATCH($B119,'العقود'!$A:$A,0)),""))</f>
        <v>504</v>
      </c>
      <c r="E119" s="38" t="s">
        <v>689</v>
      </c>
      <c r="F119" s="39">
        <v>10000</v>
      </c>
      <c r="G119" s="33"/>
      <c r="H119" t="s">
        <v>620</v>
      </c>
      <c r="I119" t="s">
        <v>35</v>
      </c>
      <c r="J119" t="s">
        <v>35</v>
      </c>
      <c r="K119" t="s">
        <v>621</v>
      </c>
      <c r="L119" s="33">
        <v>46305</v>
      </c>
      <c r="M119" s="27" t="str">
        <f>IF($B119="","",IFERROR(INDEX('العقود'!$D:$D,MATCH($B119,'العقود'!$A:$A,0)),""))</f>
        <v>ابو بكر</v>
      </c>
    </row>
    <row r="120" spans="1:13" x14ac:dyDescent="0.25">
      <c r="A120" t="s">
        <v>740</v>
      </c>
      <c r="B120" t="s">
        <v>384</v>
      </c>
      <c r="C120" s="27" t="str">
        <f>IF($B120="","",IFERROR(INDEX('العقود'!$F:$F,MATCH($B120,'العقود'!$A:$A,0)),""))</f>
        <v>حسين أمير بدوي</v>
      </c>
      <c r="D120" s="27" t="str">
        <f>IF($B120="","",IFERROR(INDEX('العقود'!$E:$E,MATCH($B120,'العقود'!$A:$A,0)),""))</f>
        <v>505</v>
      </c>
      <c r="E120" s="38" t="s">
        <v>689</v>
      </c>
      <c r="F120" s="39">
        <v>11000</v>
      </c>
      <c r="G120" s="33"/>
      <c r="H120" t="s">
        <v>620</v>
      </c>
      <c r="I120" t="s">
        <v>35</v>
      </c>
      <c r="J120" t="s">
        <v>35</v>
      </c>
      <c r="K120" t="s">
        <v>621</v>
      </c>
      <c r="L120" s="33">
        <v>46305</v>
      </c>
      <c r="M120" s="27" t="str">
        <f>IF($B120="","",IFERROR(INDEX('العقود'!$D:$D,MATCH($B120,'العقود'!$A:$A,0)),""))</f>
        <v>ابو بكر</v>
      </c>
    </row>
    <row r="121" spans="1:13" x14ac:dyDescent="0.25">
      <c r="A121" t="s">
        <v>741</v>
      </c>
      <c r="B121" t="s">
        <v>391</v>
      </c>
      <c r="C121" s="27" t="str">
        <f>IF($B121="","",IFERROR(INDEX('العقود'!$F:$F,MATCH($B121,'العقود'!$A:$A,0)),""))</f>
        <v>د/ آية هشام رشاد</v>
      </c>
      <c r="D121" s="27" t="str">
        <f>IF($B121="","",IFERROR(INDEX('العقود'!$E:$E,MATCH($B121,'العقود'!$A:$A,0)),""))</f>
        <v>506</v>
      </c>
      <c r="E121" s="38" t="s">
        <v>689</v>
      </c>
      <c r="F121" s="39">
        <v>17000</v>
      </c>
      <c r="G121" s="33"/>
      <c r="H121" t="s">
        <v>620</v>
      </c>
      <c r="I121" t="s">
        <v>35</v>
      </c>
      <c r="J121" t="s">
        <v>35</v>
      </c>
      <c r="K121" t="s">
        <v>621</v>
      </c>
      <c r="L121" s="33">
        <v>46305</v>
      </c>
      <c r="M121" s="27" t="str">
        <f>IF($B121="","",IFERROR(INDEX('العقود'!$D:$D,MATCH($B121,'العقود'!$A:$A,0)),""))</f>
        <v>ابو بكر</v>
      </c>
    </row>
    <row r="122" spans="1:13" x14ac:dyDescent="0.25">
      <c r="A122" t="s">
        <v>742</v>
      </c>
      <c r="B122" t="s">
        <v>407</v>
      </c>
      <c r="C122" s="27" t="str">
        <f>IF($B122="","",IFERROR(INDEX('العقود'!$F:$F,MATCH($B122,'العقود'!$A:$A,0)),""))</f>
        <v>شركة الوادي للتنمية</v>
      </c>
      <c r="D122" s="27" t="str">
        <f>IF($B122="","",IFERROR(INDEX('العقود'!$E:$E,MATCH($B122,'العقود'!$A:$A,0)),""))</f>
        <v>601</v>
      </c>
      <c r="E122" s="38" t="s">
        <v>689</v>
      </c>
      <c r="F122" s="39">
        <v>9680</v>
      </c>
      <c r="G122" s="33"/>
      <c r="H122" t="s">
        <v>620</v>
      </c>
      <c r="I122" t="s">
        <v>35</v>
      </c>
      <c r="J122" t="s">
        <v>35</v>
      </c>
      <c r="K122" t="s">
        <v>621</v>
      </c>
      <c r="L122" s="33">
        <v>46305</v>
      </c>
      <c r="M122" s="27" t="str">
        <f>IF($B122="","",IFERROR(INDEX('العقود'!$D:$D,MATCH($B122,'العقود'!$A:$A,0)),""))</f>
        <v>ابو بكر</v>
      </c>
    </row>
    <row r="123" spans="1:13" x14ac:dyDescent="0.25">
      <c r="A123" t="s">
        <v>743</v>
      </c>
      <c r="B123" t="s">
        <v>415</v>
      </c>
      <c r="C123" s="27" t="str">
        <f>IF($B123="","",IFERROR(INDEX('العقود'!$F:$F,MATCH($B123,'العقود'!$A:$A,0)),""))</f>
        <v>شركة الوفاء للاستشارات الهندسية</v>
      </c>
      <c r="D123" s="27" t="str">
        <f>IF($B123="","",IFERROR(INDEX('العقود'!$E:$E,MATCH($B123,'العقود'!$A:$A,0)),""))</f>
        <v>602</v>
      </c>
      <c r="E123" s="38" t="s">
        <v>689</v>
      </c>
      <c r="F123" s="39">
        <v>19000</v>
      </c>
      <c r="G123" s="33"/>
      <c r="H123" t="s">
        <v>620</v>
      </c>
      <c r="I123" t="s">
        <v>35</v>
      </c>
      <c r="J123" t="s">
        <v>35</v>
      </c>
      <c r="K123" t="s">
        <v>621</v>
      </c>
      <c r="L123" s="33">
        <v>46305</v>
      </c>
      <c r="M123" s="27" t="str">
        <f>IF($B123="","",IFERROR(INDEX('العقود'!$D:$D,MATCH($B123,'العقود'!$A:$A,0)),""))</f>
        <v>ابو بكر</v>
      </c>
    </row>
    <row r="124" spans="1:13" x14ac:dyDescent="0.25">
      <c r="A124" t="s">
        <v>744</v>
      </c>
      <c r="B124" t="s">
        <v>421</v>
      </c>
      <c r="C124" s="27" t="str">
        <f>IF($B124="","",IFERROR(INDEX('العقود'!$F:$F,MATCH($B124,'العقود'!$A:$A,0)),""))</f>
        <v>عادل باسم حسنين</v>
      </c>
      <c r="D124" s="27" t="str">
        <f>IF($B124="","",IFERROR(INDEX('العقود'!$E:$E,MATCH($B124,'العقود'!$A:$A,0)),""))</f>
        <v>603</v>
      </c>
      <c r="E124" s="38" t="s">
        <v>689</v>
      </c>
      <c r="F124" s="39">
        <v>11495</v>
      </c>
      <c r="G124" s="33"/>
      <c r="H124" t="s">
        <v>620</v>
      </c>
      <c r="I124" t="s">
        <v>35</v>
      </c>
      <c r="J124" t="s">
        <v>35</v>
      </c>
      <c r="K124" t="s">
        <v>621</v>
      </c>
      <c r="L124" s="33">
        <v>46305</v>
      </c>
      <c r="M124" s="27" t="str">
        <f>IF($B124="","",IFERROR(INDEX('العقود'!$D:$D,MATCH($B124,'العقود'!$A:$A,0)),""))</f>
        <v>ابو بكر</v>
      </c>
    </row>
    <row r="125" spans="1:13" x14ac:dyDescent="0.25">
      <c r="A125" t="s">
        <v>745</v>
      </c>
      <c r="B125" t="s">
        <v>427</v>
      </c>
      <c r="C125" s="27" t="str">
        <f>IF($B125="","",IFERROR(INDEX('العقود'!$F:$F,MATCH($B125,'العقود'!$A:$A,0)),""))</f>
        <v>ندى وليد حسنين</v>
      </c>
      <c r="D125" s="27" t="str">
        <f>IF($B125="","",IFERROR(INDEX('العقود'!$E:$E,MATCH($B125,'العقود'!$A:$A,0)),""))</f>
        <v>604</v>
      </c>
      <c r="E125" s="38" t="s">
        <v>689</v>
      </c>
      <c r="F125" s="39">
        <v>11000</v>
      </c>
      <c r="G125" s="33"/>
      <c r="H125" t="s">
        <v>620</v>
      </c>
      <c r="I125" t="s">
        <v>35</v>
      </c>
      <c r="J125" t="s">
        <v>35</v>
      </c>
      <c r="K125" t="s">
        <v>621</v>
      </c>
      <c r="L125" s="33">
        <v>46305</v>
      </c>
      <c r="M125" s="27" t="str">
        <f>IF($B125="","",IFERROR(INDEX('العقود'!$D:$D,MATCH($B125,'العقود'!$A:$A,0)),""))</f>
        <v>ابو بكر</v>
      </c>
    </row>
    <row r="126" spans="1:13" x14ac:dyDescent="0.25">
      <c r="A126" t="s">
        <v>746</v>
      </c>
      <c r="B126" t="s">
        <v>433</v>
      </c>
      <c r="C126" s="27" t="str">
        <f>IF($B126="","",IFERROR(INDEX('العقود'!$F:$F,MATCH($B126,'العقود'!$A:$A,0)),""))</f>
        <v>شريف هاني فهمي</v>
      </c>
      <c r="D126" s="27" t="str">
        <f>IF($B126="","",IFERROR(INDEX('العقود'!$E:$E,MATCH($B126,'العقود'!$A:$A,0)),""))</f>
        <v>605</v>
      </c>
      <c r="E126" s="38" t="s">
        <v>689</v>
      </c>
      <c r="F126" s="39">
        <v>8775</v>
      </c>
      <c r="G126" s="33"/>
      <c r="H126" t="s">
        <v>620</v>
      </c>
      <c r="I126" t="s">
        <v>35</v>
      </c>
      <c r="J126" t="s">
        <v>35</v>
      </c>
      <c r="K126" t="s">
        <v>621</v>
      </c>
      <c r="L126" s="33">
        <v>46305</v>
      </c>
      <c r="M126" s="27" t="str">
        <f>IF($B126="","",IFERROR(INDEX('العقود'!$D:$D,MATCH($B126,'العقود'!$A:$A,0)),""))</f>
        <v>ابو بكر</v>
      </c>
    </row>
    <row r="127" spans="1:13" x14ac:dyDescent="0.25">
      <c r="A127" t="s">
        <v>747</v>
      </c>
      <c r="B127" t="s">
        <v>443</v>
      </c>
      <c r="C127" s="27" t="str">
        <f>IF($B127="","",IFERROR(INDEX('العقود'!$F:$F,MATCH($B127,'العقود'!$A:$A,0)),""))</f>
        <v>شركة الياسمين للاستشارات الهندسية</v>
      </c>
      <c r="D127" s="27" t="str">
        <f>IF($B127="","",IFERROR(INDEX('العقود'!$E:$E,MATCH($B127,'العقود'!$A:$A,0)),""))</f>
        <v>606</v>
      </c>
      <c r="E127" s="38" t="s">
        <v>689</v>
      </c>
      <c r="F127" s="39">
        <v>15000</v>
      </c>
      <c r="G127" s="33"/>
      <c r="H127" t="s">
        <v>620</v>
      </c>
      <c r="I127" t="s">
        <v>35</v>
      </c>
      <c r="J127" t="s">
        <v>35</v>
      </c>
      <c r="K127" t="s">
        <v>621</v>
      </c>
      <c r="L127" s="33">
        <v>46305</v>
      </c>
      <c r="M127" s="27" t="str">
        <f>IF($B127="","",IFERROR(INDEX('العقود'!$D:$D,MATCH($B127,'العقود'!$A:$A,0)),""))</f>
        <v>ابو بكر</v>
      </c>
    </row>
    <row r="128" spans="1:13" x14ac:dyDescent="0.25">
      <c r="A128" t="s">
        <v>748</v>
      </c>
      <c r="B128" t="s">
        <v>452</v>
      </c>
      <c r="C128" s="27" t="str">
        <f>IF($B128="","",IFERROR(INDEX('العقود'!$F:$F,MATCH($B128,'العقود'!$A:$A,0)),""))</f>
        <v>شركة الدلتا للتجارة</v>
      </c>
      <c r="D128" s="27" t="str">
        <f>IF($B128="","",IFERROR(INDEX('العقود'!$E:$E,MATCH($B128,'العقود'!$A:$A,0)),""))</f>
        <v>607</v>
      </c>
      <c r="E128" s="38" t="s">
        <v>689</v>
      </c>
      <c r="F128" s="39">
        <v>10500</v>
      </c>
      <c r="G128" s="33"/>
      <c r="H128" t="s">
        <v>620</v>
      </c>
      <c r="I128" t="s">
        <v>35</v>
      </c>
      <c r="J128" t="s">
        <v>35</v>
      </c>
      <c r="K128" t="s">
        <v>621</v>
      </c>
      <c r="L128" s="33">
        <v>46305</v>
      </c>
      <c r="M128" s="27" t="str">
        <f>IF($B128="","",IFERROR(INDEX('العقود'!$D:$D,MATCH($B128,'العقود'!$A:$A,0)),""))</f>
        <v>ابو بكر</v>
      </c>
    </row>
    <row r="129" spans="1:13" x14ac:dyDescent="0.25">
      <c r="A129" t="s">
        <v>749</v>
      </c>
      <c r="B129" t="s">
        <v>459</v>
      </c>
      <c r="C129" s="27" t="str">
        <f>IF($B129="","",IFERROR(INDEX('العقود'!$F:$F,MATCH($B129,'العقود'!$A:$A,0)),""))</f>
        <v>شركة السلام للتسويق</v>
      </c>
      <c r="D129" s="27" t="str">
        <f>IF($B129="","",IFERROR(INDEX('العقود'!$E:$E,MATCH($B129,'العقود'!$A:$A,0)),""))</f>
        <v>608</v>
      </c>
      <c r="E129" s="38" t="s">
        <v>689</v>
      </c>
      <c r="F129" s="39">
        <v>13000</v>
      </c>
      <c r="G129" s="33"/>
      <c r="H129" t="s">
        <v>620</v>
      </c>
      <c r="I129" t="s">
        <v>35</v>
      </c>
      <c r="J129" t="s">
        <v>35</v>
      </c>
      <c r="K129" t="s">
        <v>621</v>
      </c>
      <c r="L129" s="33">
        <v>46305</v>
      </c>
      <c r="M129" s="27" t="str">
        <f>IF($B129="","",IFERROR(INDEX('العقود'!$D:$D,MATCH($B129,'العقود'!$A:$A,0)),""))</f>
        <v>ابو بكر</v>
      </c>
    </row>
    <row r="130" spans="1:13" x14ac:dyDescent="0.25">
      <c r="A130" t="s">
        <v>750</v>
      </c>
      <c r="B130" t="s">
        <v>467</v>
      </c>
      <c r="C130" s="27" t="str">
        <f>IF($B130="","",IFERROR(INDEX('العقود'!$F:$F,MATCH($B130,'العقود'!$A:$A,0)),""))</f>
        <v>شركة المستقبل للتنمية</v>
      </c>
      <c r="D130" s="27" t="str">
        <f>IF($B130="","",IFERROR(INDEX('العقود'!$E:$E,MATCH($B130,'العقود'!$A:$A,0)),""))</f>
        <v>701</v>
      </c>
      <c r="E130" s="38" t="s">
        <v>689</v>
      </c>
      <c r="F130" s="39">
        <v>17000</v>
      </c>
      <c r="G130" s="33"/>
      <c r="H130" t="s">
        <v>620</v>
      </c>
      <c r="I130" t="s">
        <v>35</v>
      </c>
      <c r="J130" t="s">
        <v>35</v>
      </c>
      <c r="K130" t="s">
        <v>621</v>
      </c>
      <c r="L130" s="33">
        <v>46305</v>
      </c>
      <c r="M130" s="27" t="str">
        <f>IF($B130="","",IFERROR(INDEX('العقود'!$D:$D,MATCH($B130,'العقود'!$A:$A,0)),""))</f>
        <v>ابو بكر</v>
      </c>
    </row>
    <row r="131" spans="1:13" x14ac:dyDescent="0.25">
      <c r="A131" t="s">
        <v>751</v>
      </c>
      <c r="B131" t="s">
        <v>481</v>
      </c>
      <c r="C131" s="27" t="str">
        <f>IF($B131="","",IFERROR(INDEX('العقود'!$F:$F,MATCH($B131,'العقود'!$A:$A,0)),""))</f>
        <v>شركة البركة للتسويق</v>
      </c>
      <c r="D131" s="27" t="str">
        <f>IF($B131="","",IFERROR(INDEX('العقود'!$E:$E,MATCH($B131,'العقود'!$A:$A,0)),""))</f>
        <v>704</v>
      </c>
      <c r="E131" s="38" t="s">
        <v>689</v>
      </c>
      <c r="F131" s="39">
        <v>11000</v>
      </c>
      <c r="G131" s="33"/>
      <c r="H131" t="s">
        <v>620</v>
      </c>
      <c r="I131" t="s">
        <v>35</v>
      </c>
      <c r="J131" t="s">
        <v>35</v>
      </c>
      <c r="K131" t="s">
        <v>621</v>
      </c>
      <c r="L131" s="33">
        <v>46305</v>
      </c>
      <c r="M131" s="27" t="str">
        <f>IF($B131="","",IFERROR(INDEX('العقود'!$D:$D,MATCH($B131,'العقود'!$A:$A,0)),""))</f>
        <v>ابو بكر</v>
      </c>
    </row>
    <row r="132" spans="1:13" x14ac:dyDescent="0.25">
      <c r="A132" t="s">
        <v>752</v>
      </c>
      <c r="B132" t="s">
        <v>487</v>
      </c>
      <c r="C132" s="27" t="str">
        <f>IF($B132="","",IFERROR(INDEX('العقود'!$F:$F,MATCH($B132,'العقود'!$A:$A,0)),""))</f>
        <v>عمر مروان غانم</v>
      </c>
      <c r="D132" s="27" t="str">
        <f>IF($B132="","",IFERROR(INDEX('العقود'!$E:$E,MATCH($B132,'العقود'!$A:$A,0)),""))</f>
        <v>705</v>
      </c>
      <c r="E132" s="38" t="s">
        <v>689</v>
      </c>
      <c r="F132" s="39">
        <v>11000</v>
      </c>
      <c r="G132" s="33"/>
      <c r="H132" t="s">
        <v>620</v>
      </c>
      <c r="I132" t="s">
        <v>35</v>
      </c>
      <c r="J132" t="s">
        <v>35</v>
      </c>
      <c r="K132" t="s">
        <v>621</v>
      </c>
      <c r="L132" s="33">
        <v>46305</v>
      </c>
      <c r="M132" s="27" t="str">
        <f>IF($B132="","",IFERROR(INDEX('العقود'!$D:$D,MATCH($B132,'العقود'!$A:$A,0)),""))</f>
        <v>ابو بكر</v>
      </c>
    </row>
    <row r="133" spans="1:13" x14ac:dyDescent="0.25">
      <c r="A133" t="s">
        <v>753</v>
      </c>
      <c r="B133" t="s">
        <v>495</v>
      </c>
      <c r="C133" s="27" t="str">
        <f>IF($B133="","",IFERROR(INDEX('العقود'!$F:$F,MATCH($B133,'العقود'!$A:$A,0)),""))</f>
        <v>شركة الأمل للتسويق</v>
      </c>
      <c r="D133" s="27" t="str">
        <f>IF($B133="","",IFERROR(INDEX('العقود'!$E:$E,MATCH($B133,'العقود'!$A:$A,0)),""))</f>
        <v>706</v>
      </c>
      <c r="E133" s="38" t="s">
        <v>689</v>
      </c>
      <c r="F133" s="39">
        <v>10890</v>
      </c>
      <c r="G133" s="33"/>
      <c r="H133" t="s">
        <v>620</v>
      </c>
      <c r="I133" t="s">
        <v>35</v>
      </c>
      <c r="J133" t="s">
        <v>35</v>
      </c>
      <c r="K133" t="s">
        <v>621</v>
      </c>
      <c r="L133" s="33">
        <v>46305</v>
      </c>
      <c r="M133" s="27" t="str">
        <f>IF($B133="","",IFERROR(INDEX('العقود'!$D:$D,MATCH($B133,'العقود'!$A:$A,0)),""))</f>
        <v>ابو بكر</v>
      </c>
    </row>
    <row r="134" spans="1:13" x14ac:dyDescent="0.25">
      <c r="A134" t="s">
        <v>754</v>
      </c>
      <c r="B134" t="s">
        <v>502</v>
      </c>
      <c r="C134" s="27" t="str">
        <f>IF($B134="","",IFERROR(INDEX('العقود'!$F:$F,MATCH($B134,'العقود'!$A:$A,0)),""))</f>
        <v>شركة الأفق للخدمات الطبية</v>
      </c>
      <c r="D134" s="27" t="str">
        <f>IF($B134="","",IFERROR(INDEX('العقود'!$E:$E,MATCH($B134,'العقود'!$A:$A,0)),""))</f>
        <v>707</v>
      </c>
      <c r="E134" s="38" t="s">
        <v>689</v>
      </c>
      <c r="F134" s="39">
        <v>13000</v>
      </c>
      <c r="G134" s="33"/>
      <c r="H134" t="s">
        <v>620</v>
      </c>
      <c r="I134" t="s">
        <v>35</v>
      </c>
      <c r="J134" t="s">
        <v>35</v>
      </c>
      <c r="K134" t="s">
        <v>621</v>
      </c>
      <c r="L134" s="33">
        <v>46305</v>
      </c>
      <c r="M134" s="27" t="str">
        <f>IF($B134="","",IFERROR(INDEX('العقود'!$D:$D,MATCH($B134,'العقود'!$A:$A,0)),""))</f>
        <v>ابو بكر</v>
      </c>
    </row>
    <row r="135" spans="1:13" x14ac:dyDescent="0.25">
      <c r="A135" t="s">
        <v>755</v>
      </c>
      <c r="B135" t="s">
        <v>506</v>
      </c>
      <c r="C135" s="27" t="str">
        <f>IF($B135="","",IFERROR(INDEX('العقود'!$F:$F,MATCH($B135,'العقود'!$A:$A,0)),""))</f>
        <v>شركة الأفق للخدمات الطبية</v>
      </c>
      <c r="D135" s="27" t="str">
        <f>IF($B135="","",IFERROR(INDEX('العقود'!$E:$E,MATCH($B135,'العقود'!$A:$A,0)),""))</f>
        <v>708</v>
      </c>
      <c r="E135" s="38" t="s">
        <v>689</v>
      </c>
      <c r="F135" s="39">
        <v>13000</v>
      </c>
      <c r="G135" s="33"/>
      <c r="H135" t="s">
        <v>620</v>
      </c>
      <c r="I135" t="s">
        <v>35</v>
      </c>
      <c r="J135" t="s">
        <v>35</v>
      </c>
      <c r="K135" t="s">
        <v>621</v>
      </c>
      <c r="L135" s="33">
        <v>46305</v>
      </c>
      <c r="M135" s="27" t="str">
        <f>IF($B135="","",IFERROR(INDEX('العقود'!$D:$D,MATCH($B135,'العقود'!$A:$A,0)),""))</f>
        <v>ابو بكر</v>
      </c>
    </row>
    <row r="136" spans="1:13" x14ac:dyDescent="0.25">
      <c r="A136" t="s">
        <v>756</v>
      </c>
      <c r="B136" t="s">
        <v>37</v>
      </c>
      <c r="C136" s="27" t="str">
        <f>IF($B136="","",IFERROR(INDEX('العقود'!$F:$F,MATCH($B136,'العقود'!$A:$A,0)),""))</f>
        <v>عمرو أيمن زكي</v>
      </c>
      <c r="D136" s="27" t="str">
        <f>IF($B136="","",IFERROR(INDEX('العقود'!$E:$E,MATCH($B136,'العقود'!$A:$A,0)),""))</f>
        <v>محل</v>
      </c>
      <c r="E136" s="38" t="s">
        <v>757</v>
      </c>
      <c r="F136" s="39">
        <v>12705</v>
      </c>
      <c r="G136" s="33"/>
      <c r="H136" t="s">
        <v>620</v>
      </c>
      <c r="I136" t="s">
        <v>35</v>
      </c>
      <c r="J136" t="s">
        <v>35</v>
      </c>
      <c r="K136" t="s">
        <v>621</v>
      </c>
      <c r="L136" s="33">
        <v>46305</v>
      </c>
      <c r="M136" s="27" t="str">
        <f>IF($B136="","",IFERROR(INDEX('العقود'!$D:$D,MATCH($B136,'العقود'!$A:$A,0)),""))</f>
        <v>بابل</v>
      </c>
    </row>
    <row r="137" spans="1:13" x14ac:dyDescent="0.25">
      <c r="A137" t="s">
        <v>758</v>
      </c>
      <c r="B137" t="s">
        <v>44</v>
      </c>
      <c r="C137" s="27" t="str">
        <f>IF($B137="","",IFERROR(INDEX('العقود'!$F:$F,MATCH($B137,'العقود'!$A:$A,0)),""))</f>
        <v>شركة البركة للمقاولات</v>
      </c>
      <c r="D137" s="27" t="str">
        <f>IF($B137="","",IFERROR(INDEX('العقود'!$E:$E,MATCH($B137,'العقود'!$A:$A,0)),""))</f>
        <v>محل</v>
      </c>
      <c r="E137" s="38" t="s">
        <v>757</v>
      </c>
      <c r="F137" s="39">
        <v>30500</v>
      </c>
      <c r="G137" s="33"/>
      <c r="H137" t="s">
        <v>620</v>
      </c>
      <c r="I137" t="s">
        <v>35</v>
      </c>
      <c r="J137" t="s">
        <v>35</v>
      </c>
      <c r="K137" t="s">
        <v>621</v>
      </c>
      <c r="L137" s="33">
        <v>46305</v>
      </c>
      <c r="M137" s="27" t="str">
        <f>IF($B137="","",IFERROR(INDEX('العقود'!$D:$D,MATCH($B137,'العقود'!$A:$A,0)),""))</f>
        <v>بابل</v>
      </c>
    </row>
    <row r="138" spans="1:13" x14ac:dyDescent="0.25">
      <c r="A138" t="s">
        <v>759</v>
      </c>
      <c r="B138" t="s">
        <v>52</v>
      </c>
      <c r="C138" s="27" t="str">
        <f>IF($B138="","",IFERROR(INDEX('العقود'!$F:$F,MATCH($B138,'العقود'!$A:$A,0)),""))</f>
        <v>شركة الأفق لتكنولوجيا المعلومات</v>
      </c>
      <c r="D138" s="27" t="str">
        <f>IF($B138="","",IFERROR(INDEX('العقود'!$E:$E,MATCH($B138,'العقود'!$A:$A,0)),""))</f>
        <v>ميزان 1/2</v>
      </c>
      <c r="E138" s="38" t="s">
        <v>757</v>
      </c>
      <c r="F138" s="39">
        <v>45100</v>
      </c>
      <c r="G138" s="33"/>
      <c r="H138" t="s">
        <v>620</v>
      </c>
      <c r="I138" t="s">
        <v>35</v>
      </c>
      <c r="J138" t="s">
        <v>35</v>
      </c>
      <c r="K138" t="s">
        <v>621</v>
      </c>
      <c r="L138" s="33">
        <v>46305</v>
      </c>
      <c r="M138" s="27" t="str">
        <f>IF($B138="","",IFERROR(INDEX('العقود'!$D:$D,MATCH($B138,'العقود'!$A:$A,0)),""))</f>
        <v>بابل</v>
      </c>
    </row>
    <row r="139" spans="1:13" x14ac:dyDescent="0.25">
      <c r="A139" t="s">
        <v>760</v>
      </c>
      <c r="B139" t="s">
        <v>59</v>
      </c>
      <c r="C139" s="27" t="str">
        <f>IF($B139="","",IFERROR(INDEX('العقود'!$F:$F,MATCH($B139,'العقود'!$A:$A,0)),""))</f>
        <v>شركة النور للإنتاج الفني</v>
      </c>
      <c r="D139" s="27" t="str">
        <f>IF($B139="","",IFERROR(INDEX('العقود'!$E:$E,MATCH($B139,'العقود'!$A:$A,0)),""))</f>
        <v>ميزان 3</v>
      </c>
      <c r="E139" s="38" t="s">
        <v>757</v>
      </c>
      <c r="F139" s="39">
        <v>41800</v>
      </c>
      <c r="G139" s="33"/>
      <c r="H139" t="s">
        <v>620</v>
      </c>
      <c r="I139" t="s">
        <v>35</v>
      </c>
      <c r="J139" t="s">
        <v>35</v>
      </c>
      <c r="K139" t="s">
        <v>621</v>
      </c>
      <c r="L139" s="33">
        <v>46305</v>
      </c>
      <c r="M139" s="27" t="str">
        <f>IF($B139="","",IFERROR(INDEX('العقود'!$D:$D,MATCH($B139,'العقود'!$A:$A,0)),""))</f>
        <v>بابل</v>
      </c>
    </row>
    <row r="140" spans="1:13" x14ac:dyDescent="0.25">
      <c r="A140" t="s">
        <v>761</v>
      </c>
      <c r="B140" t="s">
        <v>63</v>
      </c>
      <c r="C140" s="27" t="str">
        <f>IF($B140="","",IFERROR(INDEX('العقود'!$F:$F,MATCH($B140,'العقود'!$A:$A,0)),""))</f>
        <v>شركة الأفق لتكنولوجيا المعلومات</v>
      </c>
      <c r="D140" s="27" t="str">
        <f>IF($B140="","",IFERROR(INDEX('العقود'!$E:$E,MATCH($B140,'العقود'!$A:$A,0)),""))</f>
        <v>الدور الثاني</v>
      </c>
      <c r="E140" s="38" t="s">
        <v>757</v>
      </c>
      <c r="F140" s="39">
        <v>91960</v>
      </c>
      <c r="G140" s="33"/>
      <c r="H140" t="s">
        <v>620</v>
      </c>
      <c r="I140" t="s">
        <v>35</v>
      </c>
      <c r="J140" t="s">
        <v>35</v>
      </c>
      <c r="K140" t="s">
        <v>621</v>
      </c>
      <c r="L140" s="33">
        <v>46305</v>
      </c>
      <c r="M140" s="27" t="str">
        <f>IF($B140="","",IFERROR(INDEX('العقود'!$D:$D,MATCH($B140,'العقود'!$A:$A,0)),""))</f>
        <v>بابل</v>
      </c>
    </row>
    <row r="141" spans="1:13" x14ac:dyDescent="0.25">
      <c r="A141" t="s">
        <v>762</v>
      </c>
      <c r="B141" t="s">
        <v>70</v>
      </c>
      <c r="C141" s="27" t="str">
        <f>IF($B141="","",IFERROR(INDEX('العقود'!$F:$F,MATCH($B141,'العقود'!$A:$A,0)),""))</f>
        <v>شركة الأمل للاستشارات الهندسية</v>
      </c>
      <c r="D141" s="27" t="str">
        <f>IF($B141="","",IFERROR(INDEX('العقود'!$E:$E,MATCH($B141,'العقود'!$A:$A,0)),""))</f>
        <v>مكتب 42</v>
      </c>
      <c r="E141" s="38" t="s">
        <v>757</v>
      </c>
      <c r="F141" s="39">
        <v>30250</v>
      </c>
      <c r="G141" s="33"/>
      <c r="H141" t="s">
        <v>620</v>
      </c>
      <c r="I141" t="s">
        <v>35</v>
      </c>
      <c r="J141" t="s">
        <v>35</v>
      </c>
      <c r="K141" t="s">
        <v>621</v>
      </c>
      <c r="L141" s="33">
        <v>46305</v>
      </c>
      <c r="M141" s="27" t="str">
        <f>IF($B141="","",IFERROR(INDEX('العقود'!$D:$D,MATCH($B141,'العقود'!$A:$A,0)),""))</f>
        <v>بابل</v>
      </c>
    </row>
    <row r="142" spans="1:13" x14ac:dyDescent="0.25">
      <c r="A142" t="s">
        <v>763</v>
      </c>
      <c r="B142" t="s">
        <v>76</v>
      </c>
      <c r="C142" s="27" t="str">
        <f>IF($B142="","",IFERROR(INDEX('العقود'!$F:$F,MATCH($B142,'العقود'!$A:$A,0)),""))</f>
        <v>عمرو إبراهيم فوزي</v>
      </c>
      <c r="D142" s="27" t="str">
        <f>IF($B142="","",IFERROR(INDEX('العقود'!$E:$E,MATCH($B142,'العقود'!$A:$A,0)),""))</f>
        <v>مكتب 61</v>
      </c>
      <c r="E142" s="38" t="s">
        <v>757</v>
      </c>
      <c r="F142" s="39">
        <v>24330</v>
      </c>
      <c r="G142" s="33"/>
      <c r="H142" t="s">
        <v>620</v>
      </c>
      <c r="I142" t="s">
        <v>35</v>
      </c>
      <c r="J142" t="s">
        <v>35</v>
      </c>
      <c r="K142" t="s">
        <v>621</v>
      </c>
      <c r="L142" s="33">
        <v>46305</v>
      </c>
      <c r="M142" s="27" t="str">
        <f>IF($B142="","",IFERROR(INDEX('العقود'!$D:$D,MATCH($B142,'العقود'!$A:$A,0)),""))</f>
        <v>بابل</v>
      </c>
    </row>
    <row r="143" spans="1:13" x14ac:dyDescent="0.25">
      <c r="A143" t="s">
        <v>764</v>
      </c>
      <c r="B143" t="s">
        <v>86</v>
      </c>
      <c r="C143" s="27" t="str">
        <f>IF($B143="","",IFERROR(INDEX('العقود'!$F:$F,MATCH($B143,'العقود'!$A:$A,0)),""))</f>
        <v>شركة المستقبل للتدريب</v>
      </c>
      <c r="D143" s="27" t="str">
        <f>IF($B143="","",IFERROR(INDEX('العقود'!$E:$E,MATCH($B143,'العقود'!$A:$A,0)),""))</f>
        <v>ميزان 1</v>
      </c>
      <c r="E143" s="38" t="s">
        <v>757</v>
      </c>
      <c r="F143" s="39">
        <v>42350</v>
      </c>
      <c r="G143" s="33"/>
      <c r="H143" t="s">
        <v>620</v>
      </c>
      <c r="I143" t="s">
        <v>35</v>
      </c>
      <c r="J143" t="s">
        <v>35</v>
      </c>
      <c r="K143" t="s">
        <v>621</v>
      </c>
      <c r="L143" s="33">
        <v>46305</v>
      </c>
      <c r="M143" s="27" t="str">
        <f>IF($B143="","",IFERROR(INDEX('العقود'!$D:$D,MATCH($B143,'العقود'!$A:$A,0)),""))</f>
        <v>محيي الدين</v>
      </c>
    </row>
    <row r="144" spans="1:13" x14ac:dyDescent="0.25">
      <c r="A144" t="s">
        <v>765</v>
      </c>
      <c r="B144" t="s">
        <v>95</v>
      </c>
      <c r="C144" s="27" t="str">
        <f>IF($B144="","",IFERROR(INDEX('العقود'!$F:$F,MATCH($B144,'العقود'!$A:$A,0)),""))</f>
        <v>شركة الياسمين للتجارة</v>
      </c>
      <c r="D144" s="27" t="str">
        <f>IF($B144="","",IFERROR(INDEX('العقود'!$E:$E,MATCH($B144,'العقود'!$A:$A,0)),""))</f>
        <v>ميزان 2</v>
      </c>
      <c r="E144" s="38" t="s">
        <v>757</v>
      </c>
      <c r="F144" s="39">
        <v>25410</v>
      </c>
      <c r="G144" s="33"/>
      <c r="H144" t="s">
        <v>620</v>
      </c>
      <c r="I144" t="s">
        <v>35</v>
      </c>
      <c r="J144" t="s">
        <v>35</v>
      </c>
      <c r="K144" t="s">
        <v>621</v>
      </c>
      <c r="L144" s="33">
        <v>46305</v>
      </c>
      <c r="M144" s="27" t="str">
        <f>IF($B144="","",IFERROR(INDEX('العقود'!$D:$D,MATCH($B144,'العقود'!$A:$A,0)),""))</f>
        <v>محيي الدين</v>
      </c>
    </row>
    <row r="145" spans="1:13" x14ac:dyDescent="0.25">
      <c r="A145" t="s">
        <v>766</v>
      </c>
      <c r="B145" t="s">
        <v>103</v>
      </c>
      <c r="C145" s="27" t="str">
        <f>IF($B145="","",IFERROR(INDEX('العقود'!$F:$F,MATCH($B145,'العقود'!$A:$A,0)),""))</f>
        <v>شركة الأفق للاستيراد والتصدير</v>
      </c>
      <c r="D145" s="27" t="str">
        <f>IF($B145="","",IFERROR(INDEX('العقود'!$E:$E,MATCH($B145,'العقود'!$A:$A,0)),""))</f>
        <v>202</v>
      </c>
      <c r="E145" s="38" t="s">
        <v>757</v>
      </c>
      <c r="F145" s="39">
        <v>46585</v>
      </c>
      <c r="G145" s="33"/>
      <c r="H145" t="s">
        <v>620</v>
      </c>
      <c r="I145" t="s">
        <v>35</v>
      </c>
      <c r="J145" t="s">
        <v>35</v>
      </c>
      <c r="K145" t="s">
        <v>621</v>
      </c>
      <c r="L145" s="33">
        <v>46305</v>
      </c>
      <c r="M145" s="27" t="str">
        <f>IF($B145="","",IFERROR(INDEX('العقود'!$D:$D,MATCH($B145,'العقود'!$A:$A,0)),""))</f>
        <v>محيي الدين</v>
      </c>
    </row>
    <row r="146" spans="1:13" x14ac:dyDescent="0.25">
      <c r="A146" t="s">
        <v>767</v>
      </c>
      <c r="B146" t="s">
        <v>110</v>
      </c>
      <c r="C146" s="27" t="str">
        <f>IF($B146="","",IFERROR(INDEX('العقود'!$F:$F,MATCH($B146,'العقود'!$A:$A,0)),""))</f>
        <v>شريف هشام فوزي</v>
      </c>
      <c r="D146" s="27" t="str">
        <f>IF($B146="","",IFERROR(INDEX('العقود'!$E:$E,MATCH($B146,'العقود'!$A:$A,0)),""))</f>
        <v>301</v>
      </c>
      <c r="E146" s="38" t="s">
        <v>757</v>
      </c>
      <c r="F146" s="39">
        <v>22990</v>
      </c>
      <c r="G146" s="33"/>
      <c r="H146" t="s">
        <v>620</v>
      </c>
      <c r="I146" t="s">
        <v>35</v>
      </c>
      <c r="J146" t="s">
        <v>35</v>
      </c>
      <c r="K146" t="s">
        <v>621</v>
      </c>
      <c r="L146" s="33">
        <v>46305</v>
      </c>
      <c r="M146" s="27" t="str">
        <f>IF($B146="","",IFERROR(INDEX('العقود'!$D:$D,MATCH($B146,'العقود'!$A:$A,0)),""))</f>
        <v>محيي الدين</v>
      </c>
    </row>
    <row r="147" spans="1:13" x14ac:dyDescent="0.25">
      <c r="A147" t="s">
        <v>768</v>
      </c>
      <c r="B147" t="s">
        <v>117</v>
      </c>
      <c r="C147" s="27" t="str">
        <f>IF($B147="","",IFERROR(INDEX('العقود'!$F:$F,MATCH($B147,'العقود'!$A:$A,0)),""))</f>
        <v>د/ باسم أمير سليم</v>
      </c>
      <c r="D147" s="27" t="str">
        <f>IF($B147="","",IFERROR(INDEX('العقود'!$E:$E,MATCH($B147,'العقود'!$A:$A,0)),""))</f>
        <v>302</v>
      </c>
      <c r="E147" s="38" t="s">
        <v>757</v>
      </c>
      <c r="F147" s="39">
        <v>35000</v>
      </c>
      <c r="G147" s="33"/>
      <c r="H147" t="s">
        <v>620</v>
      </c>
      <c r="I147" t="s">
        <v>35</v>
      </c>
      <c r="J147" t="s">
        <v>35</v>
      </c>
      <c r="K147" t="s">
        <v>621</v>
      </c>
      <c r="L147" s="33">
        <v>46305</v>
      </c>
      <c r="M147" s="27" t="str">
        <f>IF($B147="","",IFERROR(INDEX('العقود'!$D:$D,MATCH($B147,'العقود'!$A:$A,0)),""))</f>
        <v>محيي الدين</v>
      </c>
    </row>
    <row r="148" spans="1:13" x14ac:dyDescent="0.25">
      <c r="A148" t="s">
        <v>769</v>
      </c>
      <c r="B148" t="s">
        <v>126</v>
      </c>
      <c r="C148" s="27" t="str">
        <f>IF($B148="","",IFERROR(INDEX('العقود'!$F:$F,MATCH($B148,'العقود'!$A:$A,0)),""))</f>
        <v>شركة الصفوة للإنتاج الفني</v>
      </c>
      <c r="D148" s="27" t="str">
        <f>IF($B148="","",IFERROR(INDEX('العقود'!$E:$E,MATCH($B148,'العقود'!$A:$A,0)),""))</f>
        <v>303</v>
      </c>
      <c r="E148" s="38" t="s">
        <v>757</v>
      </c>
      <c r="F148" s="39">
        <v>43000</v>
      </c>
      <c r="G148" s="33"/>
      <c r="H148" t="s">
        <v>620</v>
      </c>
      <c r="I148" t="s">
        <v>35</v>
      </c>
      <c r="J148" t="s">
        <v>35</v>
      </c>
      <c r="K148" t="s">
        <v>621</v>
      </c>
      <c r="L148" s="33">
        <v>46305</v>
      </c>
      <c r="M148" s="27" t="str">
        <f>IF($B148="","",IFERROR(INDEX('العقود'!$D:$D,MATCH($B148,'العقود'!$A:$A,0)),""))</f>
        <v>محيي الدين</v>
      </c>
    </row>
    <row r="149" spans="1:13" x14ac:dyDescent="0.25">
      <c r="A149" t="s">
        <v>770</v>
      </c>
      <c r="B149" t="s">
        <v>130</v>
      </c>
      <c r="C149" s="27" t="str">
        <f>IF($B149="","",IFERROR(INDEX('العقود'!$F:$F,MATCH($B149,'العقود'!$A:$A,0)),""))</f>
        <v>شركة الصفوة للإنتاج الفني</v>
      </c>
      <c r="D149" s="27" t="str">
        <f>IF($B149="","",IFERROR(INDEX('العقود'!$E:$E,MATCH($B149,'العقود'!$A:$A,0)),""))</f>
        <v>304</v>
      </c>
      <c r="E149" s="38" t="s">
        <v>757</v>
      </c>
      <c r="F149" s="39">
        <v>25300</v>
      </c>
      <c r="G149" s="33"/>
      <c r="H149" t="s">
        <v>620</v>
      </c>
      <c r="I149" t="s">
        <v>35</v>
      </c>
      <c r="J149" t="s">
        <v>35</v>
      </c>
      <c r="K149" t="s">
        <v>621</v>
      </c>
      <c r="L149" s="33">
        <v>46305</v>
      </c>
      <c r="M149" s="27" t="str">
        <f>IF($B149="","",IFERROR(INDEX('العقود'!$D:$D,MATCH($B149,'العقود'!$A:$A,0)),""))</f>
        <v>محيي الدين</v>
      </c>
    </row>
    <row r="150" spans="1:13" x14ac:dyDescent="0.25">
      <c r="A150" t="s">
        <v>771</v>
      </c>
      <c r="B150" t="s">
        <v>136</v>
      </c>
      <c r="C150" s="27" t="str">
        <f>IF($B150="","",IFERROR(INDEX('العقود'!$F:$F,MATCH($B150,'العقود'!$A:$A,0)),""))</f>
        <v>د/ يوسف حسن مكرم</v>
      </c>
      <c r="D150" s="27" t="str">
        <f>IF($B150="","",IFERROR(INDEX('العقود'!$E:$E,MATCH($B150,'العقود'!$A:$A,0)),""))</f>
        <v>401</v>
      </c>
      <c r="E150" s="38" t="s">
        <v>757</v>
      </c>
      <c r="F150" s="39">
        <v>37665</v>
      </c>
      <c r="G150" s="33"/>
      <c r="H150" t="s">
        <v>620</v>
      </c>
      <c r="I150" t="s">
        <v>35</v>
      </c>
      <c r="J150" t="s">
        <v>35</v>
      </c>
      <c r="K150" t="s">
        <v>621</v>
      </c>
      <c r="L150" s="33">
        <v>46305</v>
      </c>
      <c r="M150" s="27" t="str">
        <f>IF($B150="","",IFERROR(INDEX('العقود'!$D:$D,MATCH($B150,'العقود'!$A:$A,0)),""))</f>
        <v>محيي الدين</v>
      </c>
    </row>
    <row r="151" spans="1:13" x14ac:dyDescent="0.25">
      <c r="A151" t="s">
        <v>772</v>
      </c>
      <c r="B151" t="s">
        <v>143</v>
      </c>
      <c r="C151" s="27" t="str">
        <f>IF($B151="","",IFERROR(INDEX('العقود'!$F:$F,MATCH($B151,'العقود'!$A:$A,0)),""))</f>
        <v>د/ فادي سعيد منصور</v>
      </c>
      <c r="D151" s="27" t="str">
        <f>IF($B151="","",IFERROR(INDEX('العقود'!$E:$E,MATCH($B151,'العقود'!$A:$A,0)),""))</f>
        <v>404</v>
      </c>
      <c r="E151" s="38" t="s">
        <v>757</v>
      </c>
      <c r="F151" s="39">
        <v>30250</v>
      </c>
      <c r="G151" s="33"/>
      <c r="H151" t="s">
        <v>620</v>
      </c>
      <c r="I151" t="s">
        <v>35</v>
      </c>
      <c r="J151" t="s">
        <v>35</v>
      </c>
      <c r="K151" t="s">
        <v>621</v>
      </c>
      <c r="L151" s="33">
        <v>46305</v>
      </c>
      <c r="M151" s="27" t="str">
        <f>IF($B151="","",IFERROR(INDEX('العقود'!$D:$D,MATCH($B151,'العقود'!$A:$A,0)),""))</f>
        <v>محيي الدين</v>
      </c>
    </row>
    <row r="152" spans="1:13" x14ac:dyDescent="0.25">
      <c r="A152" t="s">
        <v>773</v>
      </c>
      <c r="B152" t="s">
        <v>149</v>
      </c>
      <c r="C152" s="27" t="str">
        <f>IF($B152="","",IFERROR(INDEX('العقود'!$F:$F,MATCH($B152,'العقود'!$A:$A,0)),""))</f>
        <v>د/ رضوى خالد عبد الرحمن</v>
      </c>
      <c r="D152" s="27" t="str">
        <f>IF($B152="","",IFERROR(INDEX('العقود'!$E:$E,MATCH($B152,'العقود'!$A:$A,0)),""))</f>
        <v>502</v>
      </c>
      <c r="E152" s="38" t="s">
        <v>757</v>
      </c>
      <c r="F152" s="39">
        <v>19060</v>
      </c>
      <c r="G152" s="33"/>
      <c r="H152" t="s">
        <v>620</v>
      </c>
      <c r="I152" t="s">
        <v>35</v>
      </c>
      <c r="J152" t="s">
        <v>35</v>
      </c>
      <c r="K152" t="s">
        <v>621</v>
      </c>
      <c r="L152" s="33">
        <v>46305</v>
      </c>
      <c r="M152" s="27" t="str">
        <f>IF($B152="","",IFERROR(INDEX('العقود'!$D:$D,MATCH($B152,'العقود'!$A:$A,0)),""))</f>
        <v>محيي الدين</v>
      </c>
    </row>
    <row r="153" spans="1:13" x14ac:dyDescent="0.25">
      <c r="A153" t="s">
        <v>774</v>
      </c>
      <c r="B153" t="s">
        <v>156</v>
      </c>
      <c r="C153" s="27" t="str">
        <f>IF($B153="","",IFERROR(INDEX('العقود'!$F:$F,MATCH($B153,'العقود'!$A:$A,0)),""))</f>
        <v>د/ آية أيمن بدوي</v>
      </c>
      <c r="D153" s="27" t="str">
        <f>IF($B153="","",IFERROR(INDEX('العقود'!$E:$E,MATCH($B153,'العقود'!$A:$A,0)),""))</f>
        <v>503</v>
      </c>
      <c r="E153" s="38" t="s">
        <v>757</v>
      </c>
      <c r="F153" s="39">
        <v>20570</v>
      </c>
      <c r="G153" s="33"/>
      <c r="H153" t="s">
        <v>620</v>
      </c>
      <c r="I153" t="s">
        <v>35</v>
      </c>
      <c r="J153" t="s">
        <v>35</v>
      </c>
      <c r="K153" t="s">
        <v>621</v>
      </c>
      <c r="L153" s="33">
        <v>46305</v>
      </c>
      <c r="M153" s="27" t="str">
        <f>IF($B153="","",IFERROR(INDEX('العقود'!$D:$D,MATCH($B153,'العقود'!$A:$A,0)),""))</f>
        <v>محيي الدين</v>
      </c>
    </row>
    <row r="154" spans="1:13" x14ac:dyDescent="0.25">
      <c r="A154" t="s">
        <v>775</v>
      </c>
      <c r="B154" t="s">
        <v>162</v>
      </c>
      <c r="C154" s="27" t="str">
        <f>IF($B154="","",IFERROR(INDEX('العقود'!$F:$F,MATCH($B154,'العقود'!$A:$A,0)),""))</f>
        <v>محمد سعيد عبد الرحمن</v>
      </c>
      <c r="D154" s="27" t="str">
        <f>IF($B154="","",IFERROR(INDEX('العقود'!$E:$E,MATCH($B154,'العقود'!$A:$A,0)),""))</f>
        <v>504</v>
      </c>
      <c r="E154" s="38" t="s">
        <v>757</v>
      </c>
      <c r="F154" s="39">
        <v>25410</v>
      </c>
      <c r="G154" s="33"/>
      <c r="H154" t="s">
        <v>620</v>
      </c>
      <c r="I154" t="s">
        <v>35</v>
      </c>
      <c r="J154" t="s">
        <v>35</v>
      </c>
      <c r="K154" t="s">
        <v>621</v>
      </c>
      <c r="L154" s="33">
        <v>46305</v>
      </c>
      <c r="M154" s="27" t="str">
        <f>IF($B154="","",IFERROR(INDEX('العقود'!$D:$D,MATCH($B154,'العقود'!$A:$A,0)),""))</f>
        <v>محيي الدين</v>
      </c>
    </row>
    <row r="155" spans="1:13" x14ac:dyDescent="0.25">
      <c r="A155" t="s">
        <v>776</v>
      </c>
      <c r="B155" t="s">
        <v>171</v>
      </c>
      <c r="C155" s="27" t="str">
        <f>IF($B155="","",IFERROR(INDEX('العقود'!$F:$F,MATCH($B155,'العقود'!$A:$A,0)),""))</f>
        <v>شركة الأمل للإنتاج الفني</v>
      </c>
      <c r="D155" s="27" t="str">
        <f>IF($B155="","",IFERROR(INDEX('العقود'!$E:$E,MATCH($B155,'العقود'!$A:$A,0)),""))</f>
        <v>ميزان 1</v>
      </c>
      <c r="E155" s="38" t="s">
        <v>757</v>
      </c>
      <c r="F155" s="39">
        <v>40700</v>
      </c>
      <c r="G155" s="33"/>
      <c r="H155" t="s">
        <v>620</v>
      </c>
      <c r="I155" t="s">
        <v>35</v>
      </c>
      <c r="J155" t="s">
        <v>35</v>
      </c>
      <c r="K155" t="s">
        <v>621</v>
      </c>
      <c r="L155" s="33">
        <v>46305</v>
      </c>
      <c r="M155" s="27" t="str">
        <f>IF($B155="","",IFERROR(INDEX('العقود'!$D:$D,MATCH($B155,'العقود'!$A:$A,0)),""))</f>
        <v>ابو بكر</v>
      </c>
    </row>
    <row r="156" spans="1:13" x14ac:dyDescent="0.25">
      <c r="A156" t="s">
        <v>777</v>
      </c>
      <c r="B156" t="s">
        <v>177</v>
      </c>
      <c r="C156" s="27" t="str">
        <f>IF($B156="","",IFERROR(INDEX('العقود'!$F:$F,MATCH($B156,'العقود'!$A:$A,0)),""))</f>
        <v>شركة النور للاستشارات الهندسية</v>
      </c>
      <c r="D156" s="27" t="str">
        <f>IF($B156="","",IFERROR(INDEX('العقود'!$E:$E,MATCH($B156,'العقود'!$A:$A,0)),""))</f>
        <v>ميزان 2</v>
      </c>
      <c r="E156" s="38" t="s">
        <v>757</v>
      </c>
      <c r="F156" s="39">
        <v>40700</v>
      </c>
      <c r="G156" s="33"/>
      <c r="H156" t="s">
        <v>620</v>
      </c>
      <c r="I156" t="s">
        <v>35</v>
      </c>
      <c r="J156" t="s">
        <v>35</v>
      </c>
      <c r="K156" t="s">
        <v>621</v>
      </c>
      <c r="L156" s="33">
        <v>46305</v>
      </c>
      <c r="M156" s="27" t="str">
        <f>IF($B156="","",IFERROR(INDEX('العقود'!$D:$D,MATCH($B156,'العقود'!$A:$A,0)),""))</f>
        <v>ابو بكر</v>
      </c>
    </row>
    <row r="157" spans="1:13" x14ac:dyDescent="0.25">
      <c r="A157" t="s">
        <v>778</v>
      </c>
      <c r="B157" t="s">
        <v>183</v>
      </c>
      <c r="C157" s="27" t="str">
        <f>IF($B157="","",IFERROR(INDEX('العقود'!$F:$F,MATCH($B157,'العقود'!$A:$A,0)),""))</f>
        <v>عادل عمر مكرم</v>
      </c>
      <c r="D157" s="27" t="str">
        <f>IF($B157="","",IFERROR(INDEX('العقود'!$E:$E,MATCH($B157,'العقود'!$A:$A,0)),""))</f>
        <v>102</v>
      </c>
      <c r="E157" s="38" t="s">
        <v>757</v>
      </c>
      <c r="F157" s="39">
        <v>17500</v>
      </c>
      <c r="G157" s="33"/>
      <c r="H157" t="s">
        <v>620</v>
      </c>
      <c r="I157" t="s">
        <v>35</v>
      </c>
      <c r="J157" t="s">
        <v>35</v>
      </c>
      <c r="K157" t="s">
        <v>621</v>
      </c>
      <c r="L157" s="33">
        <v>46305</v>
      </c>
      <c r="M157" s="27" t="str">
        <f>IF($B157="","",IFERROR(INDEX('العقود'!$D:$D,MATCH($B157,'العقود'!$A:$A,0)),""))</f>
        <v>ابو بكر</v>
      </c>
    </row>
    <row r="158" spans="1:13" x14ac:dyDescent="0.25">
      <c r="A158" t="s">
        <v>779</v>
      </c>
      <c r="B158" t="s">
        <v>190</v>
      </c>
      <c r="C158" s="27" t="str">
        <f>IF($B158="","",IFERROR(INDEX('العقود'!$F:$F,MATCH($B158,'العقود'!$A:$A,0)),""))</f>
        <v>تامر علي بدوي</v>
      </c>
      <c r="D158" s="27" t="str">
        <f>IF($B158="","",IFERROR(INDEX('العقود'!$E:$E,MATCH($B158,'العقود'!$A:$A,0)),""))</f>
        <v>103</v>
      </c>
      <c r="E158" s="38" t="s">
        <v>757</v>
      </c>
      <c r="F158" s="39">
        <v>7000</v>
      </c>
      <c r="G158" s="33"/>
      <c r="H158" t="s">
        <v>620</v>
      </c>
      <c r="I158" t="s">
        <v>35</v>
      </c>
      <c r="J158" t="s">
        <v>35</v>
      </c>
      <c r="K158" t="s">
        <v>621</v>
      </c>
      <c r="L158" s="33">
        <v>46305</v>
      </c>
      <c r="M158" s="27" t="str">
        <f>IF($B158="","",IFERROR(INDEX('العقود'!$D:$D,MATCH($B158,'العقود'!$A:$A,0)),""))</f>
        <v>ابو بكر</v>
      </c>
    </row>
    <row r="159" spans="1:13" x14ac:dyDescent="0.25">
      <c r="A159" t="s">
        <v>780</v>
      </c>
      <c r="B159" t="s">
        <v>196</v>
      </c>
      <c r="C159" s="27" t="str">
        <f>IF($B159="","",IFERROR(INDEX('العقود'!$F:$F,MATCH($B159,'العقود'!$A:$A,0)),""))</f>
        <v>مروان محمود حسنين</v>
      </c>
      <c r="D159" s="27" t="str">
        <f>IF($B159="","",IFERROR(INDEX('العقود'!$E:$E,MATCH($B159,'العقود'!$A:$A,0)),""))</f>
        <v>104</v>
      </c>
      <c r="E159" s="38" t="s">
        <v>757</v>
      </c>
      <c r="F159" s="39">
        <v>13000</v>
      </c>
      <c r="G159" s="33"/>
      <c r="H159" t="s">
        <v>620</v>
      </c>
      <c r="I159" t="s">
        <v>35</v>
      </c>
      <c r="J159" t="s">
        <v>35</v>
      </c>
      <c r="K159" t="s">
        <v>621</v>
      </c>
      <c r="L159" s="33">
        <v>46305</v>
      </c>
      <c r="M159" s="27" t="str">
        <f>IF($B159="","",IFERROR(INDEX('العقود'!$D:$D,MATCH($B159,'العقود'!$A:$A,0)),""))</f>
        <v>ابو بكر</v>
      </c>
    </row>
    <row r="160" spans="1:13" x14ac:dyDescent="0.25">
      <c r="A160" t="s">
        <v>781</v>
      </c>
      <c r="B160" t="s">
        <v>201</v>
      </c>
      <c r="C160" s="27" t="str">
        <f>IF($B160="","",IFERROR(INDEX('العقود'!$F:$F,MATCH($B160,'العقود'!$A:$A,0)),""))</f>
        <v>عادل عمر مكرم</v>
      </c>
      <c r="D160" s="27" t="str">
        <f>IF($B160="","",IFERROR(INDEX('العقود'!$E:$E,MATCH($B160,'العقود'!$A:$A,0)),""))</f>
        <v>105</v>
      </c>
      <c r="E160" s="38" t="s">
        <v>757</v>
      </c>
      <c r="F160" s="39">
        <v>13500</v>
      </c>
      <c r="G160" s="33"/>
      <c r="H160" t="s">
        <v>620</v>
      </c>
      <c r="I160" t="s">
        <v>35</v>
      </c>
      <c r="J160" t="s">
        <v>35</v>
      </c>
      <c r="K160" t="s">
        <v>621</v>
      </c>
      <c r="L160" s="33">
        <v>46305</v>
      </c>
      <c r="M160" s="27" t="str">
        <f>IF($B160="","",IFERROR(INDEX('العقود'!$D:$D,MATCH($B160,'العقود'!$A:$A,0)),""))</f>
        <v>ابو بكر</v>
      </c>
    </row>
    <row r="161" spans="1:13" x14ac:dyDescent="0.25">
      <c r="A161" t="s">
        <v>782</v>
      </c>
      <c r="B161" t="s">
        <v>207</v>
      </c>
      <c r="C161" s="27" t="str">
        <f>IF($B161="","",IFERROR(INDEX('العقود'!$F:$F,MATCH($B161,'العقود'!$A:$A,0)),""))</f>
        <v>حسين أمير بدوي</v>
      </c>
      <c r="D161" s="27" t="str">
        <f>IF($B161="","",IFERROR(INDEX('العقود'!$E:$E,MATCH($B161,'العقود'!$A:$A,0)),""))</f>
        <v>106</v>
      </c>
      <c r="E161" s="38" t="s">
        <v>757</v>
      </c>
      <c r="F161" s="39">
        <v>7000</v>
      </c>
      <c r="G161" s="33"/>
      <c r="H161" t="s">
        <v>620</v>
      </c>
      <c r="I161" t="s">
        <v>35</v>
      </c>
      <c r="J161" t="s">
        <v>35</v>
      </c>
      <c r="K161" t="s">
        <v>621</v>
      </c>
      <c r="L161" s="33">
        <v>46305</v>
      </c>
      <c r="M161" s="27" t="str">
        <f>IF($B161="","",IFERROR(INDEX('العقود'!$D:$D,MATCH($B161,'العقود'!$A:$A,0)),""))</f>
        <v>ابو بكر</v>
      </c>
    </row>
    <row r="162" spans="1:13" x14ac:dyDescent="0.25">
      <c r="A162" t="s">
        <v>783</v>
      </c>
      <c r="B162" t="s">
        <v>211</v>
      </c>
      <c r="C162" s="27" t="str">
        <f>IF($B162="","",IFERROR(INDEX('العقود'!$F:$F,MATCH($B162,'العقود'!$A:$A,0)),""))</f>
        <v>حسين أمير بدوي</v>
      </c>
      <c r="D162" s="27" t="str">
        <f>IF($B162="","",IFERROR(INDEX('العقود'!$E:$E,MATCH($B162,'العقود'!$A:$A,0)),""))</f>
        <v>107</v>
      </c>
      <c r="E162" s="38" t="s">
        <v>757</v>
      </c>
      <c r="F162" s="39">
        <v>6000</v>
      </c>
      <c r="G162" s="33"/>
      <c r="H162" t="s">
        <v>620</v>
      </c>
      <c r="I162" t="s">
        <v>35</v>
      </c>
      <c r="J162" t="s">
        <v>35</v>
      </c>
      <c r="K162" t="s">
        <v>621</v>
      </c>
      <c r="L162" s="33">
        <v>46305</v>
      </c>
      <c r="M162" s="27" t="str">
        <f>IF($B162="","",IFERROR(INDEX('العقود'!$D:$D,MATCH($B162,'العقود'!$A:$A,0)),""))</f>
        <v>ابو بكر</v>
      </c>
    </row>
    <row r="163" spans="1:13" x14ac:dyDescent="0.25">
      <c r="A163" t="s">
        <v>784</v>
      </c>
      <c r="B163" t="s">
        <v>215</v>
      </c>
      <c r="C163" s="27" t="str">
        <f>IF($B163="","",IFERROR(INDEX('العقود'!$F:$F,MATCH($B163,'العقود'!$A:$A,0)),""))</f>
        <v>حسين أمير بدوي</v>
      </c>
      <c r="D163" s="27" t="str">
        <f>IF($B163="","",IFERROR(INDEX('العقود'!$E:$E,MATCH($B163,'العقود'!$A:$A,0)),""))</f>
        <v>108</v>
      </c>
      <c r="E163" s="38" t="s">
        <v>757</v>
      </c>
      <c r="F163" s="39">
        <v>6000</v>
      </c>
      <c r="G163" s="33"/>
      <c r="H163" t="s">
        <v>620</v>
      </c>
      <c r="I163" t="s">
        <v>35</v>
      </c>
      <c r="J163" t="s">
        <v>35</v>
      </c>
      <c r="K163" t="s">
        <v>621</v>
      </c>
      <c r="L163" s="33">
        <v>46305</v>
      </c>
      <c r="M163" s="27" t="str">
        <f>IF($B163="","",IFERROR(INDEX('العقود'!$D:$D,MATCH($B163,'العقود'!$A:$A,0)),""))</f>
        <v>ابو بكر</v>
      </c>
    </row>
    <row r="164" spans="1:13" x14ac:dyDescent="0.25">
      <c r="A164" t="s">
        <v>785</v>
      </c>
      <c r="B164" t="s">
        <v>222</v>
      </c>
      <c r="C164" s="27" t="str">
        <f>IF($B164="","",IFERROR(INDEX('العقود'!$F:$F,MATCH($B164,'العقود'!$A:$A,0)),""))</f>
        <v>شركة الأفق للتدريب</v>
      </c>
      <c r="D164" s="27" t="str">
        <f>IF($B164="","",IFERROR(INDEX('العقود'!$E:$E,MATCH($B164,'العقود'!$A:$A,0)),""))</f>
        <v>201</v>
      </c>
      <c r="E164" s="38" t="s">
        <v>757</v>
      </c>
      <c r="F164" s="39">
        <v>11495</v>
      </c>
      <c r="G164" s="33"/>
      <c r="H164" t="s">
        <v>620</v>
      </c>
      <c r="I164" t="s">
        <v>35</v>
      </c>
      <c r="J164" t="s">
        <v>35</v>
      </c>
      <c r="K164" t="s">
        <v>621</v>
      </c>
      <c r="L164" s="33">
        <v>46305</v>
      </c>
      <c r="M164" s="27" t="str">
        <f>IF($B164="","",IFERROR(INDEX('العقود'!$D:$D,MATCH($B164,'العقود'!$A:$A,0)),""))</f>
        <v>ابو بكر</v>
      </c>
    </row>
    <row r="165" spans="1:13" x14ac:dyDescent="0.25">
      <c r="A165" t="s">
        <v>786</v>
      </c>
      <c r="B165" t="s">
        <v>228</v>
      </c>
      <c r="C165" s="27" t="str">
        <f>IF($B165="","",IFERROR(INDEX('العقود'!$F:$F,MATCH($B165,'العقود'!$A:$A,0)),""))</f>
        <v>د/ نادر شريف شاكر</v>
      </c>
      <c r="D165" s="27" t="str">
        <f>IF($B165="","",IFERROR(INDEX('العقود'!$E:$E,MATCH($B165,'العقود'!$A:$A,0)),""))</f>
        <v>202</v>
      </c>
      <c r="E165" s="38" t="s">
        <v>757</v>
      </c>
      <c r="F165" s="39">
        <v>16500</v>
      </c>
      <c r="G165" s="33"/>
      <c r="H165" t="s">
        <v>620</v>
      </c>
      <c r="I165" t="s">
        <v>35</v>
      </c>
      <c r="J165" t="s">
        <v>35</v>
      </c>
      <c r="K165" t="s">
        <v>621</v>
      </c>
      <c r="L165" s="33">
        <v>46305</v>
      </c>
      <c r="M165" s="27" t="str">
        <f>IF($B165="","",IFERROR(INDEX('العقود'!$D:$D,MATCH($B165,'العقود'!$A:$A,0)),""))</f>
        <v>ابو بكر</v>
      </c>
    </row>
    <row r="166" spans="1:13" x14ac:dyDescent="0.25">
      <c r="A166" t="s">
        <v>787</v>
      </c>
      <c r="B166" t="s">
        <v>235</v>
      </c>
      <c r="C166" s="27" t="str">
        <f>IF($B166="","",IFERROR(INDEX('العقود'!$F:$F,MATCH($B166,'العقود'!$A:$A,0)),""))</f>
        <v>د/ يوسف خالد الخولي</v>
      </c>
      <c r="D166" s="27" t="str">
        <f>IF($B166="","",IFERROR(INDEX('العقود'!$E:$E,MATCH($B166,'العقود'!$A:$A,0)),""))</f>
        <v>204</v>
      </c>
      <c r="E166" s="38" t="s">
        <v>757</v>
      </c>
      <c r="F166" s="39">
        <v>12500</v>
      </c>
      <c r="G166" s="33"/>
      <c r="H166" t="s">
        <v>620</v>
      </c>
      <c r="I166" t="s">
        <v>35</v>
      </c>
      <c r="J166" t="s">
        <v>35</v>
      </c>
      <c r="K166" t="s">
        <v>621</v>
      </c>
      <c r="L166" s="33">
        <v>46305</v>
      </c>
      <c r="M166" s="27" t="str">
        <f>IF($B166="","",IFERROR(INDEX('العقود'!$D:$D,MATCH($B166,'العقود'!$A:$A,0)),""))</f>
        <v>ابو بكر</v>
      </c>
    </row>
    <row r="167" spans="1:13" x14ac:dyDescent="0.25">
      <c r="A167" t="s">
        <v>788</v>
      </c>
      <c r="B167" t="s">
        <v>246</v>
      </c>
      <c r="C167" s="27" t="str">
        <f>IF($B167="","",IFERROR(INDEX('العقود'!$F:$F,MATCH($B167,'العقود'!$A:$A,0)),""))</f>
        <v>أحمد عمرو سليم</v>
      </c>
      <c r="D167" s="27" t="str">
        <f>IF($B167="","",IFERROR(INDEX('العقود'!$E:$E,MATCH($B167,'العقود'!$A:$A,0)),""))</f>
        <v>205</v>
      </c>
      <c r="E167" s="38" t="s">
        <v>757</v>
      </c>
      <c r="F167" s="39">
        <v>14000</v>
      </c>
      <c r="G167" s="33"/>
      <c r="H167" t="s">
        <v>620</v>
      </c>
      <c r="I167" t="s">
        <v>35</v>
      </c>
      <c r="J167" t="s">
        <v>35</v>
      </c>
      <c r="K167" t="s">
        <v>621</v>
      </c>
      <c r="L167" s="33">
        <v>46305</v>
      </c>
      <c r="M167" s="27" t="str">
        <f>IF($B167="","",IFERROR(INDEX('العقود'!$D:$D,MATCH($B167,'العقود'!$A:$A,0)),""))</f>
        <v>ابو بكر</v>
      </c>
    </row>
    <row r="168" spans="1:13" x14ac:dyDescent="0.25">
      <c r="A168" t="s">
        <v>789</v>
      </c>
      <c r="B168" t="s">
        <v>253</v>
      </c>
      <c r="C168" s="27" t="str">
        <f>IF($B168="","",IFERROR(INDEX('العقود'!$F:$F,MATCH($B168,'العقود'!$A:$A,0)),""))</f>
        <v>شركة النخبة للتجارة</v>
      </c>
      <c r="D168" s="27" t="str">
        <f>IF($B168="","",IFERROR(INDEX('العقود'!$E:$E,MATCH($B168,'العقود'!$A:$A,0)),""))</f>
        <v>206</v>
      </c>
      <c r="E168" s="38" t="s">
        <v>757</v>
      </c>
      <c r="F168" s="39">
        <v>16500</v>
      </c>
      <c r="G168" s="33"/>
      <c r="H168" t="s">
        <v>620</v>
      </c>
      <c r="I168" t="s">
        <v>35</v>
      </c>
      <c r="J168" t="s">
        <v>35</v>
      </c>
      <c r="K168" t="s">
        <v>621</v>
      </c>
      <c r="L168" s="33">
        <v>46305</v>
      </c>
      <c r="M168" s="27" t="str">
        <f>IF($B168="","",IFERROR(INDEX('العقود'!$D:$D,MATCH($B168,'العقود'!$A:$A,0)),""))</f>
        <v>ابو بكر</v>
      </c>
    </row>
    <row r="169" spans="1:13" x14ac:dyDescent="0.25">
      <c r="A169" t="s">
        <v>790</v>
      </c>
      <c r="B169" t="s">
        <v>268</v>
      </c>
      <c r="C169" s="27" t="str">
        <f>IF($B169="","",IFERROR(INDEX('العقود'!$F:$F,MATCH($B169,'العقود'!$A:$A,0)),""))</f>
        <v>شركة النخبة للإنتاج الفني</v>
      </c>
      <c r="D169" s="27" t="str">
        <f>IF($B169="","",IFERROR(INDEX('العقود'!$E:$E,MATCH($B169,'العقود'!$A:$A,0)),""))</f>
        <v>208</v>
      </c>
      <c r="E169" s="38" t="s">
        <v>757</v>
      </c>
      <c r="F169" s="39">
        <v>19250</v>
      </c>
      <c r="G169" s="33"/>
      <c r="H169" t="s">
        <v>620</v>
      </c>
      <c r="I169" t="s">
        <v>35</v>
      </c>
      <c r="J169" t="s">
        <v>35</v>
      </c>
      <c r="K169" t="s">
        <v>621</v>
      </c>
      <c r="L169" s="33">
        <v>46305</v>
      </c>
      <c r="M169" s="27" t="str">
        <f>IF($B169="","",IFERROR(INDEX('العقود'!$D:$D,MATCH($B169,'العقود'!$A:$A,0)),""))</f>
        <v>ابو بكر</v>
      </c>
    </row>
    <row r="170" spans="1:13" x14ac:dyDescent="0.25">
      <c r="A170" t="s">
        <v>791</v>
      </c>
      <c r="B170" t="s">
        <v>273</v>
      </c>
      <c r="C170" s="27" t="str">
        <f>IF($B170="","",IFERROR(INDEX('العقود'!$F:$F,MATCH($B170,'العقود'!$A:$A,0)),""))</f>
        <v>أحمد طارق غانم</v>
      </c>
      <c r="D170" s="27" t="str">
        <f>IF($B170="","",IFERROR(INDEX('العقود'!$E:$E,MATCH($B170,'العقود'!$A:$A,0)),""))</f>
        <v>301</v>
      </c>
      <c r="E170" s="38" t="s">
        <v>757</v>
      </c>
      <c r="F170" s="39">
        <v>17000</v>
      </c>
      <c r="G170" s="33"/>
      <c r="H170" t="s">
        <v>620</v>
      </c>
      <c r="I170" t="s">
        <v>35</v>
      </c>
      <c r="J170" t="s">
        <v>35</v>
      </c>
      <c r="K170" t="s">
        <v>621</v>
      </c>
      <c r="L170" s="33">
        <v>46305</v>
      </c>
      <c r="M170" s="27" t="str">
        <f>IF($B170="","",IFERROR(INDEX('العقود'!$D:$D,MATCH($B170,'العقود'!$A:$A,0)),""))</f>
        <v>ابو بكر</v>
      </c>
    </row>
    <row r="171" spans="1:13" x14ac:dyDescent="0.25">
      <c r="A171" t="s">
        <v>792</v>
      </c>
      <c r="B171" t="s">
        <v>279</v>
      </c>
      <c r="C171" s="27" t="str">
        <f>IF($B171="","",IFERROR(INDEX('العقود'!$F:$F,MATCH($B171,'العقود'!$A:$A,0)),""))</f>
        <v>خالد شريف زكي</v>
      </c>
      <c r="D171" s="27" t="str">
        <f>IF($B171="","",IFERROR(INDEX('العقود'!$E:$E,MATCH($B171,'العقود'!$A:$A,0)),""))</f>
        <v>302</v>
      </c>
      <c r="E171" s="38" t="s">
        <v>757</v>
      </c>
      <c r="F171" s="39">
        <v>17000</v>
      </c>
      <c r="G171" s="33"/>
      <c r="H171" t="s">
        <v>620</v>
      </c>
      <c r="I171" t="s">
        <v>35</v>
      </c>
      <c r="J171" t="s">
        <v>35</v>
      </c>
      <c r="K171" t="s">
        <v>621</v>
      </c>
      <c r="L171" s="33">
        <v>46305</v>
      </c>
      <c r="M171" s="27" t="str">
        <f>IF($B171="","",IFERROR(INDEX('العقود'!$D:$D,MATCH($B171,'العقود'!$A:$A,0)),""))</f>
        <v>ابو بكر</v>
      </c>
    </row>
    <row r="172" spans="1:13" x14ac:dyDescent="0.25">
      <c r="A172" t="s">
        <v>793</v>
      </c>
      <c r="B172" t="s">
        <v>282</v>
      </c>
      <c r="C172" s="27" t="str">
        <f>IF($B172="","",IFERROR(INDEX('العقود'!$F:$F,MATCH($B172,'العقود'!$A:$A,0)),""))</f>
        <v>عادل عمر مكرم</v>
      </c>
      <c r="D172" s="27" t="str">
        <f>IF($B172="","",IFERROR(INDEX('العقود'!$E:$E,MATCH($B172,'العقود'!$A:$A,0)),""))</f>
        <v>303</v>
      </c>
      <c r="E172" s="38" t="s">
        <v>757</v>
      </c>
      <c r="F172" s="39">
        <v>19000</v>
      </c>
      <c r="G172" s="33"/>
      <c r="H172" t="s">
        <v>620</v>
      </c>
      <c r="I172" t="s">
        <v>35</v>
      </c>
      <c r="J172" t="s">
        <v>35</v>
      </c>
      <c r="K172" t="s">
        <v>621</v>
      </c>
      <c r="L172" s="33">
        <v>46305</v>
      </c>
      <c r="M172" s="27" t="str">
        <f>IF($B172="","",IFERROR(INDEX('العقود'!$D:$D,MATCH($B172,'العقود'!$A:$A,0)),""))</f>
        <v>ابو بكر</v>
      </c>
    </row>
    <row r="173" spans="1:13" x14ac:dyDescent="0.25">
      <c r="A173" t="s">
        <v>794</v>
      </c>
      <c r="B173" t="s">
        <v>298</v>
      </c>
      <c r="C173" s="27" t="str">
        <f>IF($B173="","",IFERROR(INDEX('العقود'!$F:$F,MATCH($B173,'العقود'!$A:$A,0)),""))</f>
        <v>شركة النور للخدمات الطبية</v>
      </c>
      <c r="D173" s="27" t="str">
        <f>IF($B173="","",IFERROR(INDEX('العقود'!$E:$E,MATCH($B173,'العقود'!$A:$A,0)),""))</f>
        <v>305</v>
      </c>
      <c r="E173" s="38" t="s">
        <v>757</v>
      </c>
      <c r="F173" s="39">
        <v>11500</v>
      </c>
      <c r="G173" s="33"/>
      <c r="H173" t="s">
        <v>620</v>
      </c>
      <c r="I173" t="s">
        <v>35</v>
      </c>
      <c r="J173" t="s">
        <v>35</v>
      </c>
      <c r="K173" t="s">
        <v>621</v>
      </c>
      <c r="L173" s="33">
        <v>46305</v>
      </c>
      <c r="M173" s="27" t="str">
        <f>IF($B173="","",IFERROR(INDEX('العقود'!$D:$D,MATCH($B173,'العقود'!$A:$A,0)),""))</f>
        <v>ابو بكر</v>
      </c>
    </row>
    <row r="174" spans="1:13" x14ac:dyDescent="0.25">
      <c r="A174" t="s">
        <v>795</v>
      </c>
      <c r="B174" t="s">
        <v>304</v>
      </c>
      <c r="C174" s="27" t="str">
        <f>IF($B174="","",IFERROR(INDEX('العقود'!$F:$F,MATCH($B174,'العقود'!$A:$A,0)),""))</f>
        <v>سامح إبراهيم منصور</v>
      </c>
      <c r="D174" s="27" t="str">
        <f>IF($B174="","",IFERROR(INDEX('العقود'!$E:$E,MATCH($B174,'العقود'!$A:$A,0)),""))</f>
        <v>306</v>
      </c>
      <c r="E174" s="38" t="s">
        <v>757</v>
      </c>
      <c r="F174" s="39">
        <v>11195</v>
      </c>
      <c r="G174" s="33"/>
      <c r="H174" t="s">
        <v>620</v>
      </c>
      <c r="I174" t="s">
        <v>35</v>
      </c>
      <c r="J174" t="s">
        <v>35</v>
      </c>
      <c r="K174" t="s">
        <v>621</v>
      </c>
      <c r="L174" s="33">
        <v>46305</v>
      </c>
      <c r="M174" s="27" t="str">
        <f>IF($B174="","",IFERROR(INDEX('العقود'!$D:$D,MATCH($B174,'العقود'!$A:$A,0)),""))</f>
        <v>ابو بكر</v>
      </c>
    </row>
    <row r="175" spans="1:13" x14ac:dyDescent="0.25">
      <c r="A175" t="s">
        <v>796</v>
      </c>
      <c r="B175" t="s">
        <v>311</v>
      </c>
      <c r="C175" s="27" t="str">
        <f>IF($B175="","",IFERROR(INDEX('العقود'!$F:$F,MATCH($B175,'العقود'!$A:$A,0)),""))</f>
        <v>د/ منى أمير الشريف</v>
      </c>
      <c r="D175" s="27" t="str">
        <f>IF($B175="","",IFERROR(INDEX('العقود'!$E:$E,MATCH($B175,'العقود'!$A:$A,0)),""))</f>
        <v>307</v>
      </c>
      <c r="E175" s="38" t="s">
        <v>757</v>
      </c>
      <c r="F175" s="39">
        <v>12100</v>
      </c>
      <c r="G175" s="33"/>
      <c r="H175" t="s">
        <v>620</v>
      </c>
      <c r="I175" t="s">
        <v>35</v>
      </c>
      <c r="J175" t="s">
        <v>35</v>
      </c>
      <c r="K175" t="s">
        <v>621</v>
      </c>
      <c r="L175" s="33">
        <v>46305</v>
      </c>
      <c r="M175" s="27" t="str">
        <f>IF($B175="","",IFERROR(INDEX('العقود'!$D:$D,MATCH($B175,'العقود'!$A:$A,0)),""))</f>
        <v>ابو بكر</v>
      </c>
    </row>
    <row r="176" spans="1:13" x14ac:dyDescent="0.25">
      <c r="A176" t="s">
        <v>797</v>
      </c>
      <c r="B176" t="s">
        <v>318</v>
      </c>
      <c r="C176" s="27" t="str">
        <f>IF($B176="","",IFERROR(INDEX('العقود'!$F:$F,MATCH($B176,'العقود'!$A:$A,0)),""))</f>
        <v>شركة الأمل للخدمات الطبية</v>
      </c>
      <c r="D176" s="27" t="str">
        <f>IF($B176="","",IFERROR(INDEX('العقود'!$E:$E,MATCH($B176,'العقود'!$A:$A,0)),""))</f>
        <v>401</v>
      </c>
      <c r="E176" s="38" t="s">
        <v>757</v>
      </c>
      <c r="F176" s="39">
        <v>11000</v>
      </c>
      <c r="G176" s="33"/>
      <c r="H176" t="s">
        <v>620</v>
      </c>
      <c r="I176" t="s">
        <v>35</v>
      </c>
      <c r="J176" t="s">
        <v>35</v>
      </c>
      <c r="K176" t="s">
        <v>621</v>
      </c>
      <c r="L176" s="33">
        <v>46305</v>
      </c>
      <c r="M176" s="27" t="str">
        <f>IF($B176="","",IFERROR(INDEX('العقود'!$D:$D,MATCH($B176,'العقود'!$A:$A,0)),""))</f>
        <v>ابو بكر</v>
      </c>
    </row>
    <row r="177" spans="1:13" x14ac:dyDescent="0.25">
      <c r="A177" t="s">
        <v>798</v>
      </c>
      <c r="B177" t="s">
        <v>325</v>
      </c>
      <c r="C177" s="27" t="str">
        <f>IF($B177="","",IFERROR(INDEX('العقود'!$F:$F,MATCH($B177,'العقود'!$A:$A,0)),""))</f>
        <v>شركة البركة للتدريب</v>
      </c>
      <c r="D177" s="27" t="str">
        <f>IF($B177="","",IFERROR(INDEX('العقود'!$E:$E,MATCH($B177,'العقود'!$A:$A,0)),""))</f>
        <v>403</v>
      </c>
      <c r="E177" s="38" t="s">
        <v>757</v>
      </c>
      <c r="F177" s="39">
        <v>16335</v>
      </c>
      <c r="G177" s="33"/>
      <c r="H177" t="s">
        <v>620</v>
      </c>
      <c r="I177" t="s">
        <v>35</v>
      </c>
      <c r="J177" t="s">
        <v>35</v>
      </c>
      <c r="K177" t="s">
        <v>621</v>
      </c>
      <c r="L177" s="33">
        <v>46305</v>
      </c>
      <c r="M177" s="27" t="str">
        <f>IF($B177="","",IFERROR(INDEX('العقود'!$D:$D,MATCH($B177,'العقود'!$A:$A,0)),""))</f>
        <v>ابو بكر</v>
      </c>
    </row>
    <row r="178" spans="1:13" x14ac:dyDescent="0.25">
      <c r="A178" t="s">
        <v>799</v>
      </c>
      <c r="B178" t="s">
        <v>330</v>
      </c>
      <c r="C178" s="27" t="str">
        <f>IF($B178="","",IFERROR(INDEX('العقود'!$F:$F,MATCH($B178,'العقود'!$A:$A,0)),""))</f>
        <v>آية محمود بدوي</v>
      </c>
      <c r="D178" s="27" t="str">
        <f>IF($B178="","",IFERROR(INDEX('العقود'!$E:$E,MATCH($B178,'العقود'!$A:$A,0)),""))</f>
        <v>404</v>
      </c>
      <c r="E178" s="38" t="s">
        <v>757</v>
      </c>
      <c r="F178" s="39">
        <v>12000</v>
      </c>
      <c r="G178" s="33"/>
      <c r="H178" t="s">
        <v>620</v>
      </c>
      <c r="I178" t="s">
        <v>35</v>
      </c>
      <c r="J178" t="s">
        <v>35</v>
      </c>
      <c r="K178" t="s">
        <v>621</v>
      </c>
      <c r="L178" s="33">
        <v>46305</v>
      </c>
      <c r="M178" s="27" t="str">
        <f>IF($B178="","",IFERROR(INDEX('العقود'!$D:$D,MATCH($B178,'العقود'!$A:$A,0)),""))</f>
        <v>ابو بكر</v>
      </c>
    </row>
    <row r="179" spans="1:13" x14ac:dyDescent="0.25">
      <c r="A179" t="s">
        <v>800</v>
      </c>
      <c r="B179" t="s">
        <v>341</v>
      </c>
      <c r="C179" s="27" t="str">
        <f>IF($B179="","",IFERROR(INDEX('العقود'!$F:$F,MATCH($B179,'العقود'!$A:$A,0)),""))</f>
        <v>شركة الأصيل للإنتاج الفني</v>
      </c>
      <c r="D179" s="27" t="str">
        <f>IF($B179="","",IFERROR(INDEX('العقود'!$E:$E,MATCH($B179,'العقود'!$A:$A,0)),""))</f>
        <v>405</v>
      </c>
      <c r="E179" s="38" t="s">
        <v>757</v>
      </c>
      <c r="F179" s="39">
        <v>14000</v>
      </c>
      <c r="G179" s="33"/>
      <c r="H179" t="s">
        <v>620</v>
      </c>
      <c r="I179" t="s">
        <v>35</v>
      </c>
      <c r="J179" t="s">
        <v>35</v>
      </c>
      <c r="K179" t="s">
        <v>621</v>
      </c>
      <c r="L179" s="33">
        <v>46305</v>
      </c>
      <c r="M179" s="27" t="str">
        <f>IF($B179="","",IFERROR(INDEX('العقود'!$D:$D,MATCH($B179,'العقود'!$A:$A,0)),""))</f>
        <v>ابو بكر</v>
      </c>
    </row>
    <row r="180" spans="1:13" x14ac:dyDescent="0.25">
      <c r="A180" t="s">
        <v>801</v>
      </c>
      <c r="B180" t="s">
        <v>346</v>
      </c>
      <c r="C180" s="27" t="str">
        <f>IF($B180="","",IFERROR(INDEX('العقود'!$F:$F,MATCH($B180,'العقود'!$A:$A,0)),""))</f>
        <v>شركة البركة للاستشارات الهندسية</v>
      </c>
      <c r="D180" s="27" t="str">
        <f>IF($B180="","",IFERROR(INDEX('العقود'!$E:$E,MATCH($B180,'العقود'!$A:$A,0)),""))</f>
        <v>406</v>
      </c>
      <c r="E180" s="38" t="s">
        <v>757</v>
      </c>
      <c r="F180" s="39">
        <v>16035</v>
      </c>
      <c r="G180" s="33"/>
      <c r="H180" t="s">
        <v>620</v>
      </c>
      <c r="I180" t="s">
        <v>35</v>
      </c>
      <c r="J180" t="s">
        <v>35</v>
      </c>
      <c r="K180" t="s">
        <v>621</v>
      </c>
      <c r="L180" s="33">
        <v>46305</v>
      </c>
      <c r="M180" s="27" t="str">
        <f>IF($B180="","",IFERROR(INDEX('العقود'!$D:$D,MATCH($B180,'العقود'!$A:$A,0)),""))</f>
        <v>ابو بكر</v>
      </c>
    </row>
    <row r="181" spans="1:13" x14ac:dyDescent="0.25">
      <c r="A181" t="s">
        <v>802</v>
      </c>
      <c r="B181" t="s">
        <v>353</v>
      </c>
      <c r="C181" s="27" t="str">
        <f>IF($B181="","",IFERROR(INDEX('العقود'!$F:$F,MATCH($B181,'العقود'!$A:$A,0)),""))</f>
        <v>شركة الهرم لتكنولوجيا المعلومات</v>
      </c>
      <c r="D181" s="27" t="str">
        <f>IF($B181="","",IFERROR(INDEX('العقود'!$E:$E,MATCH($B181,'العقود'!$A:$A,0)),""))</f>
        <v>407</v>
      </c>
      <c r="E181" s="38" t="s">
        <v>757</v>
      </c>
      <c r="F181" s="39">
        <v>16500</v>
      </c>
      <c r="G181" s="33"/>
      <c r="H181" t="s">
        <v>620</v>
      </c>
      <c r="I181" t="s">
        <v>35</v>
      </c>
      <c r="J181" t="s">
        <v>35</v>
      </c>
      <c r="K181" t="s">
        <v>621</v>
      </c>
      <c r="L181" s="33">
        <v>46305</v>
      </c>
      <c r="M181" s="27" t="str">
        <f>IF($B181="","",IFERROR(INDEX('العقود'!$D:$D,MATCH($B181,'العقود'!$A:$A,0)),""))</f>
        <v>ابو بكر</v>
      </c>
    </row>
    <row r="182" spans="1:13" x14ac:dyDescent="0.25">
      <c r="A182" t="s">
        <v>803</v>
      </c>
      <c r="B182" t="s">
        <v>359</v>
      </c>
      <c r="C182" s="27" t="str">
        <f>IF($B182="","",IFERROR(INDEX('العقود'!$F:$F,MATCH($B182,'العقود'!$A:$A,0)),""))</f>
        <v>مصطفى وليد الجندي</v>
      </c>
      <c r="D182" s="27" t="str">
        <f>IF($B182="","",IFERROR(INDEX('العقود'!$E:$E,MATCH($B182,'العقود'!$A:$A,0)),""))</f>
        <v>408</v>
      </c>
      <c r="E182" s="38" t="s">
        <v>757</v>
      </c>
      <c r="F182" s="39">
        <v>18500</v>
      </c>
      <c r="G182" s="33"/>
      <c r="H182" t="s">
        <v>620</v>
      </c>
      <c r="I182" t="s">
        <v>35</v>
      </c>
      <c r="J182" t="s">
        <v>35</v>
      </c>
      <c r="K182" t="s">
        <v>621</v>
      </c>
      <c r="L182" s="33">
        <v>46305</v>
      </c>
      <c r="M182" s="27" t="str">
        <f>IF($B182="","",IFERROR(INDEX('العقود'!$D:$D,MATCH($B182,'العقود'!$A:$A,0)),""))</f>
        <v>ابو بكر</v>
      </c>
    </row>
    <row r="183" spans="1:13" x14ac:dyDescent="0.25">
      <c r="A183" t="s">
        <v>804</v>
      </c>
      <c r="B183" t="s">
        <v>366</v>
      </c>
      <c r="C183" s="27" t="str">
        <f>IF($B183="","",IFERROR(INDEX('العقود'!$F:$F,MATCH($B183,'العقود'!$A:$A,0)),""))</f>
        <v>شركة الياسمين للتسويق</v>
      </c>
      <c r="D183" s="27" t="str">
        <f>IF($B183="","",IFERROR(INDEX('العقود'!$E:$E,MATCH($B183,'العقود'!$A:$A,0)),""))</f>
        <v>501</v>
      </c>
      <c r="E183" s="38" t="s">
        <v>757</v>
      </c>
      <c r="F183" s="39">
        <v>15000</v>
      </c>
      <c r="G183" s="33"/>
      <c r="H183" t="s">
        <v>620</v>
      </c>
      <c r="I183" t="s">
        <v>35</v>
      </c>
      <c r="J183" t="s">
        <v>35</v>
      </c>
      <c r="K183" t="s">
        <v>621</v>
      </c>
      <c r="L183" s="33">
        <v>46305</v>
      </c>
      <c r="M183" s="27" t="str">
        <f>IF($B183="","",IFERROR(INDEX('العقود'!$D:$D,MATCH($B183,'العقود'!$A:$A,0)),""))</f>
        <v>ابو بكر</v>
      </c>
    </row>
    <row r="184" spans="1:13" x14ac:dyDescent="0.25">
      <c r="A184" t="s">
        <v>805</v>
      </c>
      <c r="B184" t="s">
        <v>369</v>
      </c>
      <c r="C184" s="27" t="str">
        <f>IF($B184="","",IFERROR(INDEX('العقود'!$F:$F,MATCH($B184,'العقود'!$A:$A,0)),""))</f>
        <v>شركة الياسمين للتسويق</v>
      </c>
      <c r="D184" s="27" t="str">
        <f>IF($B184="","",IFERROR(INDEX('العقود'!$E:$E,MATCH($B184,'العقود'!$A:$A,0)),""))</f>
        <v>502</v>
      </c>
      <c r="E184" s="38" t="s">
        <v>757</v>
      </c>
      <c r="F184" s="39">
        <v>15000</v>
      </c>
      <c r="G184" s="33"/>
      <c r="H184" t="s">
        <v>620</v>
      </c>
      <c r="I184" t="s">
        <v>35</v>
      </c>
      <c r="J184" t="s">
        <v>35</v>
      </c>
      <c r="K184" t="s">
        <v>621</v>
      </c>
      <c r="L184" s="33">
        <v>46305</v>
      </c>
      <c r="M184" s="27" t="str">
        <f>IF($B184="","",IFERROR(INDEX('العقود'!$D:$D,MATCH($B184,'العقود'!$A:$A,0)),""))</f>
        <v>ابو بكر</v>
      </c>
    </row>
    <row r="185" spans="1:13" x14ac:dyDescent="0.25">
      <c r="A185" t="s">
        <v>806</v>
      </c>
      <c r="B185" t="s">
        <v>374</v>
      </c>
      <c r="C185" s="27" t="str">
        <f>IF($B185="","",IFERROR(INDEX('العقود'!$F:$F,MATCH($B185,'العقود'!$A:$A,0)),""))</f>
        <v>إبراهيم أحمد البنا</v>
      </c>
      <c r="D185" s="27" t="str">
        <f>IF($B185="","",IFERROR(INDEX('العقود'!$E:$E,MATCH($B185,'العقود'!$A:$A,0)),""))</f>
        <v>503</v>
      </c>
      <c r="E185" s="38" t="s">
        <v>757</v>
      </c>
      <c r="F185" s="39">
        <v>11195</v>
      </c>
      <c r="G185" s="33"/>
      <c r="H185" t="s">
        <v>620</v>
      </c>
      <c r="I185" t="s">
        <v>35</v>
      </c>
      <c r="J185" t="s">
        <v>35</v>
      </c>
      <c r="K185" t="s">
        <v>621</v>
      </c>
      <c r="L185" s="33">
        <v>46305</v>
      </c>
      <c r="M185" s="27" t="str">
        <f>IF($B185="","",IFERROR(INDEX('العقود'!$D:$D,MATCH($B185,'العقود'!$A:$A,0)),""))</f>
        <v>ابو بكر</v>
      </c>
    </row>
    <row r="186" spans="1:13" x14ac:dyDescent="0.25">
      <c r="A186" t="s">
        <v>807</v>
      </c>
      <c r="B186" t="s">
        <v>380</v>
      </c>
      <c r="C186" s="27" t="str">
        <f>IF($B186="","",IFERROR(INDEX('العقود'!$F:$F,MATCH($B186,'العقود'!$A:$A,0)),""))</f>
        <v>شركة المستقبل للخدمات الطبية</v>
      </c>
      <c r="D186" s="27" t="str">
        <f>IF($B186="","",IFERROR(INDEX('العقود'!$E:$E,MATCH($B186,'العقود'!$A:$A,0)),""))</f>
        <v>504</v>
      </c>
      <c r="E186" s="38" t="s">
        <v>757</v>
      </c>
      <c r="F186" s="39">
        <v>10000</v>
      </c>
      <c r="G186" s="33"/>
      <c r="H186" t="s">
        <v>620</v>
      </c>
      <c r="I186" t="s">
        <v>35</v>
      </c>
      <c r="J186" t="s">
        <v>35</v>
      </c>
      <c r="K186" t="s">
        <v>621</v>
      </c>
      <c r="L186" s="33">
        <v>46305</v>
      </c>
      <c r="M186" s="27" t="str">
        <f>IF($B186="","",IFERROR(INDEX('العقود'!$D:$D,MATCH($B186,'العقود'!$A:$A,0)),""))</f>
        <v>ابو بكر</v>
      </c>
    </row>
    <row r="187" spans="1:13" x14ac:dyDescent="0.25">
      <c r="A187" t="s">
        <v>808</v>
      </c>
      <c r="B187" t="s">
        <v>384</v>
      </c>
      <c r="C187" s="27" t="str">
        <f>IF($B187="","",IFERROR(INDEX('العقود'!$F:$F,MATCH($B187,'العقود'!$A:$A,0)),""))</f>
        <v>حسين أمير بدوي</v>
      </c>
      <c r="D187" s="27" t="str">
        <f>IF($B187="","",IFERROR(INDEX('العقود'!$E:$E,MATCH($B187,'العقود'!$A:$A,0)),""))</f>
        <v>505</v>
      </c>
      <c r="E187" s="38" t="s">
        <v>757</v>
      </c>
      <c r="F187" s="39">
        <v>11000</v>
      </c>
      <c r="G187" s="33"/>
      <c r="H187" t="s">
        <v>620</v>
      </c>
      <c r="I187" t="s">
        <v>35</v>
      </c>
      <c r="J187" t="s">
        <v>35</v>
      </c>
      <c r="K187" t="s">
        <v>621</v>
      </c>
      <c r="L187" s="33">
        <v>46305</v>
      </c>
      <c r="M187" s="27" t="str">
        <f>IF($B187="","",IFERROR(INDEX('العقود'!$D:$D,MATCH($B187,'العقود'!$A:$A,0)),""))</f>
        <v>ابو بكر</v>
      </c>
    </row>
    <row r="188" spans="1:13" x14ac:dyDescent="0.25">
      <c r="A188" t="s">
        <v>809</v>
      </c>
      <c r="B188" t="s">
        <v>391</v>
      </c>
      <c r="C188" s="27" t="str">
        <f>IF($B188="","",IFERROR(INDEX('العقود'!$F:$F,MATCH($B188,'العقود'!$A:$A,0)),""))</f>
        <v>د/ آية هشام رشاد</v>
      </c>
      <c r="D188" s="27" t="str">
        <f>IF($B188="","",IFERROR(INDEX('العقود'!$E:$E,MATCH($B188,'العقود'!$A:$A,0)),""))</f>
        <v>506</v>
      </c>
      <c r="E188" s="38" t="s">
        <v>757</v>
      </c>
      <c r="F188" s="39">
        <v>17000</v>
      </c>
      <c r="G188" s="33"/>
      <c r="H188" t="s">
        <v>620</v>
      </c>
      <c r="I188" t="s">
        <v>35</v>
      </c>
      <c r="J188" t="s">
        <v>35</v>
      </c>
      <c r="K188" t="s">
        <v>621</v>
      </c>
      <c r="L188" s="33">
        <v>46305</v>
      </c>
      <c r="M188" s="27" t="str">
        <f>IF($B188="","",IFERROR(INDEX('العقود'!$D:$D,MATCH($B188,'العقود'!$A:$A,0)),""))</f>
        <v>ابو بكر</v>
      </c>
    </row>
    <row r="189" spans="1:13" x14ac:dyDescent="0.25">
      <c r="A189" t="s">
        <v>810</v>
      </c>
      <c r="B189" t="s">
        <v>407</v>
      </c>
      <c r="C189" s="27" t="str">
        <f>IF($B189="","",IFERROR(INDEX('العقود'!$F:$F,MATCH($B189,'العقود'!$A:$A,0)),""))</f>
        <v>شركة الوادي للتنمية</v>
      </c>
      <c r="D189" s="27" t="str">
        <f>IF($B189="","",IFERROR(INDEX('العقود'!$E:$E,MATCH($B189,'العقود'!$A:$A,0)),""))</f>
        <v>601</v>
      </c>
      <c r="E189" s="38" t="s">
        <v>757</v>
      </c>
      <c r="F189" s="39">
        <v>9680</v>
      </c>
      <c r="G189" s="33"/>
      <c r="H189" t="s">
        <v>620</v>
      </c>
      <c r="I189" t="s">
        <v>35</v>
      </c>
      <c r="J189" t="s">
        <v>35</v>
      </c>
      <c r="K189" t="s">
        <v>621</v>
      </c>
      <c r="L189" s="33">
        <v>46305</v>
      </c>
      <c r="M189" s="27" t="str">
        <f>IF($B189="","",IFERROR(INDEX('العقود'!$D:$D,MATCH($B189,'العقود'!$A:$A,0)),""))</f>
        <v>ابو بكر</v>
      </c>
    </row>
    <row r="190" spans="1:13" x14ac:dyDescent="0.25">
      <c r="A190" t="s">
        <v>811</v>
      </c>
      <c r="B190" t="s">
        <v>415</v>
      </c>
      <c r="C190" s="27" t="str">
        <f>IF($B190="","",IFERROR(INDEX('العقود'!$F:$F,MATCH($B190,'العقود'!$A:$A,0)),""))</f>
        <v>شركة الوفاء للاستشارات الهندسية</v>
      </c>
      <c r="D190" s="27" t="str">
        <f>IF($B190="","",IFERROR(INDEX('العقود'!$E:$E,MATCH($B190,'العقود'!$A:$A,0)),""))</f>
        <v>602</v>
      </c>
      <c r="E190" s="38" t="s">
        <v>757</v>
      </c>
      <c r="F190" s="39">
        <v>19000</v>
      </c>
      <c r="G190" s="33"/>
      <c r="H190" t="s">
        <v>620</v>
      </c>
      <c r="I190" t="s">
        <v>35</v>
      </c>
      <c r="J190" t="s">
        <v>35</v>
      </c>
      <c r="K190" t="s">
        <v>621</v>
      </c>
      <c r="L190" s="33">
        <v>46305</v>
      </c>
      <c r="M190" s="27" t="str">
        <f>IF($B190="","",IFERROR(INDEX('العقود'!$D:$D,MATCH($B190,'العقود'!$A:$A,0)),""))</f>
        <v>ابو بكر</v>
      </c>
    </row>
    <row r="191" spans="1:13" x14ac:dyDescent="0.25">
      <c r="A191" t="s">
        <v>812</v>
      </c>
      <c r="B191" t="s">
        <v>421</v>
      </c>
      <c r="C191" s="27" t="str">
        <f>IF($B191="","",IFERROR(INDEX('العقود'!$F:$F,MATCH($B191,'العقود'!$A:$A,0)),""))</f>
        <v>عادل باسم حسنين</v>
      </c>
      <c r="D191" s="27" t="str">
        <f>IF($B191="","",IFERROR(INDEX('العقود'!$E:$E,MATCH($B191,'العقود'!$A:$A,0)),""))</f>
        <v>603</v>
      </c>
      <c r="E191" s="38" t="s">
        <v>757</v>
      </c>
      <c r="F191" s="39">
        <v>11495</v>
      </c>
      <c r="G191" s="33"/>
      <c r="H191" t="s">
        <v>620</v>
      </c>
      <c r="I191" t="s">
        <v>35</v>
      </c>
      <c r="J191" t="s">
        <v>35</v>
      </c>
      <c r="K191" t="s">
        <v>621</v>
      </c>
      <c r="L191" s="33">
        <v>46305</v>
      </c>
      <c r="M191" s="27" t="str">
        <f>IF($B191="","",IFERROR(INDEX('العقود'!$D:$D,MATCH($B191,'العقود'!$A:$A,0)),""))</f>
        <v>ابو بكر</v>
      </c>
    </row>
    <row r="192" spans="1:13" x14ac:dyDescent="0.25">
      <c r="A192" t="s">
        <v>813</v>
      </c>
      <c r="B192" t="s">
        <v>427</v>
      </c>
      <c r="C192" s="27" t="str">
        <f>IF($B192="","",IFERROR(INDEX('العقود'!$F:$F,MATCH($B192,'العقود'!$A:$A,0)),""))</f>
        <v>ندى وليد حسنين</v>
      </c>
      <c r="D192" s="27" t="str">
        <f>IF($B192="","",IFERROR(INDEX('العقود'!$E:$E,MATCH($B192,'العقود'!$A:$A,0)),""))</f>
        <v>604</v>
      </c>
      <c r="E192" s="38" t="s">
        <v>757</v>
      </c>
      <c r="F192" s="39">
        <v>11000</v>
      </c>
      <c r="G192" s="33"/>
      <c r="H192" t="s">
        <v>620</v>
      </c>
      <c r="I192" t="s">
        <v>35</v>
      </c>
      <c r="J192" t="s">
        <v>35</v>
      </c>
      <c r="K192" t="s">
        <v>621</v>
      </c>
      <c r="L192" s="33">
        <v>46305</v>
      </c>
      <c r="M192" s="27" t="str">
        <f>IF($B192="","",IFERROR(INDEX('العقود'!$D:$D,MATCH($B192,'العقود'!$A:$A,0)),""))</f>
        <v>ابو بكر</v>
      </c>
    </row>
    <row r="193" spans="1:13" x14ac:dyDescent="0.25">
      <c r="A193" t="s">
        <v>814</v>
      </c>
      <c r="B193" t="s">
        <v>433</v>
      </c>
      <c r="C193" s="27" t="str">
        <f>IF($B193="","",IFERROR(INDEX('العقود'!$F:$F,MATCH($B193,'العقود'!$A:$A,0)),""))</f>
        <v>شريف هاني فهمي</v>
      </c>
      <c r="D193" s="27" t="str">
        <f>IF($B193="","",IFERROR(INDEX('العقود'!$E:$E,MATCH($B193,'العقود'!$A:$A,0)),""))</f>
        <v>605</v>
      </c>
      <c r="E193" s="38" t="s">
        <v>757</v>
      </c>
      <c r="F193" s="39">
        <v>8775</v>
      </c>
      <c r="G193" s="33"/>
      <c r="H193" t="s">
        <v>620</v>
      </c>
      <c r="I193" t="s">
        <v>35</v>
      </c>
      <c r="J193" t="s">
        <v>35</v>
      </c>
      <c r="K193" t="s">
        <v>621</v>
      </c>
      <c r="L193" s="33">
        <v>46305</v>
      </c>
      <c r="M193" s="27" t="str">
        <f>IF($B193="","",IFERROR(INDEX('العقود'!$D:$D,MATCH($B193,'العقود'!$A:$A,0)),""))</f>
        <v>ابو بكر</v>
      </c>
    </row>
    <row r="194" spans="1:13" x14ac:dyDescent="0.25">
      <c r="A194" t="s">
        <v>815</v>
      </c>
      <c r="B194" t="s">
        <v>443</v>
      </c>
      <c r="C194" s="27" t="str">
        <f>IF($B194="","",IFERROR(INDEX('العقود'!$F:$F,MATCH($B194,'العقود'!$A:$A,0)),""))</f>
        <v>شركة الياسمين للاستشارات الهندسية</v>
      </c>
      <c r="D194" s="27" t="str">
        <f>IF($B194="","",IFERROR(INDEX('العقود'!$E:$E,MATCH($B194,'العقود'!$A:$A,0)),""))</f>
        <v>606</v>
      </c>
      <c r="E194" s="38" t="s">
        <v>757</v>
      </c>
      <c r="F194" s="39">
        <v>15000</v>
      </c>
      <c r="G194" s="33"/>
      <c r="H194" t="s">
        <v>620</v>
      </c>
      <c r="I194" t="s">
        <v>35</v>
      </c>
      <c r="J194" t="s">
        <v>35</v>
      </c>
      <c r="K194" t="s">
        <v>621</v>
      </c>
      <c r="L194" s="33">
        <v>46305</v>
      </c>
      <c r="M194" s="27" t="str">
        <f>IF($B194="","",IFERROR(INDEX('العقود'!$D:$D,MATCH($B194,'العقود'!$A:$A,0)),""))</f>
        <v>ابو بكر</v>
      </c>
    </row>
    <row r="195" spans="1:13" x14ac:dyDescent="0.25">
      <c r="A195" t="s">
        <v>816</v>
      </c>
      <c r="B195" t="s">
        <v>452</v>
      </c>
      <c r="C195" s="27" t="str">
        <f>IF($B195="","",IFERROR(INDEX('العقود'!$F:$F,MATCH($B195,'العقود'!$A:$A,0)),""))</f>
        <v>شركة الدلتا للتجارة</v>
      </c>
      <c r="D195" s="27" t="str">
        <f>IF($B195="","",IFERROR(INDEX('العقود'!$E:$E,MATCH($B195,'العقود'!$A:$A,0)),""))</f>
        <v>607</v>
      </c>
      <c r="E195" s="38" t="s">
        <v>757</v>
      </c>
      <c r="F195" s="39">
        <v>10500</v>
      </c>
      <c r="G195" s="33"/>
      <c r="H195" t="s">
        <v>620</v>
      </c>
      <c r="I195" t="s">
        <v>35</v>
      </c>
      <c r="J195" t="s">
        <v>35</v>
      </c>
      <c r="K195" t="s">
        <v>621</v>
      </c>
      <c r="L195" s="33">
        <v>46305</v>
      </c>
      <c r="M195" s="27" t="str">
        <f>IF($B195="","",IFERROR(INDEX('العقود'!$D:$D,MATCH($B195,'العقود'!$A:$A,0)),""))</f>
        <v>ابو بكر</v>
      </c>
    </row>
    <row r="196" spans="1:13" x14ac:dyDescent="0.25">
      <c r="A196" t="s">
        <v>817</v>
      </c>
      <c r="B196" t="s">
        <v>459</v>
      </c>
      <c r="C196" s="27" t="str">
        <f>IF($B196="","",IFERROR(INDEX('العقود'!$F:$F,MATCH($B196,'العقود'!$A:$A,0)),""))</f>
        <v>شركة السلام للتسويق</v>
      </c>
      <c r="D196" s="27" t="str">
        <f>IF($B196="","",IFERROR(INDEX('العقود'!$E:$E,MATCH($B196,'العقود'!$A:$A,0)),""))</f>
        <v>608</v>
      </c>
      <c r="E196" s="38" t="s">
        <v>757</v>
      </c>
      <c r="F196" s="39">
        <v>13000</v>
      </c>
      <c r="G196" s="33"/>
      <c r="H196" t="s">
        <v>620</v>
      </c>
      <c r="I196" t="s">
        <v>35</v>
      </c>
      <c r="J196" t="s">
        <v>35</v>
      </c>
      <c r="K196" t="s">
        <v>621</v>
      </c>
      <c r="L196" s="33">
        <v>46305</v>
      </c>
      <c r="M196" s="27" t="str">
        <f>IF($B196="","",IFERROR(INDEX('العقود'!$D:$D,MATCH($B196,'العقود'!$A:$A,0)),""))</f>
        <v>ابو بكر</v>
      </c>
    </row>
    <row r="197" spans="1:13" x14ac:dyDescent="0.25">
      <c r="A197" t="s">
        <v>818</v>
      </c>
      <c r="B197" t="s">
        <v>467</v>
      </c>
      <c r="C197" s="27" t="str">
        <f>IF($B197="","",IFERROR(INDEX('العقود'!$F:$F,MATCH($B197,'العقود'!$A:$A,0)),""))</f>
        <v>شركة المستقبل للتنمية</v>
      </c>
      <c r="D197" s="27" t="str">
        <f>IF($B197="","",IFERROR(INDEX('العقود'!$E:$E,MATCH($B197,'العقود'!$A:$A,0)),""))</f>
        <v>701</v>
      </c>
      <c r="E197" s="38" t="s">
        <v>757</v>
      </c>
      <c r="F197" s="39">
        <v>17000</v>
      </c>
      <c r="G197" s="33"/>
      <c r="H197" t="s">
        <v>620</v>
      </c>
      <c r="I197" t="s">
        <v>35</v>
      </c>
      <c r="J197" t="s">
        <v>35</v>
      </c>
      <c r="K197" t="s">
        <v>621</v>
      </c>
      <c r="L197" s="33">
        <v>46305</v>
      </c>
      <c r="M197" s="27" t="str">
        <f>IF($B197="","",IFERROR(INDEX('العقود'!$D:$D,MATCH($B197,'العقود'!$A:$A,0)),""))</f>
        <v>ابو بكر</v>
      </c>
    </row>
    <row r="198" spans="1:13" x14ac:dyDescent="0.25">
      <c r="A198" t="s">
        <v>819</v>
      </c>
      <c r="B198" t="s">
        <v>481</v>
      </c>
      <c r="C198" s="27" t="str">
        <f>IF($B198="","",IFERROR(INDEX('العقود'!$F:$F,MATCH($B198,'العقود'!$A:$A,0)),""))</f>
        <v>شركة البركة للتسويق</v>
      </c>
      <c r="D198" s="27" t="str">
        <f>IF($B198="","",IFERROR(INDEX('العقود'!$E:$E,MATCH($B198,'العقود'!$A:$A,0)),""))</f>
        <v>704</v>
      </c>
      <c r="E198" s="38" t="s">
        <v>757</v>
      </c>
      <c r="F198" s="39">
        <v>11000</v>
      </c>
      <c r="G198" s="33"/>
      <c r="H198" t="s">
        <v>620</v>
      </c>
      <c r="I198" t="s">
        <v>35</v>
      </c>
      <c r="J198" t="s">
        <v>35</v>
      </c>
      <c r="K198" t="s">
        <v>621</v>
      </c>
      <c r="L198" s="33">
        <v>46305</v>
      </c>
      <c r="M198" s="27" t="str">
        <f>IF($B198="","",IFERROR(INDEX('العقود'!$D:$D,MATCH($B198,'العقود'!$A:$A,0)),""))</f>
        <v>ابو بكر</v>
      </c>
    </row>
    <row r="199" spans="1:13" x14ac:dyDescent="0.25">
      <c r="A199" t="s">
        <v>820</v>
      </c>
      <c r="B199" t="s">
        <v>487</v>
      </c>
      <c r="C199" s="27" t="str">
        <f>IF($B199="","",IFERROR(INDEX('العقود'!$F:$F,MATCH($B199,'العقود'!$A:$A,0)),""))</f>
        <v>عمر مروان غانم</v>
      </c>
      <c r="D199" s="27" t="str">
        <f>IF($B199="","",IFERROR(INDEX('العقود'!$E:$E,MATCH($B199,'العقود'!$A:$A,0)),""))</f>
        <v>705</v>
      </c>
      <c r="E199" s="38" t="s">
        <v>757</v>
      </c>
      <c r="F199" s="39">
        <v>11000</v>
      </c>
      <c r="G199" s="33"/>
      <c r="H199" t="s">
        <v>620</v>
      </c>
      <c r="I199" t="s">
        <v>35</v>
      </c>
      <c r="J199" t="s">
        <v>35</v>
      </c>
      <c r="K199" t="s">
        <v>621</v>
      </c>
      <c r="L199" s="33">
        <v>46305</v>
      </c>
      <c r="M199" s="27" t="str">
        <f>IF($B199="","",IFERROR(INDEX('العقود'!$D:$D,MATCH($B199,'العقود'!$A:$A,0)),""))</f>
        <v>ابو بكر</v>
      </c>
    </row>
    <row r="200" spans="1:13" x14ac:dyDescent="0.25">
      <c r="A200" t="s">
        <v>821</v>
      </c>
      <c r="B200" t="s">
        <v>495</v>
      </c>
      <c r="C200" s="27" t="str">
        <f>IF($B200="","",IFERROR(INDEX('العقود'!$F:$F,MATCH($B200,'العقود'!$A:$A,0)),""))</f>
        <v>شركة الأمل للتسويق</v>
      </c>
      <c r="D200" s="27" t="str">
        <f>IF($B200="","",IFERROR(INDEX('العقود'!$E:$E,MATCH($B200,'العقود'!$A:$A,0)),""))</f>
        <v>706</v>
      </c>
      <c r="E200" s="38" t="s">
        <v>757</v>
      </c>
      <c r="F200" s="39">
        <v>10890</v>
      </c>
      <c r="G200" s="33"/>
      <c r="H200" t="s">
        <v>620</v>
      </c>
      <c r="I200" t="s">
        <v>35</v>
      </c>
      <c r="J200" t="s">
        <v>35</v>
      </c>
      <c r="K200" t="s">
        <v>621</v>
      </c>
      <c r="L200" s="33">
        <v>46305</v>
      </c>
      <c r="M200" s="27" t="str">
        <f>IF($B200="","",IFERROR(INDEX('العقود'!$D:$D,MATCH($B200,'العقود'!$A:$A,0)),""))</f>
        <v>ابو بكر</v>
      </c>
    </row>
    <row r="201" spans="1:13" x14ac:dyDescent="0.25">
      <c r="A201" t="s">
        <v>822</v>
      </c>
      <c r="B201" t="s">
        <v>502</v>
      </c>
      <c r="C201" s="27" t="str">
        <f>IF($B201="","",IFERROR(INDEX('العقود'!$F:$F,MATCH($B201,'العقود'!$A:$A,0)),""))</f>
        <v>شركة الأفق للخدمات الطبية</v>
      </c>
      <c r="D201" s="27" t="str">
        <f>IF($B201="","",IFERROR(INDEX('العقود'!$E:$E,MATCH($B201,'العقود'!$A:$A,0)),""))</f>
        <v>707</v>
      </c>
      <c r="E201" s="38" t="s">
        <v>757</v>
      </c>
      <c r="F201" s="39">
        <v>13000</v>
      </c>
      <c r="G201" s="33"/>
      <c r="H201" t="s">
        <v>620</v>
      </c>
      <c r="I201" t="s">
        <v>35</v>
      </c>
      <c r="J201" t="s">
        <v>35</v>
      </c>
      <c r="K201" t="s">
        <v>621</v>
      </c>
      <c r="L201" s="33">
        <v>46305</v>
      </c>
      <c r="M201" s="27" t="str">
        <f>IF($B201="","",IFERROR(INDEX('العقود'!$D:$D,MATCH($B201,'العقود'!$A:$A,0)),""))</f>
        <v>ابو بكر</v>
      </c>
    </row>
    <row r="202" spans="1:13" x14ac:dyDescent="0.25">
      <c r="A202" t="s">
        <v>823</v>
      </c>
      <c r="B202" t="s">
        <v>506</v>
      </c>
      <c r="C202" s="27" t="str">
        <f>IF($B202="","",IFERROR(INDEX('العقود'!$F:$F,MATCH($B202,'العقود'!$A:$A,0)),""))</f>
        <v>شركة الأفق للخدمات الطبية</v>
      </c>
      <c r="D202" s="27" t="str">
        <f>IF($B202="","",IFERROR(INDEX('العقود'!$E:$E,MATCH($B202,'العقود'!$A:$A,0)),""))</f>
        <v>708</v>
      </c>
      <c r="E202" s="38" t="s">
        <v>757</v>
      </c>
      <c r="F202" s="39">
        <v>13000</v>
      </c>
      <c r="G202" s="33"/>
      <c r="H202" t="s">
        <v>620</v>
      </c>
      <c r="I202" t="s">
        <v>35</v>
      </c>
      <c r="J202" t="s">
        <v>35</v>
      </c>
      <c r="K202" t="s">
        <v>621</v>
      </c>
      <c r="L202" s="33">
        <v>46305</v>
      </c>
      <c r="M202" s="27" t="str">
        <f>IF($B202="","",IFERROR(INDEX('العقود'!$D:$D,MATCH($B202,'العقود'!$A:$A,0)),""))</f>
        <v>ابو بكر</v>
      </c>
    </row>
    <row r="203" spans="1:13" x14ac:dyDescent="0.25">
      <c r="A203" t="s">
        <v>824</v>
      </c>
      <c r="B203" t="s">
        <v>37</v>
      </c>
      <c r="C203" s="27" t="str">
        <f>IF($B203="","",IFERROR(INDEX('العقود'!$F:$F,MATCH($B203,'العقود'!$A:$A,0)),""))</f>
        <v>عمرو أيمن زكي</v>
      </c>
      <c r="D203" s="27" t="str">
        <f>IF($B203="","",IFERROR(INDEX('العقود'!$E:$E,MATCH($B203,'العقود'!$A:$A,0)),""))</f>
        <v>محل</v>
      </c>
      <c r="E203" s="38" t="s">
        <v>825</v>
      </c>
      <c r="F203" s="39">
        <v>12705</v>
      </c>
      <c r="G203" s="33"/>
      <c r="H203" t="s">
        <v>620</v>
      </c>
      <c r="I203" t="s">
        <v>35</v>
      </c>
      <c r="J203" t="s">
        <v>35</v>
      </c>
      <c r="K203" t="s">
        <v>621</v>
      </c>
      <c r="L203" s="33">
        <v>46305</v>
      </c>
      <c r="M203" s="27" t="str">
        <f>IF($B203="","",IFERROR(INDEX('العقود'!$D:$D,MATCH($B203,'العقود'!$A:$A,0)),""))</f>
        <v>بابل</v>
      </c>
    </row>
    <row r="204" spans="1:13" x14ac:dyDescent="0.25">
      <c r="A204" t="s">
        <v>826</v>
      </c>
      <c r="B204" t="s">
        <v>44</v>
      </c>
      <c r="C204" s="27" t="str">
        <f>IF($B204="","",IFERROR(INDEX('العقود'!$F:$F,MATCH($B204,'العقود'!$A:$A,0)),""))</f>
        <v>شركة البركة للمقاولات</v>
      </c>
      <c r="D204" s="27" t="str">
        <f>IF($B204="","",IFERROR(INDEX('العقود'!$E:$E,MATCH($B204,'العقود'!$A:$A,0)),""))</f>
        <v>محل</v>
      </c>
      <c r="E204" s="38" t="s">
        <v>825</v>
      </c>
      <c r="F204" s="39">
        <v>30500</v>
      </c>
      <c r="G204" s="33"/>
      <c r="H204" t="s">
        <v>620</v>
      </c>
      <c r="I204" t="s">
        <v>35</v>
      </c>
      <c r="J204" t="s">
        <v>35</v>
      </c>
      <c r="K204" t="s">
        <v>621</v>
      </c>
      <c r="L204" s="33">
        <v>46305</v>
      </c>
      <c r="M204" s="27" t="str">
        <f>IF($B204="","",IFERROR(INDEX('العقود'!$D:$D,MATCH($B204,'العقود'!$A:$A,0)),""))</f>
        <v>بابل</v>
      </c>
    </row>
    <row r="205" spans="1:13" x14ac:dyDescent="0.25">
      <c r="A205" t="s">
        <v>827</v>
      </c>
      <c r="B205" t="s">
        <v>52</v>
      </c>
      <c r="C205" s="27" t="str">
        <f>IF($B205="","",IFERROR(INDEX('العقود'!$F:$F,MATCH($B205,'العقود'!$A:$A,0)),""))</f>
        <v>شركة الأفق لتكنولوجيا المعلومات</v>
      </c>
      <c r="D205" s="27" t="str">
        <f>IF($B205="","",IFERROR(INDEX('العقود'!$E:$E,MATCH($B205,'العقود'!$A:$A,0)),""))</f>
        <v>ميزان 1/2</v>
      </c>
      <c r="E205" s="38" t="s">
        <v>825</v>
      </c>
      <c r="F205" s="39">
        <v>45100</v>
      </c>
      <c r="G205" s="33"/>
      <c r="H205" t="s">
        <v>620</v>
      </c>
      <c r="I205" t="s">
        <v>35</v>
      </c>
      <c r="J205" t="s">
        <v>35</v>
      </c>
      <c r="K205" t="s">
        <v>621</v>
      </c>
      <c r="L205" s="33">
        <v>46305</v>
      </c>
      <c r="M205" s="27" t="str">
        <f>IF($B205="","",IFERROR(INDEX('العقود'!$D:$D,MATCH($B205,'العقود'!$A:$A,0)),""))</f>
        <v>بابل</v>
      </c>
    </row>
    <row r="206" spans="1:13" x14ac:dyDescent="0.25">
      <c r="A206" t="s">
        <v>828</v>
      </c>
      <c r="B206" t="s">
        <v>59</v>
      </c>
      <c r="C206" s="27" t="str">
        <f>IF($B206="","",IFERROR(INDEX('العقود'!$F:$F,MATCH($B206,'العقود'!$A:$A,0)),""))</f>
        <v>شركة النور للإنتاج الفني</v>
      </c>
      <c r="D206" s="27" t="str">
        <f>IF($B206="","",IFERROR(INDEX('العقود'!$E:$E,MATCH($B206,'العقود'!$A:$A,0)),""))</f>
        <v>ميزان 3</v>
      </c>
      <c r="E206" s="38" t="s">
        <v>825</v>
      </c>
      <c r="F206" s="39">
        <v>41800</v>
      </c>
      <c r="G206" s="33"/>
      <c r="H206" t="s">
        <v>620</v>
      </c>
      <c r="I206" t="s">
        <v>35</v>
      </c>
      <c r="J206" t="s">
        <v>35</v>
      </c>
      <c r="K206" t="s">
        <v>621</v>
      </c>
      <c r="L206" s="33">
        <v>46305</v>
      </c>
      <c r="M206" s="27" t="str">
        <f>IF($B206="","",IFERROR(INDEX('العقود'!$D:$D,MATCH($B206,'العقود'!$A:$A,0)),""))</f>
        <v>بابل</v>
      </c>
    </row>
    <row r="207" spans="1:13" x14ac:dyDescent="0.25">
      <c r="A207" t="s">
        <v>829</v>
      </c>
      <c r="B207" t="s">
        <v>63</v>
      </c>
      <c r="C207" s="27" t="str">
        <f>IF($B207="","",IFERROR(INDEX('العقود'!$F:$F,MATCH($B207,'العقود'!$A:$A,0)),""))</f>
        <v>شركة الأفق لتكنولوجيا المعلومات</v>
      </c>
      <c r="D207" s="27" t="str">
        <f>IF($B207="","",IFERROR(INDEX('العقود'!$E:$E,MATCH($B207,'العقود'!$A:$A,0)),""))</f>
        <v>الدور الثاني</v>
      </c>
      <c r="E207" s="38" t="s">
        <v>825</v>
      </c>
      <c r="F207" s="39">
        <v>91960</v>
      </c>
      <c r="G207" s="33"/>
      <c r="H207" t="s">
        <v>620</v>
      </c>
      <c r="I207" t="s">
        <v>35</v>
      </c>
      <c r="J207" t="s">
        <v>35</v>
      </c>
      <c r="K207" t="s">
        <v>621</v>
      </c>
      <c r="L207" s="33">
        <v>46305</v>
      </c>
      <c r="M207" s="27" t="str">
        <f>IF($B207="","",IFERROR(INDEX('العقود'!$D:$D,MATCH($B207,'العقود'!$A:$A,0)),""))</f>
        <v>بابل</v>
      </c>
    </row>
    <row r="208" spans="1:13" x14ac:dyDescent="0.25">
      <c r="A208" t="s">
        <v>830</v>
      </c>
      <c r="B208" t="s">
        <v>70</v>
      </c>
      <c r="C208" s="27" t="str">
        <f>IF($B208="","",IFERROR(INDEX('العقود'!$F:$F,MATCH($B208,'العقود'!$A:$A,0)),""))</f>
        <v>شركة الأمل للاستشارات الهندسية</v>
      </c>
      <c r="D208" s="27" t="str">
        <f>IF($B208="","",IFERROR(INDEX('العقود'!$E:$E,MATCH($B208,'العقود'!$A:$A,0)),""))</f>
        <v>مكتب 42</v>
      </c>
      <c r="E208" s="38" t="s">
        <v>825</v>
      </c>
      <c r="F208" s="39">
        <v>30250</v>
      </c>
      <c r="G208" s="33"/>
      <c r="H208" t="s">
        <v>620</v>
      </c>
      <c r="I208" t="s">
        <v>35</v>
      </c>
      <c r="J208" t="s">
        <v>35</v>
      </c>
      <c r="K208" t="s">
        <v>621</v>
      </c>
      <c r="L208" s="33">
        <v>46305</v>
      </c>
      <c r="M208" s="27" t="str">
        <f>IF($B208="","",IFERROR(INDEX('العقود'!$D:$D,MATCH($B208,'العقود'!$A:$A,0)),""))</f>
        <v>بابل</v>
      </c>
    </row>
    <row r="209" spans="1:13" x14ac:dyDescent="0.25">
      <c r="A209" t="s">
        <v>831</v>
      </c>
      <c r="B209" t="s">
        <v>86</v>
      </c>
      <c r="C209" s="27" t="str">
        <f>IF($B209="","",IFERROR(INDEX('العقود'!$F:$F,MATCH($B209,'العقود'!$A:$A,0)),""))</f>
        <v>شركة المستقبل للتدريب</v>
      </c>
      <c r="D209" s="27" t="str">
        <f>IF($B209="","",IFERROR(INDEX('العقود'!$E:$E,MATCH($B209,'العقود'!$A:$A,0)),""))</f>
        <v>ميزان 1</v>
      </c>
      <c r="E209" s="38" t="s">
        <v>825</v>
      </c>
      <c r="F209" s="39">
        <v>42350</v>
      </c>
      <c r="G209" s="33"/>
      <c r="H209" t="s">
        <v>620</v>
      </c>
      <c r="I209" t="s">
        <v>35</v>
      </c>
      <c r="J209" t="s">
        <v>35</v>
      </c>
      <c r="K209" t="s">
        <v>621</v>
      </c>
      <c r="L209" s="33">
        <v>46305</v>
      </c>
      <c r="M209" s="27" t="str">
        <f>IF($B209="","",IFERROR(INDEX('العقود'!$D:$D,MATCH($B209,'العقود'!$A:$A,0)),""))</f>
        <v>محيي الدين</v>
      </c>
    </row>
    <row r="210" spans="1:13" x14ac:dyDescent="0.25">
      <c r="A210" t="s">
        <v>832</v>
      </c>
      <c r="B210" t="s">
        <v>95</v>
      </c>
      <c r="C210" s="27" t="str">
        <f>IF($B210="","",IFERROR(INDEX('العقود'!$F:$F,MATCH($B210,'العقود'!$A:$A,0)),""))</f>
        <v>شركة الياسمين للتجارة</v>
      </c>
      <c r="D210" s="27" t="str">
        <f>IF($B210="","",IFERROR(INDEX('العقود'!$E:$E,MATCH($B210,'العقود'!$A:$A,0)),""))</f>
        <v>ميزان 2</v>
      </c>
      <c r="E210" s="38" t="s">
        <v>825</v>
      </c>
      <c r="F210" s="39">
        <v>25410</v>
      </c>
      <c r="G210" s="33"/>
      <c r="H210" t="s">
        <v>620</v>
      </c>
      <c r="I210" t="s">
        <v>35</v>
      </c>
      <c r="J210" t="s">
        <v>35</v>
      </c>
      <c r="K210" t="s">
        <v>621</v>
      </c>
      <c r="L210" s="33">
        <v>46305</v>
      </c>
      <c r="M210" s="27" t="str">
        <f>IF($B210="","",IFERROR(INDEX('العقود'!$D:$D,MATCH($B210,'العقود'!$A:$A,0)),""))</f>
        <v>محيي الدين</v>
      </c>
    </row>
    <row r="211" spans="1:13" x14ac:dyDescent="0.25">
      <c r="A211" t="s">
        <v>833</v>
      </c>
      <c r="B211" t="s">
        <v>103</v>
      </c>
      <c r="C211" s="27" t="str">
        <f>IF($B211="","",IFERROR(INDEX('العقود'!$F:$F,MATCH($B211,'العقود'!$A:$A,0)),""))</f>
        <v>شركة الأفق للاستيراد والتصدير</v>
      </c>
      <c r="D211" s="27" t="str">
        <f>IF($B211="","",IFERROR(INDEX('العقود'!$E:$E,MATCH($B211,'العقود'!$A:$A,0)),""))</f>
        <v>202</v>
      </c>
      <c r="E211" s="38" t="s">
        <v>825</v>
      </c>
      <c r="F211" s="39">
        <v>46585</v>
      </c>
      <c r="G211" s="33"/>
      <c r="H211" t="s">
        <v>620</v>
      </c>
      <c r="I211" t="s">
        <v>35</v>
      </c>
      <c r="J211" t="s">
        <v>35</v>
      </c>
      <c r="K211" t="s">
        <v>621</v>
      </c>
      <c r="L211" s="33">
        <v>46305</v>
      </c>
      <c r="M211" s="27" t="str">
        <f>IF($B211="","",IFERROR(INDEX('العقود'!$D:$D,MATCH($B211,'العقود'!$A:$A,0)),""))</f>
        <v>محيي الدين</v>
      </c>
    </row>
    <row r="212" spans="1:13" x14ac:dyDescent="0.25">
      <c r="A212" t="s">
        <v>834</v>
      </c>
      <c r="B212" t="s">
        <v>110</v>
      </c>
      <c r="C212" s="27" t="str">
        <f>IF($B212="","",IFERROR(INDEX('العقود'!$F:$F,MATCH($B212,'العقود'!$A:$A,0)),""))</f>
        <v>شريف هشام فوزي</v>
      </c>
      <c r="D212" s="27" t="str">
        <f>IF($B212="","",IFERROR(INDEX('العقود'!$E:$E,MATCH($B212,'العقود'!$A:$A,0)),""))</f>
        <v>301</v>
      </c>
      <c r="E212" s="38" t="s">
        <v>825</v>
      </c>
      <c r="F212" s="39">
        <v>22990</v>
      </c>
      <c r="G212" s="33"/>
      <c r="H212" t="s">
        <v>620</v>
      </c>
      <c r="I212" t="s">
        <v>35</v>
      </c>
      <c r="J212" t="s">
        <v>35</v>
      </c>
      <c r="K212" t="s">
        <v>621</v>
      </c>
      <c r="L212" s="33">
        <v>46305</v>
      </c>
      <c r="M212" s="27" t="str">
        <f>IF($B212="","",IFERROR(INDEX('العقود'!$D:$D,MATCH($B212,'العقود'!$A:$A,0)),""))</f>
        <v>محيي الدين</v>
      </c>
    </row>
    <row r="213" spans="1:13" x14ac:dyDescent="0.25">
      <c r="A213" t="s">
        <v>835</v>
      </c>
      <c r="B213" t="s">
        <v>117</v>
      </c>
      <c r="C213" s="27" t="str">
        <f>IF($B213="","",IFERROR(INDEX('العقود'!$F:$F,MATCH($B213,'العقود'!$A:$A,0)),""))</f>
        <v>د/ باسم أمير سليم</v>
      </c>
      <c r="D213" s="27" t="str">
        <f>IF($B213="","",IFERROR(INDEX('العقود'!$E:$E,MATCH($B213,'العقود'!$A:$A,0)),""))</f>
        <v>302</v>
      </c>
      <c r="E213" s="38" t="s">
        <v>825</v>
      </c>
      <c r="F213" s="39">
        <v>35000</v>
      </c>
      <c r="G213" s="33"/>
      <c r="H213" t="s">
        <v>620</v>
      </c>
      <c r="I213" t="s">
        <v>35</v>
      </c>
      <c r="J213" t="s">
        <v>35</v>
      </c>
      <c r="K213" t="s">
        <v>621</v>
      </c>
      <c r="L213" s="33">
        <v>46305</v>
      </c>
      <c r="M213" s="27" t="str">
        <f>IF($B213="","",IFERROR(INDEX('العقود'!$D:$D,MATCH($B213,'العقود'!$A:$A,0)),""))</f>
        <v>محيي الدين</v>
      </c>
    </row>
    <row r="214" spans="1:13" x14ac:dyDescent="0.25">
      <c r="A214" t="s">
        <v>836</v>
      </c>
      <c r="B214" t="s">
        <v>126</v>
      </c>
      <c r="C214" s="27" t="str">
        <f>IF($B214="","",IFERROR(INDEX('العقود'!$F:$F,MATCH($B214,'العقود'!$A:$A,0)),""))</f>
        <v>شركة الصفوة للإنتاج الفني</v>
      </c>
      <c r="D214" s="27" t="str">
        <f>IF($B214="","",IFERROR(INDEX('العقود'!$E:$E,MATCH($B214,'العقود'!$A:$A,0)),""))</f>
        <v>303</v>
      </c>
      <c r="E214" s="38" t="s">
        <v>825</v>
      </c>
      <c r="F214" s="39">
        <v>43000</v>
      </c>
      <c r="G214" s="33"/>
      <c r="H214" t="s">
        <v>620</v>
      </c>
      <c r="I214" t="s">
        <v>35</v>
      </c>
      <c r="J214" t="s">
        <v>35</v>
      </c>
      <c r="K214" t="s">
        <v>621</v>
      </c>
      <c r="L214" s="33">
        <v>46305</v>
      </c>
      <c r="M214" s="27" t="str">
        <f>IF($B214="","",IFERROR(INDEX('العقود'!$D:$D,MATCH($B214,'العقود'!$A:$A,0)),""))</f>
        <v>محيي الدين</v>
      </c>
    </row>
    <row r="215" spans="1:13" x14ac:dyDescent="0.25">
      <c r="A215" t="s">
        <v>837</v>
      </c>
      <c r="B215" t="s">
        <v>130</v>
      </c>
      <c r="C215" s="27" t="str">
        <f>IF($B215="","",IFERROR(INDEX('العقود'!$F:$F,MATCH($B215,'العقود'!$A:$A,0)),""))</f>
        <v>شركة الصفوة للإنتاج الفني</v>
      </c>
      <c r="D215" s="27" t="str">
        <f>IF($B215="","",IFERROR(INDEX('العقود'!$E:$E,MATCH($B215,'العقود'!$A:$A,0)),""))</f>
        <v>304</v>
      </c>
      <c r="E215" s="38" t="s">
        <v>825</v>
      </c>
      <c r="F215" s="39">
        <v>25300</v>
      </c>
      <c r="G215" s="33"/>
      <c r="H215" t="s">
        <v>620</v>
      </c>
      <c r="I215" t="s">
        <v>35</v>
      </c>
      <c r="J215" t="s">
        <v>35</v>
      </c>
      <c r="K215" t="s">
        <v>621</v>
      </c>
      <c r="L215" s="33">
        <v>46305</v>
      </c>
      <c r="M215" s="27" t="str">
        <f>IF($B215="","",IFERROR(INDEX('العقود'!$D:$D,MATCH($B215,'العقود'!$A:$A,0)),""))</f>
        <v>محيي الدين</v>
      </c>
    </row>
    <row r="216" spans="1:13" x14ac:dyDescent="0.25">
      <c r="A216" t="s">
        <v>838</v>
      </c>
      <c r="B216" t="s">
        <v>136</v>
      </c>
      <c r="C216" s="27" t="str">
        <f>IF($B216="","",IFERROR(INDEX('العقود'!$F:$F,MATCH($B216,'العقود'!$A:$A,0)),""))</f>
        <v>د/ يوسف حسن مكرم</v>
      </c>
      <c r="D216" s="27" t="str">
        <f>IF($B216="","",IFERROR(INDEX('العقود'!$E:$E,MATCH($B216,'العقود'!$A:$A,0)),""))</f>
        <v>401</v>
      </c>
      <c r="E216" s="38" t="s">
        <v>825</v>
      </c>
      <c r="F216" s="39">
        <v>37665</v>
      </c>
      <c r="G216" s="33"/>
      <c r="H216" t="s">
        <v>620</v>
      </c>
      <c r="I216" t="s">
        <v>35</v>
      </c>
      <c r="J216" t="s">
        <v>35</v>
      </c>
      <c r="K216" t="s">
        <v>621</v>
      </c>
      <c r="L216" s="33">
        <v>46305</v>
      </c>
      <c r="M216" s="27" t="str">
        <f>IF($B216="","",IFERROR(INDEX('العقود'!$D:$D,MATCH($B216,'العقود'!$A:$A,0)),""))</f>
        <v>محيي الدين</v>
      </c>
    </row>
    <row r="217" spans="1:13" x14ac:dyDescent="0.25">
      <c r="A217" t="s">
        <v>839</v>
      </c>
      <c r="B217" t="s">
        <v>143</v>
      </c>
      <c r="C217" s="27" t="str">
        <f>IF($B217="","",IFERROR(INDEX('العقود'!$F:$F,MATCH($B217,'العقود'!$A:$A,0)),""))</f>
        <v>د/ فادي سعيد منصور</v>
      </c>
      <c r="D217" s="27" t="str">
        <f>IF($B217="","",IFERROR(INDEX('العقود'!$E:$E,MATCH($B217,'العقود'!$A:$A,0)),""))</f>
        <v>404</v>
      </c>
      <c r="E217" s="38" t="s">
        <v>825</v>
      </c>
      <c r="F217" s="39">
        <v>30250</v>
      </c>
      <c r="G217" s="33"/>
      <c r="H217" t="s">
        <v>620</v>
      </c>
      <c r="I217" t="s">
        <v>35</v>
      </c>
      <c r="J217" t="s">
        <v>35</v>
      </c>
      <c r="K217" t="s">
        <v>621</v>
      </c>
      <c r="L217" s="33">
        <v>46305</v>
      </c>
      <c r="M217" s="27" t="str">
        <f>IF($B217="","",IFERROR(INDEX('العقود'!$D:$D,MATCH($B217,'العقود'!$A:$A,0)),""))</f>
        <v>محيي الدين</v>
      </c>
    </row>
    <row r="218" spans="1:13" x14ac:dyDescent="0.25">
      <c r="A218" t="s">
        <v>840</v>
      </c>
      <c r="B218" t="s">
        <v>149</v>
      </c>
      <c r="C218" s="27" t="str">
        <f>IF($B218="","",IFERROR(INDEX('العقود'!$F:$F,MATCH($B218,'العقود'!$A:$A,0)),""))</f>
        <v>د/ رضوى خالد عبد الرحمن</v>
      </c>
      <c r="D218" s="27" t="str">
        <f>IF($B218="","",IFERROR(INDEX('العقود'!$E:$E,MATCH($B218,'العقود'!$A:$A,0)),""))</f>
        <v>502</v>
      </c>
      <c r="E218" s="38" t="s">
        <v>825</v>
      </c>
      <c r="F218" s="39">
        <v>19060</v>
      </c>
      <c r="G218" s="33"/>
      <c r="H218" t="s">
        <v>620</v>
      </c>
      <c r="I218" t="s">
        <v>35</v>
      </c>
      <c r="J218" t="s">
        <v>35</v>
      </c>
      <c r="K218" t="s">
        <v>621</v>
      </c>
      <c r="L218" s="33">
        <v>46305</v>
      </c>
      <c r="M218" s="27" t="str">
        <f>IF($B218="","",IFERROR(INDEX('العقود'!$D:$D,MATCH($B218,'العقود'!$A:$A,0)),""))</f>
        <v>محيي الدين</v>
      </c>
    </row>
    <row r="219" spans="1:13" x14ac:dyDescent="0.25">
      <c r="A219" t="s">
        <v>841</v>
      </c>
      <c r="B219" t="s">
        <v>156</v>
      </c>
      <c r="C219" s="27" t="str">
        <f>IF($B219="","",IFERROR(INDEX('العقود'!$F:$F,MATCH($B219,'العقود'!$A:$A,0)),""))</f>
        <v>د/ آية أيمن بدوي</v>
      </c>
      <c r="D219" s="27" t="str">
        <f>IF($B219="","",IFERROR(INDEX('العقود'!$E:$E,MATCH($B219,'العقود'!$A:$A,0)),""))</f>
        <v>503</v>
      </c>
      <c r="E219" s="38" t="s">
        <v>825</v>
      </c>
      <c r="F219" s="39">
        <v>20570</v>
      </c>
      <c r="G219" s="33"/>
      <c r="H219" t="s">
        <v>620</v>
      </c>
      <c r="I219" t="s">
        <v>35</v>
      </c>
      <c r="J219" t="s">
        <v>35</v>
      </c>
      <c r="K219" t="s">
        <v>621</v>
      </c>
      <c r="L219" s="33">
        <v>46305</v>
      </c>
      <c r="M219" s="27" t="str">
        <f>IF($B219="","",IFERROR(INDEX('العقود'!$D:$D,MATCH($B219,'العقود'!$A:$A,0)),""))</f>
        <v>محيي الدين</v>
      </c>
    </row>
    <row r="220" spans="1:13" x14ac:dyDescent="0.25">
      <c r="A220" t="s">
        <v>842</v>
      </c>
      <c r="B220" t="s">
        <v>162</v>
      </c>
      <c r="C220" s="27" t="str">
        <f>IF($B220="","",IFERROR(INDEX('العقود'!$F:$F,MATCH($B220,'العقود'!$A:$A,0)),""))</f>
        <v>محمد سعيد عبد الرحمن</v>
      </c>
      <c r="D220" s="27" t="str">
        <f>IF($B220="","",IFERROR(INDEX('العقود'!$E:$E,MATCH($B220,'العقود'!$A:$A,0)),""))</f>
        <v>504</v>
      </c>
      <c r="E220" s="38" t="s">
        <v>825</v>
      </c>
      <c r="F220" s="39">
        <v>25410</v>
      </c>
      <c r="G220" s="33"/>
      <c r="H220" t="s">
        <v>620</v>
      </c>
      <c r="I220" t="s">
        <v>35</v>
      </c>
      <c r="J220" t="s">
        <v>35</v>
      </c>
      <c r="K220" t="s">
        <v>621</v>
      </c>
      <c r="L220" s="33">
        <v>46305</v>
      </c>
      <c r="M220" s="27" t="str">
        <f>IF($B220="","",IFERROR(INDEX('العقود'!$D:$D,MATCH($B220,'العقود'!$A:$A,0)),""))</f>
        <v>محيي الدين</v>
      </c>
    </row>
    <row r="221" spans="1:13" x14ac:dyDescent="0.25">
      <c r="A221" t="s">
        <v>843</v>
      </c>
      <c r="B221" t="s">
        <v>171</v>
      </c>
      <c r="C221" s="27" t="str">
        <f>IF($B221="","",IFERROR(INDEX('العقود'!$F:$F,MATCH($B221,'العقود'!$A:$A,0)),""))</f>
        <v>شركة الأمل للإنتاج الفني</v>
      </c>
      <c r="D221" s="27" t="str">
        <f>IF($B221="","",IFERROR(INDEX('العقود'!$E:$E,MATCH($B221,'العقود'!$A:$A,0)),""))</f>
        <v>ميزان 1</v>
      </c>
      <c r="E221" s="38" t="s">
        <v>825</v>
      </c>
      <c r="F221" s="39">
        <v>40700</v>
      </c>
      <c r="G221" s="33"/>
      <c r="H221" t="s">
        <v>620</v>
      </c>
      <c r="I221" t="s">
        <v>35</v>
      </c>
      <c r="J221" t="s">
        <v>35</v>
      </c>
      <c r="K221" t="s">
        <v>621</v>
      </c>
      <c r="L221" s="33">
        <v>46305</v>
      </c>
      <c r="M221" s="27" t="str">
        <f>IF($B221="","",IFERROR(INDEX('العقود'!$D:$D,MATCH($B221,'العقود'!$A:$A,0)),""))</f>
        <v>ابو بكر</v>
      </c>
    </row>
    <row r="222" spans="1:13" x14ac:dyDescent="0.25">
      <c r="A222" t="s">
        <v>844</v>
      </c>
      <c r="B222" t="s">
        <v>177</v>
      </c>
      <c r="C222" s="27" t="str">
        <f>IF($B222="","",IFERROR(INDEX('العقود'!$F:$F,MATCH($B222,'العقود'!$A:$A,0)),""))</f>
        <v>شركة النور للاستشارات الهندسية</v>
      </c>
      <c r="D222" s="27" t="str">
        <f>IF($B222="","",IFERROR(INDEX('العقود'!$E:$E,MATCH($B222,'العقود'!$A:$A,0)),""))</f>
        <v>ميزان 2</v>
      </c>
      <c r="E222" s="38" t="s">
        <v>825</v>
      </c>
      <c r="F222" s="39">
        <v>40700</v>
      </c>
      <c r="G222" s="33"/>
      <c r="H222" t="s">
        <v>620</v>
      </c>
      <c r="I222" t="s">
        <v>35</v>
      </c>
      <c r="J222" t="s">
        <v>35</v>
      </c>
      <c r="K222" t="s">
        <v>621</v>
      </c>
      <c r="L222" s="33">
        <v>46305</v>
      </c>
      <c r="M222" s="27" t="str">
        <f>IF($B222="","",IFERROR(INDEX('العقود'!$D:$D,MATCH($B222,'العقود'!$A:$A,0)),""))</f>
        <v>ابو بكر</v>
      </c>
    </row>
    <row r="223" spans="1:13" x14ac:dyDescent="0.25">
      <c r="A223" t="s">
        <v>845</v>
      </c>
      <c r="B223" t="s">
        <v>183</v>
      </c>
      <c r="C223" s="27" t="str">
        <f>IF($B223="","",IFERROR(INDEX('العقود'!$F:$F,MATCH($B223,'العقود'!$A:$A,0)),""))</f>
        <v>عادل عمر مكرم</v>
      </c>
      <c r="D223" s="27" t="str">
        <f>IF($B223="","",IFERROR(INDEX('العقود'!$E:$E,MATCH($B223,'العقود'!$A:$A,0)),""))</f>
        <v>102</v>
      </c>
      <c r="E223" s="38" t="s">
        <v>825</v>
      </c>
      <c r="F223" s="39">
        <v>17500</v>
      </c>
      <c r="G223" s="33"/>
      <c r="H223" t="s">
        <v>620</v>
      </c>
      <c r="I223" t="s">
        <v>35</v>
      </c>
      <c r="J223" t="s">
        <v>35</v>
      </c>
      <c r="K223" t="s">
        <v>621</v>
      </c>
      <c r="L223" s="33">
        <v>46305</v>
      </c>
      <c r="M223" s="27" t="str">
        <f>IF($B223="","",IFERROR(INDEX('العقود'!$D:$D,MATCH($B223,'العقود'!$A:$A,0)),""))</f>
        <v>ابو بكر</v>
      </c>
    </row>
    <row r="224" spans="1:13" x14ac:dyDescent="0.25">
      <c r="A224" t="s">
        <v>846</v>
      </c>
      <c r="B224" t="s">
        <v>190</v>
      </c>
      <c r="C224" s="27" t="str">
        <f>IF($B224="","",IFERROR(INDEX('العقود'!$F:$F,MATCH($B224,'العقود'!$A:$A,0)),""))</f>
        <v>تامر علي بدوي</v>
      </c>
      <c r="D224" s="27" t="str">
        <f>IF($B224="","",IFERROR(INDEX('العقود'!$E:$E,MATCH($B224,'العقود'!$A:$A,0)),""))</f>
        <v>103</v>
      </c>
      <c r="E224" s="38" t="s">
        <v>825</v>
      </c>
      <c r="F224" s="39">
        <v>7000</v>
      </c>
      <c r="G224" s="33"/>
      <c r="H224" t="s">
        <v>620</v>
      </c>
      <c r="I224" t="s">
        <v>35</v>
      </c>
      <c r="J224" t="s">
        <v>35</v>
      </c>
      <c r="K224" t="s">
        <v>621</v>
      </c>
      <c r="L224" s="33">
        <v>46305</v>
      </c>
      <c r="M224" s="27" t="str">
        <f>IF($B224="","",IFERROR(INDEX('العقود'!$D:$D,MATCH($B224,'العقود'!$A:$A,0)),""))</f>
        <v>ابو بكر</v>
      </c>
    </row>
    <row r="225" spans="1:13" x14ac:dyDescent="0.25">
      <c r="A225" t="s">
        <v>847</v>
      </c>
      <c r="B225" t="s">
        <v>196</v>
      </c>
      <c r="C225" s="27" t="str">
        <f>IF($B225="","",IFERROR(INDEX('العقود'!$F:$F,MATCH($B225,'العقود'!$A:$A,0)),""))</f>
        <v>مروان محمود حسنين</v>
      </c>
      <c r="D225" s="27" t="str">
        <f>IF($B225="","",IFERROR(INDEX('العقود'!$E:$E,MATCH($B225,'العقود'!$A:$A,0)),""))</f>
        <v>104</v>
      </c>
      <c r="E225" s="38" t="s">
        <v>825</v>
      </c>
      <c r="F225" s="39">
        <v>13000</v>
      </c>
      <c r="G225" s="33"/>
      <c r="H225" t="s">
        <v>620</v>
      </c>
      <c r="I225" t="s">
        <v>35</v>
      </c>
      <c r="J225" t="s">
        <v>35</v>
      </c>
      <c r="K225" t="s">
        <v>621</v>
      </c>
      <c r="L225" s="33">
        <v>46305</v>
      </c>
      <c r="M225" s="27" t="str">
        <f>IF($B225="","",IFERROR(INDEX('العقود'!$D:$D,MATCH($B225,'العقود'!$A:$A,0)),""))</f>
        <v>ابو بكر</v>
      </c>
    </row>
    <row r="226" spans="1:13" x14ac:dyDescent="0.25">
      <c r="A226" t="s">
        <v>848</v>
      </c>
      <c r="B226" t="s">
        <v>201</v>
      </c>
      <c r="C226" s="27" t="str">
        <f>IF($B226="","",IFERROR(INDEX('العقود'!$F:$F,MATCH($B226,'العقود'!$A:$A,0)),""))</f>
        <v>عادل عمر مكرم</v>
      </c>
      <c r="D226" s="27" t="str">
        <f>IF($B226="","",IFERROR(INDEX('العقود'!$E:$E,MATCH($B226,'العقود'!$A:$A,0)),""))</f>
        <v>105</v>
      </c>
      <c r="E226" s="38" t="s">
        <v>825</v>
      </c>
      <c r="F226" s="39">
        <v>13500</v>
      </c>
      <c r="G226" s="33"/>
      <c r="H226" t="s">
        <v>620</v>
      </c>
      <c r="I226" t="s">
        <v>35</v>
      </c>
      <c r="J226" t="s">
        <v>35</v>
      </c>
      <c r="K226" t="s">
        <v>621</v>
      </c>
      <c r="L226" s="33">
        <v>46305</v>
      </c>
      <c r="M226" s="27" t="str">
        <f>IF($B226="","",IFERROR(INDEX('العقود'!$D:$D,MATCH($B226,'العقود'!$A:$A,0)),""))</f>
        <v>ابو بكر</v>
      </c>
    </row>
    <row r="227" spans="1:13" x14ac:dyDescent="0.25">
      <c r="A227" t="s">
        <v>849</v>
      </c>
      <c r="B227" t="s">
        <v>207</v>
      </c>
      <c r="C227" s="27" t="str">
        <f>IF($B227="","",IFERROR(INDEX('العقود'!$F:$F,MATCH($B227,'العقود'!$A:$A,0)),""))</f>
        <v>حسين أمير بدوي</v>
      </c>
      <c r="D227" s="27" t="str">
        <f>IF($B227="","",IFERROR(INDEX('العقود'!$E:$E,MATCH($B227,'العقود'!$A:$A,0)),""))</f>
        <v>106</v>
      </c>
      <c r="E227" s="38" t="s">
        <v>825</v>
      </c>
      <c r="F227" s="39">
        <v>7000</v>
      </c>
      <c r="G227" s="33"/>
      <c r="H227" t="s">
        <v>620</v>
      </c>
      <c r="I227" t="s">
        <v>35</v>
      </c>
      <c r="J227" t="s">
        <v>35</v>
      </c>
      <c r="K227" t="s">
        <v>621</v>
      </c>
      <c r="L227" s="33">
        <v>46305</v>
      </c>
      <c r="M227" s="27" t="str">
        <f>IF($B227="","",IFERROR(INDEX('العقود'!$D:$D,MATCH($B227,'العقود'!$A:$A,0)),""))</f>
        <v>ابو بكر</v>
      </c>
    </row>
    <row r="228" spans="1:13" x14ac:dyDescent="0.25">
      <c r="A228" t="s">
        <v>850</v>
      </c>
      <c r="B228" t="s">
        <v>211</v>
      </c>
      <c r="C228" s="27" t="str">
        <f>IF($B228="","",IFERROR(INDEX('العقود'!$F:$F,MATCH($B228,'العقود'!$A:$A,0)),""))</f>
        <v>حسين أمير بدوي</v>
      </c>
      <c r="D228" s="27" t="str">
        <f>IF($B228="","",IFERROR(INDEX('العقود'!$E:$E,MATCH($B228,'العقود'!$A:$A,0)),""))</f>
        <v>107</v>
      </c>
      <c r="E228" s="38" t="s">
        <v>825</v>
      </c>
      <c r="F228" s="39">
        <v>6000</v>
      </c>
      <c r="G228" s="33"/>
      <c r="H228" t="s">
        <v>620</v>
      </c>
      <c r="I228" t="s">
        <v>35</v>
      </c>
      <c r="J228" t="s">
        <v>35</v>
      </c>
      <c r="K228" t="s">
        <v>621</v>
      </c>
      <c r="L228" s="33">
        <v>46305</v>
      </c>
      <c r="M228" s="27" t="str">
        <f>IF($B228="","",IFERROR(INDEX('العقود'!$D:$D,MATCH($B228,'العقود'!$A:$A,0)),""))</f>
        <v>ابو بكر</v>
      </c>
    </row>
    <row r="229" spans="1:13" x14ac:dyDescent="0.25">
      <c r="A229" t="s">
        <v>851</v>
      </c>
      <c r="B229" t="s">
        <v>215</v>
      </c>
      <c r="C229" s="27" t="str">
        <f>IF($B229="","",IFERROR(INDEX('العقود'!$F:$F,MATCH($B229,'العقود'!$A:$A,0)),""))</f>
        <v>حسين أمير بدوي</v>
      </c>
      <c r="D229" s="27" t="str">
        <f>IF($B229="","",IFERROR(INDEX('العقود'!$E:$E,MATCH($B229,'العقود'!$A:$A,0)),""))</f>
        <v>108</v>
      </c>
      <c r="E229" s="38" t="s">
        <v>825</v>
      </c>
      <c r="F229" s="39">
        <v>6000</v>
      </c>
      <c r="G229" s="33"/>
      <c r="H229" t="s">
        <v>620</v>
      </c>
      <c r="I229" t="s">
        <v>35</v>
      </c>
      <c r="J229" t="s">
        <v>35</v>
      </c>
      <c r="K229" t="s">
        <v>621</v>
      </c>
      <c r="L229" s="33">
        <v>46305</v>
      </c>
      <c r="M229" s="27" t="str">
        <f>IF($B229="","",IFERROR(INDEX('العقود'!$D:$D,MATCH($B229,'العقود'!$A:$A,0)),""))</f>
        <v>ابو بكر</v>
      </c>
    </row>
    <row r="230" spans="1:13" x14ac:dyDescent="0.25">
      <c r="A230" t="s">
        <v>852</v>
      </c>
      <c r="B230" t="s">
        <v>222</v>
      </c>
      <c r="C230" s="27" t="str">
        <f>IF($B230="","",IFERROR(INDEX('العقود'!$F:$F,MATCH($B230,'العقود'!$A:$A,0)),""))</f>
        <v>شركة الأفق للتدريب</v>
      </c>
      <c r="D230" s="27" t="str">
        <f>IF($B230="","",IFERROR(INDEX('العقود'!$E:$E,MATCH($B230,'العقود'!$A:$A,0)),""))</f>
        <v>201</v>
      </c>
      <c r="E230" s="38" t="s">
        <v>825</v>
      </c>
      <c r="F230" s="39">
        <v>11495</v>
      </c>
      <c r="G230" s="33"/>
      <c r="H230" t="s">
        <v>620</v>
      </c>
      <c r="I230" t="s">
        <v>35</v>
      </c>
      <c r="J230" t="s">
        <v>35</v>
      </c>
      <c r="K230" t="s">
        <v>621</v>
      </c>
      <c r="L230" s="33">
        <v>46305</v>
      </c>
      <c r="M230" s="27" t="str">
        <f>IF($B230="","",IFERROR(INDEX('العقود'!$D:$D,MATCH($B230,'العقود'!$A:$A,0)),""))</f>
        <v>ابو بكر</v>
      </c>
    </row>
    <row r="231" spans="1:13" x14ac:dyDescent="0.25">
      <c r="A231" t="s">
        <v>853</v>
      </c>
      <c r="B231" t="s">
        <v>228</v>
      </c>
      <c r="C231" s="27" t="str">
        <f>IF($B231="","",IFERROR(INDEX('العقود'!$F:$F,MATCH($B231,'العقود'!$A:$A,0)),""))</f>
        <v>د/ نادر شريف شاكر</v>
      </c>
      <c r="D231" s="27" t="str">
        <f>IF($B231="","",IFERROR(INDEX('العقود'!$E:$E,MATCH($B231,'العقود'!$A:$A,0)),""))</f>
        <v>202</v>
      </c>
      <c r="E231" s="38" t="s">
        <v>825</v>
      </c>
      <c r="F231" s="39">
        <v>16500</v>
      </c>
      <c r="G231" s="33"/>
      <c r="H231" t="s">
        <v>620</v>
      </c>
      <c r="I231" t="s">
        <v>35</v>
      </c>
      <c r="J231" t="s">
        <v>35</v>
      </c>
      <c r="K231" t="s">
        <v>621</v>
      </c>
      <c r="L231" s="33">
        <v>46305</v>
      </c>
      <c r="M231" s="27" t="str">
        <f>IF($B231="","",IFERROR(INDEX('العقود'!$D:$D,MATCH($B231,'العقود'!$A:$A,0)),""))</f>
        <v>ابو بكر</v>
      </c>
    </row>
    <row r="232" spans="1:13" x14ac:dyDescent="0.25">
      <c r="A232" t="s">
        <v>854</v>
      </c>
      <c r="B232" t="s">
        <v>235</v>
      </c>
      <c r="C232" s="27" t="str">
        <f>IF($B232="","",IFERROR(INDEX('العقود'!$F:$F,MATCH($B232,'العقود'!$A:$A,0)),""))</f>
        <v>د/ يوسف خالد الخولي</v>
      </c>
      <c r="D232" s="27" t="str">
        <f>IF($B232="","",IFERROR(INDEX('العقود'!$E:$E,MATCH($B232,'العقود'!$A:$A,0)),""))</f>
        <v>204</v>
      </c>
      <c r="E232" s="38" t="s">
        <v>825</v>
      </c>
      <c r="F232" s="39">
        <v>12500</v>
      </c>
      <c r="G232" s="33"/>
      <c r="H232" t="s">
        <v>620</v>
      </c>
      <c r="I232" t="s">
        <v>35</v>
      </c>
      <c r="J232" t="s">
        <v>35</v>
      </c>
      <c r="K232" t="s">
        <v>621</v>
      </c>
      <c r="L232" s="33">
        <v>46305</v>
      </c>
      <c r="M232" s="27" t="str">
        <f>IF($B232="","",IFERROR(INDEX('العقود'!$D:$D,MATCH($B232,'العقود'!$A:$A,0)),""))</f>
        <v>ابو بكر</v>
      </c>
    </row>
    <row r="233" spans="1:13" x14ac:dyDescent="0.25">
      <c r="A233" t="s">
        <v>855</v>
      </c>
      <c r="B233" t="s">
        <v>246</v>
      </c>
      <c r="C233" s="27" t="str">
        <f>IF($B233="","",IFERROR(INDEX('العقود'!$F:$F,MATCH($B233,'العقود'!$A:$A,0)),""))</f>
        <v>أحمد عمرو سليم</v>
      </c>
      <c r="D233" s="27" t="str">
        <f>IF($B233="","",IFERROR(INDEX('العقود'!$E:$E,MATCH($B233,'العقود'!$A:$A,0)),""))</f>
        <v>205</v>
      </c>
      <c r="E233" s="38" t="s">
        <v>825</v>
      </c>
      <c r="F233" s="39">
        <v>14000</v>
      </c>
      <c r="G233" s="33"/>
      <c r="H233" t="s">
        <v>620</v>
      </c>
      <c r="I233" t="s">
        <v>35</v>
      </c>
      <c r="J233" t="s">
        <v>35</v>
      </c>
      <c r="K233" t="s">
        <v>621</v>
      </c>
      <c r="L233" s="33">
        <v>46305</v>
      </c>
      <c r="M233" s="27" t="str">
        <f>IF($B233="","",IFERROR(INDEX('العقود'!$D:$D,MATCH($B233,'العقود'!$A:$A,0)),""))</f>
        <v>ابو بكر</v>
      </c>
    </row>
    <row r="234" spans="1:13" x14ac:dyDescent="0.25">
      <c r="A234" t="s">
        <v>856</v>
      </c>
      <c r="B234" t="s">
        <v>253</v>
      </c>
      <c r="C234" s="27" t="str">
        <f>IF($B234="","",IFERROR(INDEX('العقود'!$F:$F,MATCH($B234,'العقود'!$A:$A,0)),""))</f>
        <v>شركة النخبة للتجارة</v>
      </c>
      <c r="D234" s="27" t="str">
        <f>IF($B234="","",IFERROR(INDEX('العقود'!$E:$E,MATCH($B234,'العقود'!$A:$A,0)),""))</f>
        <v>206</v>
      </c>
      <c r="E234" s="38" t="s">
        <v>825</v>
      </c>
      <c r="F234" s="39">
        <v>16500</v>
      </c>
      <c r="G234" s="33"/>
      <c r="H234" t="s">
        <v>620</v>
      </c>
      <c r="I234" t="s">
        <v>35</v>
      </c>
      <c r="J234" t="s">
        <v>35</v>
      </c>
      <c r="K234" t="s">
        <v>621</v>
      </c>
      <c r="L234" s="33">
        <v>46305</v>
      </c>
      <c r="M234" s="27" t="str">
        <f>IF($B234="","",IFERROR(INDEX('العقود'!$D:$D,MATCH($B234,'العقود'!$A:$A,0)),""))</f>
        <v>ابو بكر</v>
      </c>
    </row>
    <row r="235" spans="1:13" x14ac:dyDescent="0.25">
      <c r="A235" t="s">
        <v>857</v>
      </c>
      <c r="B235" t="s">
        <v>268</v>
      </c>
      <c r="C235" s="27" t="str">
        <f>IF($B235="","",IFERROR(INDEX('العقود'!$F:$F,MATCH($B235,'العقود'!$A:$A,0)),""))</f>
        <v>شركة النخبة للإنتاج الفني</v>
      </c>
      <c r="D235" s="27" t="str">
        <f>IF($B235="","",IFERROR(INDEX('العقود'!$E:$E,MATCH($B235,'العقود'!$A:$A,0)),""))</f>
        <v>208</v>
      </c>
      <c r="E235" s="38" t="s">
        <v>825</v>
      </c>
      <c r="F235" s="39">
        <v>21175</v>
      </c>
      <c r="G235" s="33"/>
      <c r="H235" t="s">
        <v>620</v>
      </c>
      <c r="I235" t="s">
        <v>35</v>
      </c>
      <c r="J235" t="s">
        <v>35</v>
      </c>
      <c r="K235" t="s">
        <v>621</v>
      </c>
      <c r="L235" s="33">
        <v>46305</v>
      </c>
      <c r="M235" s="27" t="str">
        <f>IF($B235="","",IFERROR(INDEX('العقود'!$D:$D,MATCH($B235,'العقود'!$A:$A,0)),""))</f>
        <v>ابو بكر</v>
      </c>
    </row>
    <row r="236" spans="1:13" x14ac:dyDescent="0.25">
      <c r="A236" t="s">
        <v>858</v>
      </c>
      <c r="B236" t="s">
        <v>273</v>
      </c>
      <c r="C236" s="27" t="str">
        <f>IF($B236="","",IFERROR(INDEX('العقود'!$F:$F,MATCH($B236,'العقود'!$A:$A,0)),""))</f>
        <v>أحمد طارق غانم</v>
      </c>
      <c r="D236" s="27" t="str">
        <f>IF($B236="","",IFERROR(INDEX('العقود'!$E:$E,MATCH($B236,'العقود'!$A:$A,0)),""))</f>
        <v>301</v>
      </c>
      <c r="E236" s="38" t="s">
        <v>825</v>
      </c>
      <c r="F236" s="39">
        <v>17000</v>
      </c>
      <c r="G236" s="33"/>
      <c r="H236" t="s">
        <v>620</v>
      </c>
      <c r="I236" t="s">
        <v>35</v>
      </c>
      <c r="J236" t="s">
        <v>35</v>
      </c>
      <c r="K236" t="s">
        <v>621</v>
      </c>
      <c r="L236" s="33">
        <v>46305</v>
      </c>
      <c r="M236" s="27" t="str">
        <f>IF($B236="","",IFERROR(INDEX('العقود'!$D:$D,MATCH($B236,'العقود'!$A:$A,0)),""))</f>
        <v>ابو بكر</v>
      </c>
    </row>
    <row r="237" spans="1:13" x14ac:dyDescent="0.25">
      <c r="A237" t="s">
        <v>859</v>
      </c>
      <c r="B237" t="s">
        <v>279</v>
      </c>
      <c r="C237" s="27" t="str">
        <f>IF($B237="","",IFERROR(INDEX('العقود'!$F:$F,MATCH($B237,'العقود'!$A:$A,0)),""))</f>
        <v>خالد شريف زكي</v>
      </c>
      <c r="D237" s="27" t="str">
        <f>IF($B237="","",IFERROR(INDEX('العقود'!$E:$E,MATCH($B237,'العقود'!$A:$A,0)),""))</f>
        <v>302</v>
      </c>
      <c r="E237" s="38" t="s">
        <v>825</v>
      </c>
      <c r="F237" s="39">
        <v>17000</v>
      </c>
      <c r="G237" s="33"/>
      <c r="H237" t="s">
        <v>620</v>
      </c>
      <c r="I237" t="s">
        <v>35</v>
      </c>
      <c r="J237" t="s">
        <v>35</v>
      </c>
      <c r="K237" t="s">
        <v>621</v>
      </c>
      <c r="L237" s="33">
        <v>46305</v>
      </c>
      <c r="M237" s="27" t="str">
        <f>IF($B237="","",IFERROR(INDEX('العقود'!$D:$D,MATCH($B237,'العقود'!$A:$A,0)),""))</f>
        <v>ابو بكر</v>
      </c>
    </row>
    <row r="238" spans="1:13" x14ac:dyDescent="0.25">
      <c r="A238" t="s">
        <v>860</v>
      </c>
      <c r="B238" t="s">
        <v>282</v>
      </c>
      <c r="C238" s="27" t="str">
        <f>IF($B238="","",IFERROR(INDEX('العقود'!$F:$F,MATCH($B238,'العقود'!$A:$A,0)),""))</f>
        <v>عادل عمر مكرم</v>
      </c>
      <c r="D238" s="27" t="str">
        <f>IF($B238="","",IFERROR(INDEX('العقود'!$E:$E,MATCH($B238,'العقود'!$A:$A,0)),""))</f>
        <v>303</v>
      </c>
      <c r="E238" s="38" t="s">
        <v>825</v>
      </c>
      <c r="F238" s="39">
        <v>19000</v>
      </c>
      <c r="G238" s="33"/>
      <c r="H238" t="s">
        <v>620</v>
      </c>
      <c r="I238" t="s">
        <v>35</v>
      </c>
      <c r="J238" t="s">
        <v>35</v>
      </c>
      <c r="K238" t="s">
        <v>621</v>
      </c>
      <c r="L238" s="33">
        <v>46305</v>
      </c>
      <c r="M238" s="27" t="str">
        <f>IF($B238="","",IFERROR(INDEX('العقود'!$D:$D,MATCH($B238,'العقود'!$A:$A,0)),""))</f>
        <v>ابو بكر</v>
      </c>
    </row>
    <row r="239" spans="1:13" x14ac:dyDescent="0.25">
      <c r="A239" t="s">
        <v>861</v>
      </c>
      <c r="B239" t="s">
        <v>298</v>
      </c>
      <c r="C239" s="27" t="str">
        <f>IF($B239="","",IFERROR(INDEX('العقود'!$F:$F,MATCH($B239,'العقود'!$A:$A,0)),""))</f>
        <v>شركة النور للخدمات الطبية</v>
      </c>
      <c r="D239" s="27" t="str">
        <f>IF($B239="","",IFERROR(INDEX('العقود'!$E:$E,MATCH($B239,'العقود'!$A:$A,0)),""))</f>
        <v>305</v>
      </c>
      <c r="E239" s="38" t="s">
        <v>825</v>
      </c>
      <c r="F239" s="39">
        <v>11500</v>
      </c>
      <c r="G239" s="33"/>
      <c r="H239" t="s">
        <v>620</v>
      </c>
      <c r="I239" t="s">
        <v>35</v>
      </c>
      <c r="J239" t="s">
        <v>35</v>
      </c>
      <c r="K239" t="s">
        <v>621</v>
      </c>
      <c r="L239" s="33">
        <v>46305</v>
      </c>
      <c r="M239" s="27" t="str">
        <f>IF($B239="","",IFERROR(INDEX('العقود'!$D:$D,MATCH($B239,'العقود'!$A:$A,0)),""))</f>
        <v>ابو بكر</v>
      </c>
    </row>
    <row r="240" spans="1:13" x14ac:dyDescent="0.25">
      <c r="A240" t="s">
        <v>862</v>
      </c>
      <c r="B240" t="s">
        <v>304</v>
      </c>
      <c r="C240" s="27" t="str">
        <f>IF($B240="","",IFERROR(INDEX('العقود'!$F:$F,MATCH($B240,'العقود'!$A:$A,0)),""))</f>
        <v>سامح إبراهيم منصور</v>
      </c>
      <c r="D240" s="27" t="str">
        <f>IF($B240="","",IFERROR(INDEX('العقود'!$E:$E,MATCH($B240,'العقود'!$A:$A,0)),""))</f>
        <v>306</v>
      </c>
      <c r="E240" s="38" t="s">
        <v>825</v>
      </c>
      <c r="F240" s="39">
        <v>11195</v>
      </c>
      <c r="G240" s="33"/>
      <c r="H240" t="s">
        <v>620</v>
      </c>
      <c r="I240" t="s">
        <v>35</v>
      </c>
      <c r="J240" t="s">
        <v>35</v>
      </c>
      <c r="K240" t="s">
        <v>621</v>
      </c>
      <c r="L240" s="33">
        <v>46305</v>
      </c>
      <c r="M240" s="27" t="str">
        <f>IF($B240="","",IFERROR(INDEX('العقود'!$D:$D,MATCH($B240,'العقود'!$A:$A,0)),""))</f>
        <v>ابو بكر</v>
      </c>
    </row>
    <row r="241" spans="1:13" x14ac:dyDescent="0.25">
      <c r="A241" t="s">
        <v>863</v>
      </c>
      <c r="B241" t="s">
        <v>311</v>
      </c>
      <c r="C241" s="27" t="str">
        <f>IF($B241="","",IFERROR(INDEX('العقود'!$F:$F,MATCH($B241,'العقود'!$A:$A,0)),""))</f>
        <v>د/ منى أمير الشريف</v>
      </c>
      <c r="D241" s="27" t="str">
        <f>IF($B241="","",IFERROR(INDEX('العقود'!$E:$E,MATCH($B241,'العقود'!$A:$A,0)),""))</f>
        <v>307</v>
      </c>
      <c r="E241" s="38" t="s">
        <v>825</v>
      </c>
      <c r="F241" s="39">
        <v>12100</v>
      </c>
      <c r="G241" s="33"/>
      <c r="H241" t="s">
        <v>620</v>
      </c>
      <c r="I241" t="s">
        <v>35</v>
      </c>
      <c r="J241" t="s">
        <v>35</v>
      </c>
      <c r="K241" t="s">
        <v>621</v>
      </c>
      <c r="L241" s="33">
        <v>46305</v>
      </c>
      <c r="M241" s="27" t="str">
        <f>IF($B241="","",IFERROR(INDEX('العقود'!$D:$D,MATCH($B241,'العقود'!$A:$A,0)),""))</f>
        <v>ابو بكر</v>
      </c>
    </row>
    <row r="242" spans="1:13" x14ac:dyDescent="0.25">
      <c r="A242" t="s">
        <v>864</v>
      </c>
      <c r="B242" t="s">
        <v>318</v>
      </c>
      <c r="C242" s="27" t="str">
        <f>IF($B242="","",IFERROR(INDEX('العقود'!$F:$F,MATCH($B242,'العقود'!$A:$A,0)),""))</f>
        <v>شركة الأمل للخدمات الطبية</v>
      </c>
      <c r="D242" s="27" t="str">
        <f>IF($B242="","",IFERROR(INDEX('العقود'!$E:$E,MATCH($B242,'العقود'!$A:$A,0)),""))</f>
        <v>401</v>
      </c>
      <c r="E242" s="38" t="s">
        <v>825</v>
      </c>
      <c r="F242" s="39">
        <v>11000</v>
      </c>
      <c r="G242" s="33"/>
      <c r="H242" t="s">
        <v>620</v>
      </c>
      <c r="I242" t="s">
        <v>35</v>
      </c>
      <c r="J242" t="s">
        <v>35</v>
      </c>
      <c r="K242" t="s">
        <v>621</v>
      </c>
      <c r="L242" s="33">
        <v>46305</v>
      </c>
      <c r="M242" s="27" t="str">
        <f>IF($B242="","",IFERROR(INDEX('العقود'!$D:$D,MATCH($B242,'العقود'!$A:$A,0)),""))</f>
        <v>ابو بكر</v>
      </c>
    </row>
    <row r="243" spans="1:13" x14ac:dyDescent="0.25">
      <c r="A243" t="s">
        <v>865</v>
      </c>
      <c r="B243" t="s">
        <v>325</v>
      </c>
      <c r="C243" s="27" t="str">
        <f>IF($B243="","",IFERROR(INDEX('العقود'!$F:$F,MATCH($B243,'العقود'!$A:$A,0)),""))</f>
        <v>شركة البركة للتدريب</v>
      </c>
      <c r="D243" s="27" t="str">
        <f>IF($B243="","",IFERROR(INDEX('العقود'!$E:$E,MATCH($B243,'العقود'!$A:$A,0)),""))</f>
        <v>403</v>
      </c>
      <c r="E243" s="38" t="s">
        <v>825</v>
      </c>
      <c r="F243" s="39">
        <v>16335</v>
      </c>
      <c r="G243" s="33"/>
      <c r="H243" t="s">
        <v>620</v>
      </c>
      <c r="I243" t="s">
        <v>35</v>
      </c>
      <c r="J243" t="s">
        <v>35</v>
      </c>
      <c r="K243" t="s">
        <v>621</v>
      </c>
      <c r="L243" s="33">
        <v>46305</v>
      </c>
      <c r="M243" s="27" t="str">
        <f>IF($B243="","",IFERROR(INDEX('العقود'!$D:$D,MATCH($B243,'العقود'!$A:$A,0)),""))</f>
        <v>ابو بكر</v>
      </c>
    </row>
    <row r="244" spans="1:13" x14ac:dyDescent="0.25">
      <c r="A244" t="s">
        <v>866</v>
      </c>
      <c r="B244" t="s">
        <v>330</v>
      </c>
      <c r="C244" s="27" t="str">
        <f>IF($B244="","",IFERROR(INDEX('العقود'!$F:$F,MATCH($B244,'العقود'!$A:$A,0)),""))</f>
        <v>آية محمود بدوي</v>
      </c>
      <c r="D244" s="27" t="str">
        <f>IF($B244="","",IFERROR(INDEX('العقود'!$E:$E,MATCH($B244,'العقود'!$A:$A,0)),""))</f>
        <v>404</v>
      </c>
      <c r="E244" s="38" t="s">
        <v>825</v>
      </c>
      <c r="F244" s="39">
        <v>12000</v>
      </c>
      <c r="G244" s="33"/>
      <c r="H244" t="s">
        <v>620</v>
      </c>
      <c r="I244" t="s">
        <v>35</v>
      </c>
      <c r="J244" t="s">
        <v>35</v>
      </c>
      <c r="K244" t="s">
        <v>621</v>
      </c>
      <c r="L244" s="33">
        <v>46305</v>
      </c>
      <c r="M244" s="27" t="str">
        <f>IF($B244="","",IFERROR(INDEX('العقود'!$D:$D,MATCH($B244,'العقود'!$A:$A,0)),""))</f>
        <v>ابو بكر</v>
      </c>
    </row>
    <row r="245" spans="1:13" x14ac:dyDescent="0.25">
      <c r="A245" t="s">
        <v>867</v>
      </c>
      <c r="B245" t="s">
        <v>341</v>
      </c>
      <c r="C245" s="27" t="str">
        <f>IF($B245="","",IFERROR(INDEX('العقود'!$F:$F,MATCH($B245,'العقود'!$A:$A,0)),""))</f>
        <v>شركة الأصيل للإنتاج الفني</v>
      </c>
      <c r="D245" s="27" t="str">
        <f>IF($B245="","",IFERROR(INDEX('العقود'!$E:$E,MATCH($B245,'العقود'!$A:$A,0)),""))</f>
        <v>405</v>
      </c>
      <c r="E245" s="38" t="s">
        <v>825</v>
      </c>
      <c r="F245" s="39">
        <v>14000</v>
      </c>
      <c r="G245" s="33"/>
      <c r="H245" t="s">
        <v>620</v>
      </c>
      <c r="I245" t="s">
        <v>35</v>
      </c>
      <c r="J245" t="s">
        <v>35</v>
      </c>
      <c r="K245" t="s">
        <v>621</v>
      </c>
      <c r="L245" s="33">
        <v>46305</v>
      </c>
      <c r="M245" s="27" t="str">
        <f>IF($B245="","",IFERROR(INDEX('العقود'!$D:$D,MATCH($B245,'العقود'!$A:$A,0)),""))</f>
        <v>ابو بكر</v>
      </c>
    </row>
    <row r="246" spans="1:13" x14ac:dyDescent="0.25">
      <c r="A246" t="s">
        <v>868</v>
      </c>
      <c r="B246" t="s">
        <v>346</v>
      </c>
      <c r="C246" s="27" t="str">
        <f>IF($B246="","",IFERROR(INDEX('العقود'!$F:$F,MATCH($B246,'العقود'!$A:$A,0)),""))</f>
        <v>شركة البركة للاستشارات الهندسية</v>
      </c>
      <c r="D246" s="27" t="str">
        <f>IF($B246="","",IFERROR(INDEX('العقود'!$E:$E,MATCH($B246,'العقود'!$A:$A,0)),""))</f>
        <v>406</v>
      </c>
      <c r="E246" s="38" t="s">
        <v>825</v>
      </c>
      <c r="F246" s="39">
        <v>16035</v>
      </c>
      <c r="G246" s="33"/>
      <c r="H246" t="s">
        <v>620</v>
      </c>
      <c r="I246" t="s">
        <v>35</v>
      </c>
      <c r="J246" t="s">
        <v>35</v>
      </c>
      <c r="K246" t="s">
        <v>621</v>
      </c>
      <c r="L246" s="33">
        <v>46305</v>
      </c>
      <c r="M246" s="27" t="str">
        <f>IF($B246="","",IFERROR(INDEX('العقود'!$D:$D,MATCH($B246,'العقود'!$A:$A,0)),""))</f>
        <v>ابو بكر</v>
      </c>
    </row>
    <row r="247" spans="1:13" x14ac:dyDescent="0.25">
      <c r="A247" t="s">
        <v>869</v>
      </c>
      <c r="B247" t="s">
        <v>353</v>
      </c>
      <c r="C247" s="27" t="str">
        <f>IF($B247="","",IFERROR(INDEX('العقود'!$F:$F,MATCH($B247,'العقود'!$A:$A,0)),""))</f>
        <v>شركة الهرم لتكنولوجيا المعلومات</v>
      </c>
      <c r="D247" s="27" t="str">
        <f>IF($B247="","",IFERROR(INDEX('العقود'!$E:$E,MATCH($B247,'العقود'!$A:$A,0)),""))</f>
        <v>407</v>
      </c>
      <c r="E247" s="38" t="s">
        <v>825</v>
      </c>
      <c r="F247" s="39">
        <v>16500</v>
      </c>
      <c r="G247" s="33"/>
      <c r="H247" t="s">
        <v>620</v>
      </c>
      <c r="I247" t="s">
        <v>35</v>
      </c>
      <c r="J247" t="s">
        <v>35</v>
      </c>
      <c r="K247" t="s">
        <v>621</v>
      </c>
      <c r="L247" s="33">
        <v>46305</v>
      </c>
      <c r="M247" s="27" t="str">
        <f>IF($B247="","",IFERROR(INDEX('العقود'!$D:$D,MATCH($B247,'العقود'!$A:$A,0)),""))</f>
        <v>ابو بكر</v>
      </c>
    </row>
    <row r="248" spans="1:13" x14ac:dyDescent="0.25">
      <c r="A248" t="s">
        <v>870</v>
      </c>
      <c r="B248" t="s">
        <v>359</v>
      </c>
      <c r="C248" s="27" t="str">
        <f>IF($B248="","",IFERROR(INDEX('العقود'!$F:$F,MATCH($B248,'العقود'!$A:$A,0)),""))</f>
        <v>مصطفى وليد الجندي</v>
      </c>
      <c r="D248" s="27" t="str">
        <f>IF($B248="","",IFERROR(INDEX('العقود'!$E:$E,MATCH($B248,'العقود'!$A:$A,0)),""))</f>
        <v>408</v>
      </c>
      <c r="E248" s="38" t="s">
        <v>825</v>
      </c>
      <c r="F248" s="39">
        <v>18500</v>
      </c>
      <c r="G248" s="33"/>
      <c r="H248" t="s">
        <v>620</v>
      </c>
      <c r="I248" t="s">
        <v>35</v>
      </c>
      <c r="J248" t="s">
        <v>35</v>
      </c>
      <c r="K248" t="s">
        <v>621</v>
      </c>
      <c r="L248" s="33">
        <v>46305</v>
      </c>
      <c r="M248" s="27" t="str">
        <f>IF($B248="","",IFERROR(INDEX('العقود'!$D:$D,MATCH($B248,'العقود'!$A:$A,0)),""))</f>
        <v>ابو بكر</v>
      </c>
    </row>
    <row r="249" spans="1:13" x14ac:dyDescent="0.25">
      <c r="A249" t="s">
        <v>871</v>
      </c>
      <c r="B249" t="s">
        <v>366</v>
      </c>
      <c r="C249" s="27" t="str">
        <f>IF($B249="","",IFERROR(INDEX('العقود'!$F:$F,MATCH($B249,'العقود'!$A:$A,0)),""))</f>
        <v>شركة الياسمين للتسويق</v>
      </c>
      <c r="D249" s="27" t="str">
        <f>IF($B249="","",IFERROR(INDEX('العقود'!$E:$E,MATCH($B249,'العقود'!$A:$A,0)),""))</f>
        <v>501</v>
      </c>
      <c r="E249" s="38" t="s">
        <v>825</v>
      </c>
      <c r="F249" s="39">
        <v>15000</v>
      </c>
      <c r="G249" s="33"/>
      <c r="H249" t="s">
        <v>620</v>
      </c>
      <c r="I249" t="s">
        <v>35</v>
      </c>
      <c r="J249" t="s">
        <v>35</v>
      </c>
      <c r="K249" t="s">
        <v>621</v>
      </c>
      <c r="L249" s="33">
        <v>46305</v>
      </c>
      <c r="M249" s="27" t="str">
        <f>IF($B249="","",IFERROR(INDEX('العقود'!$D:$D,MATCH($B249,'العقود'!$A:$A,0)),""))</f>
        <v>ابو بكر</v>
      </c>
    </row>
    <row r="250" spans="1:13" x14ac:dyDescent="0.25">
      <c r="A250" t="s">
        <v>872</v>
      </c>
      <c r="B250" t="s">
        <v>369</v>
      </c>
      <c r="C250" s="27" t="str">
        <f>IF($B250="","",IFERROR(INDEX('العقود'!$F:$F,MATCH($B250,'العقود'!$A:$A,0)),""))</f>
        <v>شركة الياسمين للتسويق</v>
      </c>
      <c r="D250" s="27" t="str">
        <f>IF($B250="","",IFERROR(INDEX('العقود'!$E:$E,MATCH($B250,'العقود'!$A:$A,0)),""))</f>
        <v>502</v>
      </c>
      <c r="E250" s="38" t="s">
        <v>825</v>
      </c>
      <c r="F250" s="39">
        <v>15000</v>
      </c>
      <c r="G250" s="33"/>
      <c r="H250" t="s">
        <v>620</v>
      </c>
      <c r="I250" t="s">
        <v>35</v>
      </c>
      <c r="J250" t="s">
        <v>35</v>
      </c>
      <c r="K250" t="s">
        <v>621</v>
      </c>
      <c r="L250" s="33">
        <v>46305</v>
      </c>
      <c r="M250" s="27" t="str">
        <f>IF($B250="","",IFERROR(INDEX('العقود'!$D:$D,MATCH($B250,'العقود'!$A:$A,0)),""))</f>
        <v>ابو بكر</v>
      </c>
    </row>
    <row r="251" spans="1:13" x14ac:dyDescent="0.25">
      <c r="A251" t="s">
        <v>873</v>
      </c>
      <c r="B251" t="s">
        <v>374</v>
      </c>
      <c r="C251" s="27" t="str">
        <f>IF($B251="","",IFERROR(INDEX('العقود'!$F:$F,MATCH($B251,'العقود'!$A:$A,0)),""))</f>
        <v>إبراهيم أحمد البنا</v>
      </c>
      <c r="D251" s="27" t="str">
        <f>IF($B251="","",IFERROR(INDEX('العقود'!$E:$E,MATCH($B251,'العقود'!$A:$A,0)),""))</f>
        <v>503</v>
      </c>
      <c r="E251" s="38" t="s">
        <v>825</v>
      </c>
      <c r="F251" s="39">
        <v>11195</v>
      </c>
      <c r="G251" s="33"/>
      <c r="H251" t="s">
        <v>620</v>
      </c>
      <c r="I251" t="s">
        <v>35</v>
      </c>
      <c r="J251" t="s">
        <v>35</v>
      </c>
      <c r="K251" t="s">
        <v>621</v>
      </c>
      <c r="L251" s="33">
        <v>46305</v>
      </c>
      <c r="M251" s="27" t="str">
        <f>IF($B251="","",IFERROR(INDEX('العقود'!$D:$D,MATCH($B251,'العقود'!$A:$A,0)),""))</f>
        <v>ابو بكر</v>
      </c>
    </row>
    <row r="252" spans="1:13" x14ac:dyDescent="0.25">
      <c r="A252" t="s">
        <v>874</v>
      </c>
      <c r="B252" t="s">
        <v>380</v>
      </c>
      <c r="C252" s="27" t="str">
        <f>IF($B252="","",IFERROR(INDEX('العقود'!$F:$F,MATCH($B252,'العقود'!$A:$A,0)),""))</f>
        <v>شركة المستقبل للخدمات الطبية</v>
      </c>
      <c r="D252" s="27" t="str">
        <f>IF($B252="","",IFERROR(INDEX('العقود'!$E:$E,MATCH($B252,'العقود'!$A:$A,0)),""))</f>
        <v>504</v>
      </c>
      <c r="E252" s="38" t="s">
        <v>825</v>
      </c>
      <c r="F252" s="39">
        <v>10000</v>
      </c>
      <c r="G252" s="33"/>
      <c r="H252" t="s">
        <v>620</v>
      </c>
      <c r="I252" t="s">
        <v>35</v>
      </c>
      <c r="J252" t="s">
        <v>35</v>
      </c>
      <c r="K252" t="s">
        <v>621</v>
      </c>
      <c r="L252" s="33">
        <v>46305</v>
      </c>
      <c r="M252" s="27" t="str">
        <f>IF($B252="","",IFERROR(INDEX('العقود'!$D:$D,MATCH($B252,'العقود'!$A:$A,0)),""))</f>
        <v>ابو بكر</v>
      </c>
    </row>
    <row r="253" spans="1:13" x14ac:dyDescent="0.25">
      <c r="A253" t="s">
        <v>875</v>
      </c>
      <c r="B253" t="s">
        <v>384</v>
      </c>
      <c r="C253" s="27" t="str">
        <f>IF($B253="","",IFERROR(INDEX('العقود'!$F:$F,MATCH($B253,'العقود'!$A:$A,0)),""))</f>
        <v>حسين أمير بدوي</v>
      </c>
      <c r="D253" s="27" t="str">
        <f>IF($B253="","",IFERROR(INDEX('العقود'!$E:$E,MATCH($B253,'العقود'!$A:$A,0)),""))</f>
        <v>505</v>
      </c>
      <c r="E253" s="38" t="s">
        <v>825</v>
      </c>
      <c r="F253" s="39">
        <v>11000</v>
      </c>
      <c r="G253" s="33"/>
      <c r="H253" t="s">
        <v>620</v>
      </c>
      <c r="I253" t="s">
        <v>35</v>
      </c>
      <c r="J253" t="s">
        <v>35</v>
      </c>
      <c r="K253" t="s">
        <v>621</v>
      </c>
      <c r="L253" s="33">
        <v>46305</v>
      </c>
      <c r="M253" s="27" t="str">
        <f>IF($B253="","",IFERROR(INDEX('العقود'!$D:$D,MATCH($B253,'العقود'!$A:$A,0)),""))</f>
        <v>ابو بكر</v>
      </c>
    </row>
    <row r="254" spans="1:13" x14ac:dyDescent="0.25">
      <c r="A254" t="s">
        <v>876</v>
      </c>
      <c r="B254" t="s">
        <v>391</v>
      </c>
      <c r="C254" s="27" t="str">
        <f>IF($B254="","",IFERROR(INDEX('العقود'!$F:$F,MATCH($B254,'العقود'!$A:$A,0)),""))</f>
        <v>د/ آية هشام رشاد</v>
      </c>
      <c r="D254" s="27" t="str">
        <f>IF($B254="","",IFERROR(INDEX('العقود'!$E:$E,MATCH($B254,'العقود'!$A:$A,0)),""))</f>
        <v>506</v>
      </c>
      <c r="E254" s="38" t="s">
        <v>825</v>
      </c>
      <c r="F254" s="39">
        <v>17000</v>
      </c>
      <c r="G254" s="33"/>
      <c r="H254" t="s">
        <v>620</v>
      </c>
      <c r="I254" t="s">
        <v>35</v>
      </c>
      <c r="J254" t="s">
        <v>35</v>
      </c>
      <c r="K254" t="s">
        <v>621</v>
      </c>
      <c r="L254" s="33">
        <v>46305</v>
      </c>
      <c r="M254" s="27" t="str">
        <f>IF($B254="","",IFERROR(INDEX('العقود'!$D:$D,MATCH($B254,'العقود'!$A:$A,0)),""))</f>
        <v>ابو بكر</v>
      </c>
    </row>
    <row r="255" spans="1:13" x14ac:dyDescent="0.25">
      <c r="A255" t="s">
        <v>877</v>
      </c>
      <c r="B255" t="s">
        <v>407</v>
      </c>
      <c r="C255" s="27" t="str">
        <f>IF($B255="","",IFERROR(INDEX('العقود'!$F:$F,MATCH($B255,'العقود'!$A:$A,0)),""))</f>
        <v>شركة الوادي للتنمية</v>
      </c>
      <c r="D255" s="27" t="str">
        <f>IF($B255="","",IFERROR(INDEX('العقود'!$E:$E,MATCH($B255,'العقود'!$A:$A,0)),""))</f>
        <v>601</v>
      </c>
      <c r="E255" s="38" t="s">
        <v>825</v>
      </c>
      <c r="F255" s="39">
        <v>9680</v>
      </c>
      <c r="G255" s="33"/>
      <c r="H255" t="s">
        <v>620</v>
      </c>
      <c r="I255" t="s">
        <v>35</v>
      </c>
      <c r="J255" t="s">
        <v>35</v>
      </c>
      <c r="K255" t="s">
        <v>621</v>
      </c>
      <c r="L255" s="33">
        <v>46305</v>
      </c>
      <c r="M255" s="27" t="str">
        <f>IF($B255="","",IFERROR(INDEX('العقود'!$D:$D,MATCH($B255,'العقود'!$A:$A,0)),""))</f>
        <v>ابو بكر</v>
      </c>
    </row>
    <row r="256" spans="1:13" x14ac:dyDescent="0.25">
      <c r="A256" t="s">
        <v>878</v>
      </c>
      <c r="B256" t="s">
        <v>415</v>
      </c>
      <c r="C256" s="27" t="str">
        <f>IF($B256="","",IFERROR(INDEX('العقود'!$F:$F,MATCH($B256,'العقود'!$A:$A,0)),""))</f>
        <v>شركة الوفاء للاستشارات الهندسية</v>
      </c>
      <c r="D256" s="27" t="str">
        <f>IF($B256="","",IFERROR(INDEX('العقود'!$E:$E,MATCH($B256,'العقود'!$A:$A,0)),""))</f>
        <v>602</v>
      </c>
      <c r="E256" s="38" t="s">
        <v>825</v>
      </c>
      <c r="F256" s="39">
        <v>19000</v>
      </c>
      <c r="G256" s="33"/>
      <c r="H256" t="s">
        <v>620</v>
      </c>
      <c r="I256" t="s">
        <v>35</v>
      </c>
      <c r="J256" t="s">
        <v>35</v>
      </c>
      <c r="K256" t="s">
        <v>621</v>
      </c>
      <c r="L256" s="33">
        <v>46305</v>
      </c>
      <c r="M256" s="27" t="str">
        <f>IF($B256="","",IFERROR(INDEX('العقود'!$D:$D,MATCH($B256,'العقود'!$A:$A,0)),""))</f>
        <v>ابو بكر</v>
      </c>
    </row>
    <row r="257" spans="1:13" x14ac:dyDescent="0.25">
      <c r="A257" t="s">
        <v>879</v>
      </c>
      <c r="B257" t="s">
        <v>421</v>
      </c>
      <c r="C257" s="27" t="str">
        <f>IF($B257="","",IFERROR(INDEX('العقود'!$F:$F,MATCH($B257,'العقود'!$A:$A,0)),""))</f>
        <v>عادل باسم حسنين</v>
      </c>
      <c r="D257" s="27" t="str">
        <f>IF($B257="","",IFERROR(INDEX('العقود'!$E:$E,MATCH($B257,'العقود'!$A:$A,0)),""))</f>
        <v>603</v>
      </c>
      <c r="E257" s="38" t="s">
        <v>825</v>
      </c>
      <c r="F257" s="39">
        <v>11495</v>
      </c>
      <c r="G257" s="33"/>
      <c r="H257" t="s">
        <v>620</v>
      </c>
      <c r="I257" t="s">
        <v>35</v>
      </c>
      <c r="J257" t="s">
        <v>35</v>
      </c>
      <c r="K257" t="s">
        <v>621</v>
      </c>
      <c r="L257" s="33">
        <v>46305</v>
      </c>
      <c r="M257" s="27" t="str">
        <f>IF($B257="","",IFERROR(INDEX('العقود'!$D:$D,MATCH($B257,'العقود'!$A:$A,0)),""))</f>
        <v>ابو بكر</v>
      </c>
    </row>
    <row r="258" spans="1:13" x14ac:dyDescent="0.25">
      <c r="A258" t="s">
        <v>880</v>
      </c>
      <c r="B258" t="s">
        <v>427</v>
      </c>
      <c r="C258" s="27" t="str">
        <f>IF($B258="","",IFERROR(INDEX('العقود'!$F:$F,MATCH($B258,'العقود'!$A:$A,0)),""))</f>
        <v>ندى وليد حسنين</v>
      </c>
      <c r="D258" s="27" t="str">
        <f>IF($B258="","",IFERROR(INDEX('العقود'!$E:$E,MATCH($B258,'العقود'!$A:$A,0)),""))</f>
        <v>604</v>
      </c>
      <c r="E258" s="38" t="s">
        <v>825</v>
      </c>
      <c r="F258" s="39">
        <v>11000</v>
      </c>
      <c r="G258" s="33"/>
      <c r="H258" t="s">
        <v>620</v>
      </c>
      <c r="I258" t="s">
        <v>35</v>
      </c>
      <c r="J258" t="s">
        <v>35</v>
      </c>
      <c r="K258" t="s">
        <v>621</v>
      </c>
      <c r="L258" s="33">
        <v>46305</v>
      </c>
      <c r="M258" s="27" t="str">
        <f>IF($B258="","",IFERROR(INDEX('العقود'!$D:$D,MATCH($B258,'العقود'!$A:$A,0)),""))</f>
        <v>ابو بكر</v>
      </c>
    </row>
    <row r="259" spans="1:13" x14ac:dyDescent="0.25">
      <c r="A259" t="s">
        <v>881</v>
      </c>
      <c r="B259" t="s">
        <v>433</v>
      </c>
      <c r="C259" s="27" t="str">
        <f>IF($B259="","",IFERROR(INDEX('العقود'!$F:$F,MATCH($B259,'العقود'!$A:$A,0)),""))</f>
        <v>شريف هاني فهمي</v>
      </c>
      <c r="D259" s="27" t="str">
        <f>IF($B259="","",IFERROR(INDEX('العقود'!$E:$E,MATCH($B259,'العقود'!$A:$A,0)),""))</f>
        <v>605</v>
      </c>
      <c r="E259" s="38" t="s">
        <v>825</v>
      </c>
      <c r="F259" s="39">
        <v>8775</v>
      </c>
      <c r="G259" s="33"/>
      <c r="H259" t="s">
        <v>620</v>
      </c>
      <c r="I259" t="s">
        <v>35</v>
      </c>
      <c r="J259" t="s">
        <v>35</v>
      </c>
      <c r="K259" t="s">
        <v>621</v>
      </c>
      <c r="L259" s="33">
        <v>46305</v>
      </c>
      <c r="M259" s="27" t="str">
        <f>IF($B259="","",IFERROR(INDEX('العقود'!$D:$D,MATCH($B259,'العقود'!$A:$A,0)),""))</f>
        <v>ابو بكر</v>
      </c>
    </row>
    <row r="260" spans="1:13" x14ac:dyDescent="0.25">
      <c r="A260" t="s">
        <v>882</v>
      </c>
      <c r="B260" t="s">
        <v>443</v>
      </c>
      <c r="C260" s="27" t="str">
        <f>IF($B260="","",IFERROR(INDEX('العقود'!$F:$F,MATCH($B260,'العقود'!$A:$A,0)),""))</f>
        <v>شركة الياسمين للاستشارات الهندسية</v>
      </c>
      <c r="D260" s="27" t="str">
        <f>IF($B260="","",IFERROR(INDEX('العقود'!$E:$E,MATCH($B260,'العقود'!$A:$A,0)),""))</f>
        <v>606</v>
      </c>
      <c r="E260" s="38" t="s">
        <v>825</v>
      </c>
      <c r="F260" s="39">
        <v>15000</v>
      </c>
      <c r="G260" s="33"/>
      <c r="H260" t="s">
        <v>620</v>
      </c>
      <c r="I260" t="s">
        <v>35</v>
      </c>
      <c r="J260" t="s">
        <v>35</v>
      </c>
      <c r="K260" t="s">
        <v>621</v>
      </c>
      <c r="L260" s="33">
        <v>46305</v>
      </c>
      <c r="M260" s="27" t="str">
        <f>IF($B260="","",IFERROR(INDEX('العقود'!$D:$D,MATCH($B260,'العقود'!$A:$A,0)),""))</f>
        <v>ابو بكر</v>
      </c>
    </row>
    <row r="261" spans="1:13" x14ac:dyDescent="0.25">
      <c r="A261" t="s">
        <v>883</v>
      </c>
      <c r="B261" t="s">
        <v>452</v>
      </c>
      <c r="C261" s="27" t="str">
        <f>IF($B261="","",IFERROR(INDEX('العقود'!$F:$F,MATCH($B261,'العقود'!$A:$A,0)),""))</f>
        <v>شركة الدلتا للتجارة</v>
      </c>
      <c r="D261" s="27" t="str">
        <f>IF($B261="","",IFERROR(INDEX('العقود'!$E:$E,MATCH($B261,'العقود'!$A:$A,0)),""))</f>
        <v>607</v>
      </c>
      <c r="E261" s="38" t="s">
        <v>825</v>
      </c>
      <c r="F261" s="39">
        <v>10500</v>
      </c>
      <c r="G261" s="33"/>
      <c r="H261" t="s">
        <v>620</v>
      </c>
      <c r="I261" t="s">
        <v>35</v>
      </c>
      <c r="J261" t="s">
        <v>35</v>
      </c>
      <c r="K261" t="s">
        <v>621</v>
      </c>
      <c r="L261" s="33">
        <v>46305</v>
      </c>
      <c r="M261" s="27" t="str">
        <f>IF($B261="","",IFERROR(INDEX('العقود'!$D:$D,MATCH($B261,'العقود'!$A:$A,0)),""))</f>
        <v>ابو بكر</v>
      </c>
    </row>
    <row r="262" spans="1:13" x14ac:dyDescent="0.25">
      <c r="A262" t="s">
        <v>884</v>
      </c>
      <c r="B262" t="s">
        <v>459</v>
      </c>
      <c r="C262" s="27" t="str">
        <f>IF($B262="","",IFERROR(INDEX('العقود'!$F:$F,MATCH($B262,'العقود'!$A:$A,0)),""))</f>
        <v>شركة السلام للتسويق</v>
      </c>
      <c r="D262" s="27" t="str">
        <f>IF($B262="","",IFERROR(INDEX('العقود'!$E:$E,MATCH($B262,'العقود'!$A:$A,0)),""))</f>
        <v>608</v>
      </c>
      <c r="E262" s="38" t="s">
        <v>825</v>
      </c>
      <c r="F262" s="39">
        <v>13000</v>
      </c>
      <c r="G262" s="33"/>
      <c r="H262" t="s">
        <v>620</v>
      </c>
      <c r="I262" t="s">
        <v>35</v>
      </c>
      <c r="J262" t="s">
        <v>35</v>
      </c>
      <c r="K262" t="s">
        <v>621</v>
      </c>
      <c r="L262" s="33">
        <v>46305</v>
      </c>
      <c r="M262" s="27" t="str">
        <f>IF($B262="","",IFERROR(INDEX('العقود'!$D:$D,MATCH($B262,'العقود'!$A:$A,0)),""))</f>
        <v>ابو بكر</v>
      </c>
    </row>
    <row r="263" spans="1:13" x14ac:dyDescent="0.25">
      <c r="A263" t="s">
        <v>885</v>
      </c>
      <c r="B263" t="s">
        <v>467</v>
      </c>
      <c r="C263" s="27" t="str">
        <f>IF($B263="","",IFERROR(INDEX('العقود'!$F:$F,MATCH($B263,'العقود'!$A:$A,0)),""))</f>
        <v>شركة المستقبل للتنمية</v>
      </c>
      <c r="D263" s="27" t="str">
        <f>IF($B263="","",IFERROR(INDEX('العقود'!$E:$E,MATCH($B263,'العقود'!$A:$A,0)),""))</f>
        <v>701</v>
      </c>
      <c r="E263" s="38" t="s">
        <v>825</v>
      </c>
      <c r="F263" s="39">
        <v>17000</v>
      </c>
      <c r="G263" s="33"/>
      <c r="H263" t="s">
        <v>620</v>
      </c>
      <c r="I263" t="s">
        <v>35</v>
      </c>
      <c r="J263" t="s">
        <v>35</v>
      </c>
      <c r="K263" t="s">
        <v>621</v>
      </c>
      <c r="L263" s="33">
        <v>46305</v>
      </c>
      <c r="M263" s="27" t="str">
        <f>IF($B263="","",IFERROR(INDEX('العقود'!$D:$D,MATCH($B263,'العقود'!$A:$A,0)),""))</f>
        <v>ابو بكر</v>
      </c>
    </row>
    <row r="264" spans="1:13" x14ac:dyDescent="0.25">
      <c r="A264" t="s">
        <v>886</v>
      </c>
      <c r="B264" t="s">
        <v>481</v>
      </c>
      <c r="C264" s="27" t="str">
        <f>IF($B264="","",IFERROR(INDEX('العقود'!$F:$F,MATCH($B264,'العقود'!$A:$A,0)),""))</f>
        <v>شركة البركة للتسويق</v>
      </c>
      <c r="D264" s="27" t="str">
        <f>IF($B264="","",IFERROR(INDEX('العقود'!$E:$E,MATCH($B264,'العقود'!$A:$A,0)),""))</f>
        <v>704</v>
      </c>
      <c r="E264" s="38" t="s">
        <v>825</v>
      </c>
      <c r="F264" s="39">
        <v>11000</v>
      </c>
      <c r="G264" s="33"/>
      <c r="H264" t="s">
        <v>620</v>
      </c>
      <c r="I264" t="s">
        <v>35</v>
      </c>
      <c r="J264" t="s">
        <v>35</v>
      </c>
      <c r="K264" t="s">
        <v>621</v>
      </c>
      <c r="L264" s="33">
        <v>46305</v>
      </c>
      <c r="M264" s="27" t="str">
        <f>IF($B264="","",IFERROR(INDEX('العقود'!$D:$D,MATCH($B264,'العقود'!$A:$A,0)),""))</f>
        <v>ابو بكر</v>
      </c>
    </row>
    <row r="265" spans="1:13" x14ac:dyDescent="0.25">
      <c r="A265" t="s">
        <v>887</v>
      </c>
      <c r="B265" t="s">
        <v>487</v>
      </c>
      <c r="C265" s="27" t="str">
        <f>IF($B265="","",IFERROR(INDEX('العقود'!$F:$F,MATCH($B265,'العقود'!$A:$A,0)),""))</f>
        <v>عمر مروان غانم</v>
      </c>
      <c r="D265" s="27" t="str">
        <f>IF($B265="","",IFERROR(INDEX('العقود'!$E:$E,MATCH($B265,'العقود'!$A:$A,0)),""))</f>
        <v>705</v>
      </c>
      <c r="E265" s="38" t="s">
        <v>825</v>
      </c>
      <c r="F265" s="39">
        <v>11000</v>
      </c>
      <c r="G265" s="33"/>
      <c r="H265" t="s">
        <v>620</v>
      </c>
      <c r="I265" t="s">
        <v>35</v>
      </c>
      <c r="J265" t="s">
        <v>35</v>
      </c>
      <c r="K265" t="s">
        <v>621</v>
      </c>
      <c r="L265" s="33">
        <v>46305</v>
      </c>
      <c r="M265" s="27" t="str">
        <f>IF($B265="","",IFERROR(INDEX('العقود'!$D:$D,MATCH($B265,'العقود'!$A:$A,0)),""))</f>
        <v>ابو بكر</v>
      </c>
    </row>
    <row r="266" spans="1:13" x14ac:dyDescent="0.25">
      <c r="A266" t="s">
        <v>888</v>
      </c>
      <c r="B266" t="s">
        <v>495</v>
      </c>
      <c r="C266" s="27" t="str">
        <f>IF($B266="","",IFERROR(INDEX('العقود'!$F:$F,MATCH($B266,'العقود'!$A:$A,0)),""))</f>
        <v>شركة الأمل للتسويق</v>
      </c>
      <c r="D266" s="27" t="str">
        <f>IF($B266="","",IFERROR(INDEX('العقود'!$E:$E,MATCH($B266,'العقود'!$A:$A,0)),""))</f>
        <v>706</v>
      </c>
      <c r="E266" s="38" t="s">
        <v>825</v>
      </c>
      <c r="F266" s="39">
        <v>10890</v>
      </c>
      <c r="G266" s="33"/>
      <c r="H266" t="s">
        <v>620</v>
      </c>
      <c r="I266" t="s">
        <v>35</v>
      </c>
      <c r="J266" t="s">
        <v>35</v>
      </c>
      <c r="K266" t="s">
        <v>621</v>
      </c>
      <c r="L266" s="33">
        <v>46305</v>
      </c>
      <c r="M266" s="27" t="str">
        <f>IF($B266="","",IFERROR(INDEX('العقود'!$D:$D,MATCH($B266,'العقود'!$A:$A,0)),""))</f>
        <v>ابو بكر</v>
      </c>
    </row>
    <row r="267" spans="1:13" x14ac:dyDescent="0.25">
      <c r="A267" t="s">
        <v>889</v>
      </c>
      <c r="B267" t="s">
        <v>502</v>
      </c>
      <c r="C267" s="27" t="str">
        <f>IF($B267="","",IFERROR(INDEX('العقود'!$F:$F,MATCH($B267,'العقود'!$A:$A,0)),""))</f>
        <v>شركة الأفق للخدمات الطبية</v>
      </c>
      <c r="D267" s="27" t="str">
        <f>IF($B267="","",IFERROR(INDEX('العقود'!$E:$E,MATCH($B267,'العقود'!$A:$A,0)),""))</f>
        <v>707</v>
      </c>
      <c r="E267" s="38" t="s">
        <v>825</v>
      </c>
      <c r="F267" s="39">
        <v>13000</v>
      </c>
      <c r="G267" s="33"/>
      <c r="H267" t="s">
        <v>620</v>
      </c>
      <c r="I267" t="s">
        <v>35</v>
      </c>
      <c r="J267" t="s">
        <v>35</v>
      </c>
      <c r="K267" t="s">
        <v>621</v>
      </c>
      <c r="L267" s="33">
        <v>46305</v>
      </c>
      <c r="M267" s="27" t="str">
        <f>IF($B267="","",IFERROR(INDEX('العقود'!$D:$D,MATCH($B267,'العقود'!$A:$A,0)),""))</f>
        <v>ابو بكر</v>
      </c>
    </row>
    <row r="268" spans="1:13" x14ac:dyDescent="0.25">
      <c r="A268" t="s">
        <v>890</v>
      </c>
      <c r="B268" t="s">
        <v>506</v>
      </c>
      <c r="C268" s="27" t="str">
        <f>IF($B268="","",IFERROR(INDEX('العقود'!$F:$F,MATCH($B268,'العقود'!$A:$A,0)),""))</f>
        <v>شركة الأفق للخدمات الطبية</v>
      </c>
      <c r="D268" s="27" t="str">
        <f>IF($B268="","",IFERROR(INDEX('العقود'!$E:$E,MATCH($B268,'العقود'!$A:$A,0)),""))</f>
        <v>708</v>
      </c>
      <c r="E268" s="38" t="s">
        <v>825</v>
      </c>
      <c r="F268" s="39">
        <v>13000</v>
      </c>
      <c r="G268" s="33"/>
      <c r="H268" t="s">
        <v>620</v>
      </c>
      <c r="I268" t="s">
        <v>35</v>
      </c>
      <c r="J268" t="s">
        <v>35</v>
      </c>
      <c r="K268" t="s">
        <v>621</v>
      </c>
      <c r="L268" s="33">
        <v>46305</v>
      </c>
      <c r="M268" s="27" t="str">
        <f>IF($B268="","",IFERROR(INDEX('العقود'!$D:$D,MATCH($B268,'العقود'!$A:$A,0)),""))</f>
        <v>ابو بكر</v>
      </c>
    </row>
    <row r="269" spans="1:13" x14ac:dyDescent="0.25">
      <c r="A269" t="s">
        <v>891</v>
      </c>
      <c r="B269" t="s">
        <v>37</v>
      </c>
      <c r="C269" s="27" t="str">
        <f>IF($B269="","",IFERROR(INDEX('العقود'!$F:$F,MATCH($B269,'العقود'!$A:$A,0)),""))</f>
        <v>عمرو أيمن زكي</v>
      </c>
      <c r="D269" s="27" t="str">
        <f>IF($B269="","",IFERROR(INDEX('العقود'!$E:$E,MATCH($B269,'العقود'!$A:$A,0)),""))</f>
        <v>محل</v>
      </c>
      <c r="E269" s="38" t="s">
        <v>892</v>
      </c>
      <c r="F269" s="39">
        <v>12705</v>
      </c>
      <c r="G269" s="33"/>
      <c r="H269" t="s">
        <v>620</v>
      </c>
      <c r="I269" t="s">
        <v>35</v>
      </c>
      <c r="J269" t="s">
        <v>35</v>
      </c>
      <c r="K269" t="s">
        <v>621</v>
      </c>
      <c r="L269" s="33">
        <v>46305</v>
      </c>
      <c r="M269" s="27" t="str">
        <f>IF($B269="","",IFERROR(INDEX('العقود'!$D:$D,MATCH($B269,'العقود'!$A:$A,0)),""))</f>
        <v>بابل</v>
      </c>
    </row>
    <row r="270" spans="1:13" x14ac:dyDescent="0.25">
      <c r="A270" t="s">
        <v>893</v>
      </c>
      <c r="B270" t="s">
        <v>52</v>
      </c>
      <c r="C270" s="27" t="str">
        <f>IF($B270="","",IFERROR(INDEX('العقود'!$F:$F,MATCH($B270,'العقود'!$A:$A,0)),""))</f>
        <v>شركة الأفق لتكنولوجيا المعلومات</v>
      </c>
      <c r="D270" s="27" t="str">
        <f>IF($B270="","",IFERROR(INDEX('العقود'!$E:$E,MATCH($B270,'العقود'!$A:$A,0)),""))</f>
        <v>ميزان 1/2</v>
      </c>
      <c r="E270" s="38" t="s">
        <v>892</v>
      </c>
      <c r="F270" s="39">
        <v>46603</v>
      </c>
      <c r="G270" s="33"/>
      <c r="H270" t="s">
        <v>620</v>
      </c>
      <c r="I270" t="s">
        <v>35</v>
      </c>
      <c r="J270" t="s">
        <v>35</v>
      </c>
      <c r="K270" t="s">
        <v>621</v>
      </c>
      <c r="L270" s="33">
        <v>46305</v>
      </c>
      <c r="M270" s="27" t="str">
        <f>IF($B270="","",IFERROR(INDEX('العقود'!$D:$D,MATCH($B270,'العقود'!$A:$A,0)),""))</f>
        <v>بابل</v>
      </c>
    </row>
    <row r="271" spans="1:13" x14ac:dyDescent="0.25">
      <c r="A271" t="s">
        <v>894</v>
      </c>
      <c r="B271" t="s">
        <v>59</v>
      </c>
      <c r="C271" s="27" t="str">
        <f>IF($B271="","",IFERROR(INDEX('العقود'!$F:$F,MATCH($B271,'العقود'!$A:$A,0)),""))</f>
        <v>شركة النور للإنتاج الفني</v>
      </c>
      <c r="D271" s="27" t="str">
        <f>IF($B271="","",IFERROR(INDEX('العقود'!$E:$E,MATCH($B271,'العقود'!$A:$A,0)),""))</f>
        <v>ميزان 3</v>
      </c>
      <c r="E271" s="38" t="s">
        <v>892</v>
      </c>
      <c r="F271" s="39">
        <v>41800</v>
      </c>
      <c r="G271" s="33"/>
      <c r="H271" t="s">
        <v>620</v>
      </c>
      <c r="I271" t="s">
        <v>35</v>
      </c>
      <c r="J271" t="s">
        <v>35</v>
      </c>
      <c r="K271" t="s">
        <v>621</v>
      </c>
      <c r="L271" s="33">
        <v>46305</v>
      </c>
      <c r="M271" s="27" t="str">
        <f>IF($B271="","",IFERROR(INDEX('العقود'!$D:$D,MATCH($B271,'العقود'!$A:$A,0)),""))</f>
        <v>بابل</v>
      </c>
    </row>
    <row r="272" spans="1:13" x14ac:dyDescent="0.25">
      <c r="A272" t="s">
        <v>895</v>
      </c>
      <c r="B272" t="s">
        <v>63</v>
      </c>
      <c r="C272" s="27" t="str">
        <f>IF($B272="","",IFERROR(INDEX('العقود'!$F:$F,MATCH($B272,'العقود'!$A:$A,0)),""))</f>
        <v>شركة الأفق لتكنولوجيا المعلومات</v>
      </c>
      <c r="D272" s="27" t="str">
        <f>IF($B272="","",IFERROR(INDEX('العقود'!$E:$E,MATCH($B272,'العقود'!$A:$A,0)),""))</f>
        <v>الدور الثاني</v>
      </c>
      <c r="E272" s="38" t="s">
        <v>892</v>
      </c>
      <c r="F272" s="39">
        <v>91960</v>
      </c>
      <c r="G272" s="33"/>
      <c r="H272" t="s">
        <v>620</v>
      </c>
      <c r="I272" t="s">
        <v>35</v>
      </c>
      <c r="J272" t="s">
        <v>35</v>
      </c>
      <c r="K272" t="s">
        <v>621</v>
      </c>
      <c r="L272" s="33">
        <v>46305</v>
      </c>
      <c r="M272" s="27" t="str">
        <f>IF($B272="","",IFERROR(INDEX('العقود'!$D:$D,MATCH($B272,'العقود'!$A:$A,0)),""))</f>
        <v>بابل</v>
      </c>
    </row>
    <row r="273" spans="1:13" x14ac:dyDescent="0.25">
      <c r="A273" t="s">
        <v>896</v>
      </c>
      <c r="B273" t="s">
        <v>70</v>
      </c>
      <c r="C273" s="27" t="str">
        <f>IF($B273="","",IFERROR(INDEX('العقود'!$F:$F,MATCH($B273,'العقود'!$A:$A,0)),""))</f>
        <v>شركة الأمل للاستشارات الهندسية</v>
      </c>
      <c r="D273" s="27" t="str">
        <f>IF($B273="","",IFERROR(INDEX('العقود'!$E:$E,MATCH($B273,'العقود'!$A:$A,0)),""))</f>
        <v>مكتب 42</v>
      </c>
      <c r="E273" s="38" t="s">
        <v>892</v>
      </c>
      <c r="F273" s="39">
        <v>30250</v>
      </c>
      <c r="G273" s="33"/>
      <c r="H273" t="s">
        <v>620</v>
      </c>
      <c r="I273" t="s">
        <v>35</v>
      </c>
      <c r="J273" t="s">
        <v>35</v>
      </c>
      <c r="K273" t="s">
        <v>621</v>
      </c>
      <c r="L273" s="33">
        <v>46305</v>
      </c>
      <c r="M273" s="27" t="str">
        <f>IF($B273="","",IFERROR(INDEX('العقود'!$D:$D,MATCH($B273,'العقود'!$A:$A,0)),""))</f>
        <v>بابل</v>
      </c>
    </row>
    <row r="274" spans="1:13" x14ac:dyDescent="0.25">
      <c r="A274" t="s">
        <v>897</v>
      </c>
      <c r="B274" t="s">
        <v>86</v>
      </c>
      <c r="C274" s="27" t="str">
        <f>IF($B274="","",IFERROR(INDEX('العقود'!$F:$F,MATCH($B274,'العقود'!$A:$A,0)),""))</f>
        <v>شركة المستقبل للتدريب</v>
      </c>
      <c r="D274" s="27" t="str">
        <f>IF($B274="","",IFERROR(INDEX('العقود'!$E:$E,MATCH($B274,'العقود'!$A:$A,0)),""))</f>
        <v>ميزان 1</v>
      </c>
      <c r="E274" s="38" t="s">
        <v>892</v>
      </c>
      <c r="F274" s="39">
        <v>42350</v>
      </c>
      <c r="G274" s="33"/>
      <c r="H274" t="s">
        <v>620</v>
      </c>
      <c r="I274" t="s">
        <v>35</v>
      </c>
      <c r="J274" t="s">
        <v>35</v>
      </c>
      <c r="K274" t="s">
        <v>621</v>
      </c>
      <c r="L274" s="33">
        <v>46305</v>
      </c>
      <c r="M274" s="27" t="str">
        <f>IF($B274="","",IFERROR(INDEX('العقود'!$D:$D,MATCH($B274,'العقود'!$A:$A,0)),""))</f>
        <v>محيي الدين</v>
      </c>
    </row>
    <row r="275" spans="1:13" x14ac:dyDescent="0.25">
      <c r="A275" t="s">
        <v>898</v>
      </c>
      <c r="B275" t="s">
        <v>95</v>
      </c>
      <c r="C275" s="27" t="str">
        <f>IF($B275="","",IFERROR(INDEX('العقود'!$F:$F,MATCH($B275,'العقود'!$A:$A,0)),""))</f>
        <v>شركة الياسمين للتجارة</v>
      </c>
      <c r="D275" s="27" t="str">
        <f>IF($B275="","",IFERROR(INDEX('العقود'!$E:$E,MATCH($B275,'العقود'!$A:$A,0)),""))</f>
        <v>ميزان 2</v>
      </c>
      <c r="E275" s="38" t="s">
        <v>892</v>
      </c>
      <c r="F275" s="39">
        <v>25410</v>
      </c>
      <c r="G275" s="33"/>
      <c r="H275" t="s">
        <v>620</v>
      </c>
      <c r="I275" t="s">
        <v>35</v>
      </c>
      <c r="J275" t="s">
        <v>35</v>
      </c>
      <c r="K275" t="s">
        <v>621</v>
      </c>
      <c r="L275" s="33">
        <v>46305</v>
      </c>
      <c r="M275" s="27" t="str">
        <f>IF($B275="","",IFERROR(INDEX('العقود'!$D:$D,MATCH($B275,'العقود'!$A:$A,0)),""))</f>
        <v>محيي الدين</v>
      </c>
    </row>
    <row r="276" spans="1:13" x14ac:dyDescent="0.25">
      <c r="A276" t="s">
        <v>899</v>
      </c>
      <c r="B276" t="s">
        <v>103</v>
      </c>
      <c r="C276" s="27" t="str">
        <f>IF($B276="","",IFERROR(INDEX('العقود'!$F:$F,MATCH($B276,'العقود'!$A:$A,0)),""))</f>
        <v>شركة الأفق للاستيراد والتصدير</v>
      </c>
      <c r="D276" s="27" t="str">
        <f>IF($B276="","",IFERROR(INDEX('العقود'!$E:$E,MATCH($B276,'العقود'!$A:$A,0)),""))</f>
        <v>202</v>
      </c>
      <c r="E276" s="38" t="s">
        <v>892</v>
      </c>
      <c r="F276" s="39">
        <v>46585</v>
      </c>
      <c r="G276" s="33"/>
      <c r="H276" t="s">
        <v>620</v>
      </c>
      <c r="I276" t="s">
        <v>35</v>
      </c>
      <c r="J276" t="s">
        <v>35</v>
      </c>
      <c r="K276" t="s">
        <v>621</v>
      </c>
      <c r="L276" s="33">
        <v>46305</v>
      </c>
      <c r="M276" s="27" t="str">
        <f>IF($B276="","",IFERROR(INDEX('العقود'!$D:$D,MATCH($B276,'العقود'!$A:$A,0)),""))</f>
        <v>محيي الدين</v>
      </c>
    </row>
    <row r="277" spans="1:13" x14ac:dyDescent="0.25">
      <c r="A277" t="s">
        <v>900</v>
      </c>
      <c r="B277" t="s">
        <v>113</v>
      </c>
      <c r="C277" s="27" t="str">
        <f>IF($B277="","",IFERROR(INDEX('العقود'!$F:$F,MATCH($B277,'العقود'!$A:$A,0)),""))</f>
        <v>شريف هشام فوزي</v>
      </c>
      <c r="D277" s="27" t="str">
        <f>IF($B277="","",IFERROR(INDEX('العقود'!$E:$E,MATCH($B277,'العقود'!$A:$A,0)),""))</f>
        <v>301</v>
      </c>
      <c r="E277" s="38" t="s">
        <v>892</v>
      </c>
      <c r="F277" s="39">
        <v>37000</v>
      </c>
      <c r="G277" s="33"/>
      <c r="H277" t="s">
        <v>620</v>
      </c>
      <c r="I277" t="s">
        <v>35</v>
      </c>
      <c r="J277" t="s">
        <v>35</v>
      </c>
      <c r="K277" t="s">
        <v>621</v>
      </c>
      <c r="L277" s="33">
        <v>46305</v>
      </c>
      <c r="M277" s="27" t="str">
        <f>IF($B277="","",IFERROR(INDEX('العقود'!$D:$D,MATCH($B277,'العقود'!$A:$A,0)),""))</f>
        <v>محيي الدين</v>
      </c>
    </row>
    <row r="278" spans="1:13" x14ac:dyDescent="0.25">
      <c r="A278" t="s">
        <v>901</v>
      </c>
      <c r="B278" t="s">
        <v>120</v>
      </c>
      <c r="C278" s="27" t="str">
        <f>IF($B278="","",IFERROR(INDEX('العقود'!$F:$F,MATCH($B278,'العقود'!$A:$A,0)),""))</f>
        <v>د/ باسم أمير سليم</v>
      </c>
      <c r="D278" s="27" t="str">
        <f>IF($B278="","",IFERROR(INDEX('العقود'!$E:$E,MATCH($B278,'العقود'!$A:$A,0)),""))</f>
        <v>302</v>
      </c>
      <c r="E278" s="38" t="s">
        <v>892</v>
      </c>
      <c r="F278" s="39">
        <v>38500</v>
      </c>
      <c r="G278" s="33"/>
      <c r="H278" t="s">
        <v>620</v>
      </c>
      <c r="I278" t="s">
        <v>35</v>
      </c>
      <c r="J278" t="s">
        <v>35</v>
      </c>
      <c r="K278" t="s">
        <v>621</v>
      </c>
      <c r="L278" s="33">
        <v>46305</v>
      </c>
      <c r="M278" s="27" t="str">
        <f>IF($B278="","",IFERROR(INDEX('العقود'!$D:$D,MATCH($B278,'العقود'!$A:$A,0)),""))</f>
        <v>محيي الدين</v>
      </c>
    </row>
    <row r="279" spans="1:13" x14ac:dyDescent="0.25">
      <c r="A279" t="s">
        <v>902</v>
      </c>
      <c r="B279" t="s">
        <v>126</v>
      </c>
      <c r="C279" s="27" t="str">
        <f>IF($B279="","",IFERROR(INDEX('العقود'!$F:$F,MATCH($B279,'العقود'!$A:$A,0)),""))</f>
        <v>شركة الصفوة للإنتاج الفني</v>
      </c>
      <c r="D279" s="27" t="str">
        <f>IF($B279="","",IFERROR(INDEX('العقود'!$E:$E,MATCH($B279,'العقود'!$A:$A,0)),""))</f>
        <v>303</v>
      </c>
      <c r="E279" s="38" t="s">
        <v>892</v>
      </c>
      <c r="F279" s="39">
        <v>43000</v>
      </c>
      <c r="G279" s="33"/>
      <c r="H279" t="s">
        <v>620</v>
      </c>
      <c r="I279" t="s">
        <v>35</v>
      </c>
      <c r="J279" t="s">
        <v>35</v>
      </c>
      <c r="K279" t="s">
        <v>621</v>
      </c>
      <c r="L279" s="33">
        <v>46305</v>
      </c>
      <c r="M279" s="27" t="str">
        <f>IF($B279="","",IFERROR(INDEX('العقود'!$D:$D,MATCH($B279,'العقود'!$A:$A,0)),""))</f>
        <v>محيي الدين</v>
      </c>
    </row>
    <row r="280" spans="1:13" x14ac:dyDescent="0.25">
      <c r="A280" t="s">
        <v>903</v>
      </c>
      <c r="B280" t="s">
        <v>130</v>
      </c>
      <c r="C280" s="27" t="str">
        <f>IF($B280="","",IFERROR(INDEX('العقود'!$F:$F,MATCH($B280,'العقود'!$A:$A,0)),""))</f>
        <v>شركة الصفوة للإنتاج الفني</v>
      </c>
      <c r="D280" s="27" t="str">
        <f>IF($B280="","",IFERROR(INDEX('العقود'!$E:$E,MATCH($B280,'العقود'!$A:$A,0)),""))</f>
        <v>304</v>
      </c>
      <c r="E280" s="38" t="s">
        <v>892</v>
      </c>
      <c r="F280" s="39">
        <v>25300</v>
      </c>
      <c r="G280" s="33"/>
      <c r="H280" t="s">
        <v>620</v>
      </c>
      <c r="I280" t="s">
        <v>35</v>
      </c>
      <c r="J280" t="s">
        <v>35</v>
      </c>
      <c r="K280" t="s">
        <v>621</v>
      </c>
      <c r="L280" s="33">
        <v>46305</v>
      </c>
      <c r="M280" s="27" t="str">
        <f>IF($B280="","",IFERROR(INDEX('العقود'!$D:$D,MATCH($B280,'العقود'!$A:$A,0)),""))</f>
        <v>محيي الدين</v>
      </c>
    </row>
    <row r="281" spans="1:13" x14ac:dyDescent="0.25">
      <c r="A281" t="s">
        <v>904</v>
      </c>
      <c r="B281" t="s">
        <v>136</v>
      </c>
      <c r="C281" s="27" t="str">
        <f>IF($B281="","",IFERROR(INDEX('العقود'!$F:$F,MATCH($B281,'العقود'!$A:$A,0)),""))</f>
        <v>د/ يوسف حسن مكرم</v>
      </c>
      <c r="D281" s="27" t="str">
        <f>IF($B281="","",IFERROR(INDEX('العقود'!$E:$E,MATCH($B281,'العقود'!$A:$A,0)),""))</f>
        <v>401</v>
      </c>
      <c r="E281" s="38" t="s">
        <v>892</v>
      </c>
      <c r="F281" s="39">
        <v>37665</v>
      </c>
      <c r="G281" s="33"/>
      <c r="H281" t="s">
        <v>620</v>
      </c>
      <c r="I281" t="s">
        <v>35</v>
      </c>
      <c r="J281" t="s">
        <v>35</v>
      </c>
      <c r="K281" t="s">
        <v>621</v>
      </c>
      <c r="L281" s="33">
        <v>46305</v>
      </c>
      <c r="M281" s="27" t="str">
        <f>IF($B281="","",IFERROR(INDEX('العقود'!$D:$D,MATCH($B281,'العقود'!$A:$A,0)),""))</f>
        <v>محيي الدين</v>
      </c>
    </row>
    <row r="282" spans="1:13" x14ac:dyDescent="0.25">
      <c r="A282" t="s">
        <v>905</v>
      </c>
      <c r="B282" t="s">
        <v>143</v>
      </c>
      <c r="C282" s="27" t="str">
        <f>IF($B282="","",IFERROR(INDEX('العقود'!$F:$F,MATCH($B282,'العقود'!$A:$A,0)),""))</f>
        <v>د/ فادي سعيد منصور</v>
      </c>
      <c r="D282" s="27" t="str">
        <f>IF($B282="","",IFERROR(INDEX('العقود'!$E:$E,MATCH($B282,'العقود'!$A:$A,0)),""))</f>
        <v>404</v>
      </c>
      <c r="E282" s="38" t="s">
        <v>892</v>
      </c>
      <c r="F282" s="39">
        <v>30250</v>
      </c>
      <c r="G282" s="33"/>
      <c r="H282" t="s">
        <v>620</v>
      </c>
      <c r="I282" t="s">
        <v>35</v>
      </c>
      <c r="J282" t="s">
        <v>35</v>
      </c>
      <c r="K282" t="s">
        <v>621</v>
      </c>
      <c r="L282" s="33">
        <v>46305</v>
      </c>
      <c r="M282" s="27" t="str">
        <f>IF($B282="","",IFERROR(INDEX('العقود'!$D:$D,MATCH($B282,'العقود'!$A:$A,0)),""))</f>
        <v>محيي الدين</v>
      </c>
    </row>
    <row r="283" spans="1:13" x14ac:dyDescent="0.25">
      <c r="A283" t="s">
        <v>906</v>
      </c>
      <c r="B283" t="s">
        <v>149</v>
      </c>
      <c r="C283" s="27" t="str">
        <f>IF($B283="","",IFERROR(INDEX('العقود'!$F:$F,MATCH($B283,'العقود'!$A:$A,0)),""))</f>
        <v>د/ رضوى خالد عبد الرحمن</v>
      </c>
      <c r="D283" s="27" t="str">
        <f>IF($B283="","",IFERROR(INDEX('العقود'!$E:$E,MATCH($B283,'العقود'!$A:$A,0)),""))</f>
        <v>502</v>
      </c>
      <c r="E283" s="38" t="s">
        <v>892</v>
      </c>
      <c r="F283" s="39">
        <v>19060</v>
      </c>
      <c r="G283" s="33"/>
      <c r="H283" t="s">
        <v>620</v>
      </c>
      <c r="I283" t="s">
        <v>35</v>
      </c>
      <c r="J283" t="s">
        <v>35</v>
      </c>
      <c r="K283" t="s">
        <v>621</v>
      </c>
      <c r="L283" s="33">
        <v>46305</v>
      </c>
      <c r="M283" s="27" t="str">
        <f>IF($B283="","",IFERROR(INDEX('العقود'!$D:$D,MATCH($B283,'العقود'!$A:$A,0)),""))</f>
        <v>محيي الدين</v>
      </c>
    </row>
    <row r="284" spans="1:13" x14ac:dyDescent="0.25">
      <c r="A284" t="s">
        <v>907</v>
      </c>
      <c r="B284" t="s">
        <v>156</v>
      </c>
      <c r="C284" s="27" t="str">
        <f>IF($B284="","",IFERROR(INDEX('العقود'!$F:$F,MATCH($B284,'العقود'!$A:$A,0)),""))</f>
        <v>د/ آية أيمن بدوي</v>
      </c>
      <c r="D284" s="27" t="str">
        <f>IF($B284="","",IFERROR(INDEX('العقود'!$E:$E,MATCH($B284,'العقود'!$A:$A,0)),""))</f>
        <v>503</v>
      </c>
      <c r="E284" s="38" t="s">
        <v>892</v>
      </c>
      <c r="F284" s="39">
        <v>20570</v>
      </c>
      <c r="G284" s="33"/>
      <c r="H284" t="s">
        <v>620</v>
      </c>
      <c r="I284" t="s">
        <v>35</v>
      </c>
      <c r="J284" t="s">
        <v>35</v>
      </c>
      <c r="K284" t="s">
        <v>621</v>
      </c>
      <c r="L284" s="33">
        <v>46305</v>
      </c>
      <c r="M284" s="27" t="str">
        <f>IF($B284="","",IFERROR(INDEX('العقود'!$D:$D,MATCH($B284,'العقود'!$A:$A,0)),""))</f>
        <v>محيي الدين</v>
      </c>
    </row>
    <row r="285" spans="1:13" x14ac:dyDescent="0.25">
      <c r="A285" t="s">
        <v>908</v>
      </c>
      <c r="B285" t="s">
        <v>162</v>
      </c>
      <c r="C285" s="27" t="str">
        <f>IF($B285="","",IFERROR(INDEX('العقود'!$F:$F,MATCH($B285,'العقود'!$A:$A,0)),""))</f>
        <v>محمد سعيد عبد الرحمن</v>
      </c>
      <c r="D285" s="27" t="str">
        <f>IF($B285="","",IFERROR(INDEX('العقود'!$E:$E,MATCH($B285,'العقود'!$A:$A,0)),""))</f>
        <v>504</v>
      </c>
      <c r="E285" s="38" t="s">
        <v>892</v>
      </c>
      <c r="F285" s="39">
        <v>25410</v>
      </c>
      <c r="G285" s="33"/>
      <c r="H285" t="s">
        <v>620</v>
      </c>
      <c r="I285" t="s">
        <v>35</v>
      </c>
      <c r="J285" t="s">
        <v>35</v>
      </c>
      <c r="K285" t="s">
        <v>621</v>
      </c>
      <c r="L285" s="33">
        <v>46305</v>
      </c>
      <c r="M285" s="27" t="str">
        <f>IF($B285="","",IFERROR(INDEX('العقود'!$D:$D,MATCH($B285,'العقود'!$A:$A,0)),""))</f>
        <v>محيي الدين</v>
      </c>
    </row>
    <row r="286" spans="1:13" x14ac:dyDescent="0.25">
      <c r="A286" t="s">
        <v>909</v>
      </c>
      <c r="B286" t="s">
        <v>171</v>
      </c>
      <c r="C286" s="27" t="str">
        <f>IF($B286="","",IFERROR(INDEX('العقود'!$F:$F,MATCH($B286,'العقود'!$A:$A,0)),""))</f>
        <v>شركة الأمل للإنتاج الفني</v>
      </c>
      <c r="D286" s="27" t="str">
        <f>IF($B286="","",IFERROR(INDEX('العقود'!$E:$E,MATCH($B286,'العقود'!$A:$A,0)),""))</f>
        <v>ميزان 1</v>
      </c>
      <c r="E286" s="38" t="s">
        <v>892</v>
      </c>
      <c r="F286" s="39">
        <v>40700</v>
      </c>
      <c r="G286" s="33"/>
      <c r="H286" t="s">
        <v>620</v>
      </c>
      <c r="I286" t="s">
        <v>35</v>
      </c>
      <c r="J286" t="s">
        <v>35</v>
      </c>
      <c r="K286" t="s">
        <v>621</v>
      </c>
      <c r="L286" s="33">
        <v>46305</v>
      </c>
      <c r="M286" s="27" t="str">
        <f>IF($B286="","",IFERROR(INDEX('العقود'!$D:$D,MATCH($B286,'العقود'!$A:$A,0)),""))</f>
        <v>ابو بكر</v>
      </c>
    </row>
    <row r="287" spans="1:13" x14ac:dyDescent="0.25">
      <c r="A287" t="s">
        <v>910</v>
      </c>
      <c r="B287" t="s">
        <v>177</v>
      </c>
      <c r="C287" s="27" t="str">
        <f>IF($B287="","",IFERROR(INDEX('العقود'!$F:$F,MATCH($B287,'العقود'!$A:$A,0)),""))</f>
        <v>شركة النور للاستشارات الهندسية</v>
      </c>
      <c r="D287" s="27" t="str">
        <f>IF($B287="","",IFERROR(INDEX('العقود'!$E:$E,MATCH($B287,'العقود'!$A:$A,0)),""))</f>
        <v>ميزان 2</v>
      </c>
      <c r="E287" s="38" t="s">
        <v>892</v>
      </c>
      <c r="F287" s="39">
        <v>40700</v>
      </c>
      <c r="G287" s="33"/>
      <c r="H287" t="s">
        <v>620</v>
      </c>
      <c r="I287" t="s">
        <v>35</v>
      </c>
      <c r="J287" t="s">
        <v>35</v>
      </c>
      <c r="K287" t="s">
        <v>621</v>
      </c>
      <c r="L287" s="33">
        <v>46305</v>
      </c>
      <c r="M287" s="27" t="str">
        <f>IF($B287="","",IFERROR(INDEX('العقود'!$D:$D,MATCH($B287,'العقود'!$A:$A,0)),""))</f>
        <v>ابو بكر</v>
      </c>
    </row>
    <row r="288" spans="1:13" x14ac:dyDescent="0.25">
      <c r="A288" t="s">
        <v>911</v>
      </c>
      <c r="B288" t="s">
        <v>183</v>
      </c>
      <c r="C288" s="27" t="str">
        <f>IF($B288="","",IFERROR(INDEX('العقود'!$F:$F,MATCH($B288,'العقود'!$A:$A,0)),""))</f>
        <v>عادل عمر مكرم</v>
      </c>
      <c r="D288" s="27" t="str">
        <f>IF($B288="","",IFERROR(INDEX('العقود'!$E:$E,MATCH($B288,'العقود'!$A:$A,0)),""))</f>
        <v>102</v>
      </c>
      <c r="E288" s="38" t="s">
        <v>892</v>
      </c>
      <c r="F288" s="39">
        <v>17500</v>
      </c>
      <c r="G288" s="33"/>
      <c r="H288" t="s">
        <v>620</v>
      </c>
      <c r="I288" t="s">
        <v>35</v>
      </c>
      <c r="J288" t="s">
        <v>35</v>
      </c>
      <c r="K288" t="s">
        <v>621</v>
      </c>
      <c r="L288" s="33">
        <v>46305</v>
      </c>
      <c r="M288" s="27" t="str">
        <f>IF($B288="","",IFERROR(INDEX('العقود'!$D:$D,MATCH($B288,'العقود'!$A:$A,0)),""))</f>
        <v>ابو بكر</v>
      </c>
    </row>
    <row r="289" spans="1:13" x14ac:dyDescent="0.25">
      <c r="A289" t="s">
        <v>912</v>
      </c>
      <c r="B289" t="s">
        <v>190</v>
      </c>
      <c r="C289" s="27" t="str">
        <f>IF($B289="","",IFERROR(INDEX('العقود'!$F:$F,MATCH($B289,'العقود'!$A:$A,0)),""))</f>
        <v>تامر علي بدوي</v>
      </c>
      <c r="D289" s="27" t="str">
        <f>IF($B289="","",IFERROR(INDEX('العقود'!$E:$E,MATCH($B289,'العقود'!$A:$A,0)),""))</f>
        <v>103</v>
      </c>
      <c r="E289" s="38" t="s">
        <v>892</v>
      </c>
      <c r="F289" s="39">
        <v>7000</v>
      </c>
      <c r="G289" s="33"/>
      <c r="H289" t="s">
        <v>620</v>
      </c>
      <c r="I289" t="s">
        <v>35</v>
      </c>
      <c r="J289" t="s">
        <v>35</v>
      </c>
      <c r="K289" t="s">
        <v>621</v>
      </c>
      <c r="L289" s="33">
        <v>46305</v>
      </c>
      <c r="M289" s="27" t="str">
        <f>IF($B289="","",IFERROR(INDEX('العقود'!$D:$D,MATCH($B289,'العقود'!$A:$A,0)),""))</f>
        <v>ابو بكر</v>
      </c>
    </row>
    <row r="290" spans="1:13" x14ac:dyDescent="0.25">
      <c r="A290" t="s">
        <v>913</v>
      </c>
      <c r="B290" t="s">
        <v>196</v>
      </c>
      <c r="C290" s="27" t="str">
        <f>IF($B290="","",IFERROR(INDEX('العقود'!$F:$F,MATCH($B290,'العقود'!$A:$A,0)),""))</f>
        <v>مروان محمود حسنين</v>
      </c>
      <c r="D290" s="27" t="str">
        <f>IF($B290="","",IFERROR(INDEX('العقود'!$E:$E,MATCH($B290,'العقود'!$A:$A,0)),""))</f>
        <v>104</v>
      </c>
      <c r="E290" s="38" t="s">
        <v>892</v>
      </c>
      <c r="F290" s="39">
        <v>13000</v>
      </c>
      <c r="G290" s="33"/>
      <c r="H290" t="s">
        <v>620</v>
      </c>
      <c r="I290" t="s">
        <v>35</v>
      </c>
      <c r="J290" t="s">
        <v>35</v>
      </c>
      <c r="K290" t="s">
        <v>621</v>
      </c>
      <c r="L290" s="33">
        <v>46305</v>
      </c>
      <c r="M290" s="27" t="str">
        <f>IF($B290="","",IFERROR(INDEX('العقود'!$D:$D,MATCH($B290,'العقود'!$A:$A,0)),""))</f>
        <v>ابو بكر</v>
      </c>
    </row>
    <row r="291" spans="1:13" x14ac:dyDescent="0.25">
      <c r="A291" t="s">
        <v>914</v>
      </c>
      <c r="B291" t="s">
        <v>201</v>
      </c>
      <c r="C291" s="27" t="str">
        <f>IF($B291="","",IFERROR(INDEX('العقود'!$F:$F,MATCH($B291,'العقود'!$A:$A,0)),""))</f>
        <v>عادل عمر مكرم</v>
      </c>
      <c r="D291" s="27" t="str">
        <f>IF($B291="","",IFERROR(INDEX('العقود'!$E:$E,MATCH($B291,'العقود'!$A:$A,0)),""))</f>
        <v>105</v>
      </c>
      <c r="E291" s="38" t="s">
        <v>892</v>
      </c>
      <c r="F291" s="39">
        <v>13500</v>
      </c>
      <c r="G291" s="33"/>
      <c r="H291" t="s">
        <v>620</v>
      </c>
      <c r="I291" t="s">
        <v>35</v>
      </c>
      <c r="J291" t="s">
        <v>35</v>
      </c>
      <c r="K291" t="s">
        <v>621</v>
      </c>
      <c r="L291" s="33">
        <v>46305</v>
      </c>
      <c r="M291" s="27" t="str">
        <f>IF($B291="","",IFERROR(INDEX('العقود'!$D:$D,MATCH($B291,'العقود'!$A:$A,0)),""))</f>
        <v>ابو بكر</v>
      </c>
    </row>
    <row r="292" spans="1:13" x14ac:dyDescent="0.25">
      <c r="A292" t="s">
        <v>915</v>
      </c>
      <c r="B292" t="s">
        <v>207</v>
      </c>
      <c r="C292" s="27" t="str">
        <f>IF($B292="","",IFERROR(INDEX('العقود'!$F:$F,MATCH($B292,'العقود'!$A:$A,0)),""))</f>
        <v>حسين أمير بدوي</v>
      </c>
      <c r="D292" s="27" t="str">
        <f>IF($B292="","",IFERROR(INDEX('العقود'!$E:$E,MATCH($B292,'العقود'!$A:$A,0)),""))</f>
        <v>106</v>
      </c>
      <c r="E292" s="38" t="s">
        <v>892</v>
      </c>
      <c r="F292" s="39">
        <v>7000</v>
      </c>
      <c r="G292" s="33"/>
      <c r="H292" t="s">
        <v>620</v>
      </c>
      <c r="I292" t="s">
        <v>35</v>
      </c>
      <c r="J292" t="s">
        <v>35</v>
      </c>
      <c r="K292" t="s">
        <v>621</v>
      </c>
      <c r="L292" s="33">
        <v>46305</v>
      </c>
      <c r="M292" s="27" t="str">
        <f>IF($B292="","",IFERROR(INDEX('العقود'!$D:$D,MATCH($B292,'العقود'!$A:$A,0)),""))</f>
        <v>ابو بكر</v>
      </c>
    </row>
    <row r="293" spans="1:13" x14ac:dyDescent="0.25">
      <c r="A293" t="s">
        <v>916</v>
      </c>
      <c r="B293" t="s">
        <v>211</v>
      </c>
      <c r="C293" s="27" t="str">
        <f>IF($B293="","",IFERROR(INDEX('العقود'!$F:$F,MATCH($B293,'العقود'!$A:$A,0)),""))</f>
        <v>حسين أمير بدوي</v>
      </c>
      <c r="D293" s="27" t="str">
        <f>IF($B293="","",IFERROR(INDEX('العقود'!$E:$E,MATCH($B293,'العقود'!$A:$A,0)),""))</f>
        <v>107</v>
      </c>
      <c r="E293" s="38" t="s">
        <v>892</v>
      </c>
      <c r="F293" s="39">
        <v>6000</v>
      </c>
      <c r="G293" s="33"/>
      <c r="H293" t="s">
        <v>620</v>
      </c>
      <c r="I293" t="s">
        <v>35</v>
      </c>
      <c r="J293" t="s">
        <v>35</v>
      </c>
      <c r="K293" t="s">
        <v>621</v>
      </c>
      <c r="L293" s="33">
        <v>46305</v>
      </c>
      <c r="M293" s="27" t="str">
        <f>IF($B293="","",IFERROR(INDEX('العقود'!$D:$D,MATCH($B293,'العقود'!$A:$A,0)),""))</f>
        <v>ابو بكر</v>
      </c>
    </row>
    <row r="294" spans="1:13" x14ac:dyDescent="0.25">
      <c r="A294" t="s">
        <v>917</v>
      </c>
      <c r="B294" t="s">
        <v>215</v>
      </c>
      <c r="C294" s="27" t="str">
        <f>IF($B294="","",IFERROR(INDEX('العقود'!$F:$F,MATCH($B294,'العقود'!$A:$A,0)),""))</f>
        <v>حسين أمير بدوي</v>
      </c>
      <c r="D294" s="27" t="str">
        <f>IF($B294="","",IFERROR(INDEX('العقود'!$E:$E,MATCH($B294,'العقود'!$A:$A,0)),""))</f>
        <v>108</v>
      </c>
      <c r="E294" s="38" t="s">
        <v>892</v>
      </c>
      <c r="F294" s="39">
        <v>6000</v>
      </c>
      <c r="G294" s="33"/>
      <c r="H294" t="s">
        <v>620</v>
      </c>
      <c r="I294" t="s">
        <v>35</v>
      </c>
      <c r="J294" t="s">
        <v>35</v>
      </c>
      <c r="K294" t="s">
        <v>621</v>
      </c>
      <c r="L294" s="33">
        <v>46305</v>
      </c>
      <c r="M294" s="27" t="str">
        <f>IF($B294="","",IFERROR(INDEX('العقود'!$D:$D,MATCH($B294,'العقود'!$A:$A,0)),""))</f>
        <v>ابو بكر</v>
      </c>
    </row>
    <row r="295" spans="1:13" x14ac:dyDescent="0.25">
      <c r="A295" t="s">
        <v>918</v>
      </c>
      <c r="B295" t="s">
        <v>222</v>
      </c>
      <c r="C295" s="27" t="str">
        <f>IF($B295="","",IFERROR(INDEX('العقود'!$F:$F,MATCH($B295,'العقود'!$A:$A,0)),""))</f>
        <v>شركة الأفق للتدريب</v>
      </c>
      <c r="D295" s="27" t="str">
        <f>IF($B295="","",IFERROR(INDEX('العقود'!$E:$E,MATCH($B295,'العقود'!$A:$A,0)),""))</f>
        <v>201</v>
      </c>
      <c r="E295" s="38" t="s">
        <v>892</v>
      </c>
      <c r="F295" s="39">
        <v>11495</v>
      </c>
      <c r="G295" s="33"/>
      <c r="H295" t="s">
        <v>620</v>
      </c>
      <c r="I295" t="s">
        <v>35</v>
      </c>
      <c r="J295" t="s">
        <v>35</v>
      </c>
      <c r="K295" t="s">
        <v>621</v>
      </c>
      <c r="L295" s="33">
        <v>46305</v>
      </c>
      <c r="M295" s="27" t="str">
        <f>IF($B295="","",IFERROR(INDEX('العقود'!$D:$D,MATCH($B295,'العقود'!$A:$A,0)),""))</f>
        <v>ابو بكر</v>
      </c>
    </row>
    <row r="296" spans="1:13" x14ac:dyDescent="0.25">
      <c r="A296" t="s">
        <v>919</v>
      </c>
      <c r="B296" t="s">
        <v>228</v>
      </c>
      <c r="C296" s="27" t="str">
        <f>IF($B296="","",IFERROR(INDEX('العقود'!$F:$F,MATCH($B296,'العقود'!$A:$A,0)),""))</f>
        <v>د/ نادر شريف شاكر</v>
      </c>
      <c r="D296" s="27" t="str">
        <f>IF($B296="","",IFERROR(INDEX('العقود'!$E:$E,MATCH($B296,'العقود'!$A:$A,0)),""))</f>
        <v>202</v>
      </c>
      <c r="E296" s="38" t="s">
        <v>892</v>
      </c>
      <c r="F296" s="39">
        <v>16500</v>
      </c>
      <c r="G296" s="33"/>
      <c r="H296" t="s">
        <v>620</v>
      </c>
      <c r="I296" t="s">
        <v>35</v>
      </c>
      <c r="J296" t="s">
        <v>35</v>
      </c>
      <c r="K296" t="s">
        <v>621</v>
      </c>
      <c r="L296" s="33">
        <v>46305</v>
      </c>
      <c r="M296" s="27" t="str">
        <f>IF($B296="","",IFERROR(INDEX('العقود'!$D:$D,MATCH($B296,'العقود'!$A:$A,0)),""))</f>
        <v>ابو بكر</v>
      </c>
    </row>
    <row r="297" spans="1:13" x14ac:dyDescent="0.25">
      <c r="A297" t="s">
        <v>920</v>
      </c>
      <c r="B297" t="s">
        <v>235</v>
      </c>
      <c r="C297" s="27" t="str">
        <f>IF($B297="","",IFERROR(INDEX('العقود'!$F:$F,MATCH($B297,'العقود'!$A:$A,0)),""))</f>
        <v>د/ يوسف خالد الخولي</v>
      </c>
      <c r="D297" s="27" t="str">
        <f>IF($B297="","",IFERROR(INDEX('العقود'!$E:$E,MATCH($B297,'العقود'!$A:$A,0)),""))</f>
        <v>204</v>
      </c>
      <c r="E297" s="38" t="s">
        <v>892</v>
      </c>
      <c r="F297" s="39">
        <v>12500</v>
      </c>
      <c r="G297" s="33"/>
      <c r="H297" t="s">
        <v>620</v>
      </c>
      <c r="I297" t="s">
        <v>35</v>
      </c>
      <c r="J297" t="s">
        <v>35</v>
      </c>
      <c r="K297" t="s">
        <v>621</v>
      </c>
      <c r="L297" s="33">
        <v>46305</v>
      </c>
      <c r="M297" s="27" t="str">
        <f>IF($B297="","",IFERROR(INDEX('العقود'!$D:$D,MATCH($B297,'العقود'!$A:$A,0)),""))</f>
        <v>ابو بكر</v>
      </c>
    </row>
    <row r="298" spans="1:13" x14ac:dyDescent="0.25">
      <c r="A298" t="s">
        <v>921</v>
      </c>
      <c r="B298" t="s">
        <v>246</v>
      </c>
      <c r="C298" s="27" t="str">
        <f>IF($B298="","",IFERROR(INDEX('العقود'!$F:$F,MATCH($B298,'العقود'!$A:$A,0)),""))</f>
        <v>أحمد عمرو سليم</v>
      </c>
      <c r="D298" s="27" t="str">
        <f>IF($B298="","",IFERROR(INDEX('العقود'!$E:$E,MATCH($B298,'العقود'!$A:$A,0)),""))</f>
        <v>205</v>
      </c>
      <c r="E298" s="38" t="s">
        <v>892</v>
      </c>
      <c r="F298" s="39">
        <v>14000</v>
      </c>
      <c r="G298" s="33"/>
      <c r="H298" t="s">
        <v>620</v>
      </c>
      <c r="I298" t="s">
        <v>35</v>
      </c>
      <c r="J298" t="s">
        <v>35</v>
      </c>
      <c r="K298" t="s">
        <v>621</v>
      </c>
      <c r="L298" s="33">
        <v>46305</v>
      </c>
      <c r="M298" s="27" t="str">
        <f>IF($B298="","",IFERROR(INDEX('العقود'!$D:$D,MATCH($B298,'العقود'!$A:$A,0)),""))</f>
        <v>ابو بكر</v>
      </c>
    </row>
    <row r="299" spans="1:13" x14ac:dyDescent="0.25">
      <c r="A299" t="s">
        <v>922</v>
      </c>
      <c r="B299" t="s">
        <v>253</v>
      </c>
      <c r="C299" s="27" t="str">
        <f>IF($B299="","",IFERROR(INDEX('العقود'!$F:$F,MATCH($B299,'العقود'!$A:$A,0)),""))</f>
        <v>شركة النخبة للتجارة</v>
      </c>
      <c r="D299" s="27" t="str">
        <f>IF($B299="","",IFERROR(INDEX('العقود'!$E:$E,MATCH($B299,'العقود'!$A:$A,0)),""))</f>
        <v>206</v>
      </c>
      <c r="E299" s="38" t="s">
        <v>892</v>
      </c>
      <c r="F299" s="39">
        <v>16500</v>
      </c>
      <c r="G299" s="33"/>
      <c r="H299" t="s">
        <v>620</v>
      </c>
      <c r="I299" t="s">
        <v>35</v>
      </c>
      <c r="J299" t="s">
        <v>35</v>
      </c>
      <c r="K299" t="s">
        <v>621</v>
      </c>
      <c r="L299" s="33">
        <v>46305</v>
      </c>
      <c r="M299" s="27" t="str">
        <f>IF($B299="","",IFERROR(INDEX('العقود'!$D:$D,MATCH($B299,'العقود'!$A:$A,0)),""))</f>
        <v>ابو بكر</v>
      </c>
    </row>
    <row r="300" spans="1:13" x14ac:dyDescent="0.25">
      <c r="A300" t="s">
        <v>923</v>
      </c>
      <c r="B300" t="s">
        <v>260</v>
      </c>
      <c r="C300" s="27" t="str">
        <f>IF($B300="","",IFERROR(INDEX('العقود'!$F:$F,MATCH($B300,'العقود'!$A:$A,0)),""))</f>
        <v>د/ رنا هشام رزق</v>
      </c>
      <c r="D300" s="27" t="str">
        <f>IF($B300="","",IFERROR(INDEX('العقود'!$E:$E,MATCH($B300,'العقود'!$A:$A,0)),""))</f>
        <v>207</v>
      </c>
      <c r="E300" s="38" t="s">
        <v>892</v>
      </c>
      <c r="F300" s="39">
        <v>20000</v>
      </c>
      <c r="G300" s="33"/>
      <c r="H300" t="s">
        <v>620</v>
      </c>
      <c r="I300" t="s">
        <v>35</v>
      </c>
      <c r="J300" t="s">
        <v>35</v>
      </c>
      <c r="K300" t="s">
        <v>621</v>
      </c>
      <c r="L300" s="33">
        <v>46305</v>
      </c>
      <c r="M300" s="27" t="str">
        <f>IF($B300="","",IFERROR(INDEX('العقود'!$D:$D,MATCH($B300,'العقود'!$A:$A,0)),""))</f>
        <v>ابو بكر</v>
      </c>
    </row>
    <row r="301" spans="1:13" x14ac:dyDescent="0.25">
      <c r="A301" t="s">
        <v>924</v>
      </c>
      <c r="B301" t="s">
        <v>268</v>
      </c>
      <c r="C301" s="27" t="str">
        <f>IF($B301="","",IFERROR(INDEX('العقود'!$F:$F,MATCH($B301,'العقود'!$A:$A,0)),""))</f>
        <v>شركة النخبة للإنتاج الفني</v>
      </c>
      <c r="D301" s="27" t="str">
        <f>IF($B301="","",IFERROR(INDEX('العقود'!$E:$E,MATCH($B301,'العقود'!$A:$A,0)),""))</f>
        <v>208</v>
      </c>
      <c r="E301" s="38" t="s">
        <v>892</v>
      </c>
      <c r="F301" s="39">
        <v>21175</v>
      </c>
      <c r="G301" s="33"/>
      <c r="H301" t="s">
        <v>620</v>
      </c>
      <c r="I301" t="s">
        <v>35</v>
      </c>
      <c r="J301" t="s">
        <v>35</v>
      </c>
      <c r="K301" t="s">
        <v>621</v>
      </c>
      <c r="L301" s="33">
        <v>46305</v>
      </c>
      <c r="M301" s="27" t="str">
        <f>IF($B301="","",IFERROR(INDEX('العقود'!$D:$D,MATCH($B301,'العقود'!$A:$A,0)),""))</f>
        <v>ابو بكر</v>
      </c>
    </row>
    <row r="302" spans="1:13" x14ac:dyDescent="0.25">
      <c r="A302" t="s">
        <v>925</v>
      </c>
      <c r="B302" t="s">
        <v>273</v>
      </c>
      <c r="C302" s="27" t="str">
        <f>IF($B302="","",IFERROR(INDEX('العقود'!$F:$F,MATCH($B302,'العقود'!$A:$A,0)),""))</f>
        <v>أحمد طارق غانم</v>
      </c>
      <c r="D302" s="27" t="str">
        <f>IF($B302="","",IFERROR(INDEX('العقود'!$E:$E,MATCH($B302,'العقود'!$A:$A,0)),""))</f>
        <v>301</v>
      </c>
      <c r="E302" s="38" t="s">
        <v>892</v>
      </c>
      <c r="F302" s="39">
        <v>17000</v>
      </c>
      <c r="G302" s="33"/>
      <c r="H302" t="s">
        <v>620</v>
      </c>
      <c r="I302" t="s">
        <v>35</v>
      </c>
      <c r="J302" t="s">
        <v>35</v>
      </c>
      <c r="K302" t="s">
        <v>621</v>
      </c>
      <c r="L302" s="33">
        <v>46305</v>
      </c>
      <c r="M302" s="27" t="str">
        <f>IF($B302="","",IFERROR(INDEX('العقود'!$D:$D,MATCH($B302,'العقود'!$A:$A,0)),""))</f>
        <v>ابو بكر</v>
      </c>
    </row>
    <row r="303" spans="1:13" x14ac:dyDescent="0.25">
      <c r="A303" t="s">
        <v>926</v>
      </c>
      <c r="B303" t="s">
        <v>279</v>
      </c>
      <c r="C303" s="27" t="str">
        <f>IF($B303="","",IFERROR(INDEX('العقود'!$F:$F,MATCH($B303,'العقود'!$A:$A,0)),""))</f>
        <v>خالد شريف زكي</v>
      </c>
      <c r="D303" s="27" t="str">
        <f>IF($B303="","",IFERROR(INDEX('العقود'!$E:$E,MATCH($B303,'العقود'!$A:$A,0)),""))</f>
        <v>302</v>
      </c>
      <c r="E303" s="38" t="s">
        <v>892</v>
      </c>
      <c r="F303" s="39">
        <v>17000</v>
      </c>
      <c r="G303" s="33"/>
      <c r="H303" t="s">
        <v>620</v>
      </c>
      <c r="I303" t="s">
        <v>35</v>
      </c>
      <c r="J303" t="s">
        <v>35</v>
      </c>
      <c r="K303" t="s">
        <v>621</v>
      </c>
      <c r="L303" s="33">
        <v>46305</v>
      </c>
      <c r="M303" s="27" t="str">
        <f>IF($B303="","",IFERROR(INDEX('العقود'!$D:$D,MATCH($B303,'العقود'!$A:$A,0)),""))</f>
        <v>ابو بكر</v>
      </c>
    </row>
    <row r="304" spans="1:13" x14ac:dyDescent="0.25">
      <c r="A304" t="s">
        <v>927</v>
      </c>
      <c r="B304" t="s">
        <v>282</v>
      </c>
      <c r="C304" s="27" t="str">
        <f>IF($B304="","",IFERROR(INDEX('العقود'!$F:$F,MATCH($B304,'العقود'!$A:$A,0)),""))</f>
        <v>عادل عمر مكرم</v>
      </c>
      <c r="D304" s="27" t="str">
        <f>IF($B304="","",IFERROR(INDEX('العقود'!$E:$E,MATCH($B304,'العقود'!$A:$A,0)),""))</f>
        <v>303</v>
      </c>
      <c r="E304" s="38" t="s">
        <v>892</v>
      </c>
      <c r="F304" s="39">
        <v>19000</v>
      </c>
      <c r="G304" s="33"/>
      <c r="H304" t="s">
        <v>620</v>
      </c>
      <c r="I304" t="s">
        <v>35</v>
      </c>
      <c r="J304" t="s">
        <v>35</v>
      </c>
      <c r="K304" t="s">
        <v>621</v>
      </c>
      <c r="L304" s="33">
        <v>46305</v>
      </c>
      <c r="M304" s="27" t="str">
        <f>IF($B304="","",IFERROR(INDEX('العقود'!$D:$D,MATCH($B304,'العقود'!$A:$A,0)),""))</f>
        <v>ابو بكر</v>
      </c>
    </row>
    <row r="305" spans="1:13" x14ac:dyDescent="0.25">
      <c r="A305" t="s">
        <v>928</v>
      </c>
      <c r="B305" t="s">
        <v>298</v>
      </c>
      <c r="C305" s="27" t="str">
        <f>IF($B305="","",IFERROR(INDEX('العقود'!$F:$F,MATCH($B305,'العقود'!$A:$A,0)),""))</f>
        <v>شركة النور للخدمات الطبية</v>
      </c>
      <c r="D305" s="27" t="str">
        <f>IF($B305="","",IFERROR(INDEX('العقود'!$E:$E,MATCH($B305,'العقود'!$A:$A,0)),""))</f>
        <v>305</v>
      </c>
      <c r="E305" s="38" t="s">
        <v>892</v>
      </c>
      <c r="F305" s="39">
        <v>11500</v>
      </c>
      <c r="G305" s="33"/>
      <c r="H305" t="s">
        <v>620</v>
      </c>
      <c r="I305" t="s">
        <v>35</v>
      </c>
      <c r="J305" t="s">
        <v>35</v>
      </c>
      <c r="K305" t="s">
        <v>621</v>
      </c>
      <c r="L305" s="33">
        <v>46305</v>
      </c>
      <c r="M305" s="27" t="str">
        <f>IF($B305="","",IFERROR(INDEX('العقود'!$D:$D,MATCH($B305,'العقود'!$A:$A,0)),""))</f>
        <v>ابو بكر</v>
      </c>
    </row>
    <row r="306" spans="1:13" x14ac:dyDescent="0.25">
      <c r="A306" t="s">
        <v>929</v>
      </c>
      <c r="B306" t="s">
        <v>304</v>
      </c>
      <c r="C306" s="27" t="str">
        <f>IF($B306="","",IFERROR(INDEX('العقود'!$F:$F,MATCH($B306,'العقود'!$A:$A,0)),""))</f>
        <v>سامح إبراهيم منصور</v>
      </c>
      <c r="D306" s="27" t="str">
        <f>IF($B306="","",IFERROR(INDEX('العقود'!$E:$E,MATCH($B306,'العقود'!$A:$A,0)),""))</f>
        <v>306</v>
      </c>
      <c r="E306" s="38" t="s">
        <v>892</v>
      </c>
      <c r="F306" s="39">
        <v>11195</v>
      </c>
      <c r="G306" s="33"/>
      <c r="H306" t="s">
        <v>620</v>
      </c>
      <c r="I306" t="s">
        <v>35</v>
      </c>
      <c r="J306" t="s">
        <v>35</v>
      </c>
      <c r="K306" t="s">
        <v>621</v>
      </c>
      <c r="L306" s="33">
        <v>46305</v>
      </c>
      <c r="M306" s="27" t="str">
        <f>IF($B306="","",IFERROR(INDEX('العقود'!$D:$D,MATCH($B306,'العقود'!$A:$A,0)),""))</f>
        <v>ابو بكر</v>
      </c>
    </row>
    <row r="307" spans="1:13" x14ac:dyDescent="0.25">
      <c r="A307" t="s">
        <v>930</v>
      </c>
      <c r="B307" t="s">
        <v>311</v>
      </c>
      <c r="C307" s="27" t="str">
        <f>IF($B307="","",IFERROR(INDEX('العقود'!$F:$F,MATCH($B307,'العقود'!$A:$A,0)),""))</f>
        <v>د/ منى أمير الشريف</v>
      </c>
      <c r="D307" s="27" t="str">
        <f>IF($B307="","",IFERROR(INDEX('العقود'!$E:$E,MATCH($B307,'العقود'!$A:$A,0)),""))</f>
        <v>307</v>
      </c>
      <c r="E307" s="38" t="s">
        <v>892</v>
      </c>
      <c r="F307" s="39">
        <v>12100</v>
      </c>
      <c r="G307" s="33"/>
      <c r="H307" t="s">
        <v>620</v>
      </c>
      <c r="I307" t="s">
        <v>35</v>
      </c>
      <c r="J307" t="s">
        <v>35</v>
      </c>
      <c r="K307" t="s">
        <v>621</v>
      </c>
      <c r="L307" s="33">
        <v>46305</v>
      </c>
      <c r="M307" s="27" t="str">
        <f>IF($B307="","",IFERROR(INDEX('العقود'!$D:$D,MATCH($B307,'العقود'!$A:$A,0)),""))</f>
        <v>ابو بكر</v>
      </c>
    </row>
    <row r="308" spans="1:13" x14ac:dyDescent="0.25">
      <c r="A308" t="s">
        <v>931</v>
      </c>
      <c r="B308" t="s">
        <v>318</v>
      </c>
      <c r="C308" s="27" t="str">
        <f>IF($B308="","",IFERROR(INDEX('العقود'!$F:$F,MATCH($B308,'العقود'!$A:$A,0)),""))</f>
        <v>شركة الأمل للخدمات الطبية</v>
      </c>
      <c r="D308" s="27" t="str">
        <f>IF($B308="","",IFERROR(INDEX('العقود'!$E:$E,MATCH($B308,'العقود'!$A:$A,0)),""))</f>
        <v>401</v>
      </c>
      <c r="E308" s="38" t="s">
        <v>892</v>
      </c>
      <c r="F308" s="39">
        <v>11000</v>
      </c>
      <c r="G308" s="33"/>
      <c r="H308" t="s">
        <v>620</v>
      </c>
      <c r="I308" t="s">
        <v>35</v>
      </c>
      <c r="J308" t="s">
        <v>35</v>
      </c>
      <c r="K308" t="s">
        <v>621</v>
      </c>
      <c r="L308" s="33">
        <v>46305</v>
      </c>
      <c r="M308" s="27" t="str">
        <f>IF($B308="","",IFERROR(INDEX('العقود'!$D:$D,MATCH($B308,'العقود'!$A:$A,0)),""))</f>
        <v>ابو بكر</v>
      </c>
    </row>
    <row r="309" spans="1:13" x14ac:dyDescent="0.25">
      <c r="A309" t="s">
        <v>932</v>
      </c>
      <c r="B309" t="s">
        <v>325</v>
      </c>
      <c r="C309" s="27" t="str">
        <f>IF($B309="","",IFERROR(INDEX('العقود'!$F:$F,MATCH($B309,'العقود'!$A:$A,0)),""))</f>
        <v>شركة البركة للتدريب</v>
      </c>
      <c r="D309" s="27" t="str">
        <f>IF($B309="","",IFERROR(INDEX('العقود'!$E:$E,MATCH($B309,'العقود'!$A:$A,0)),""))</f>
        <v>403</v>
      </c>
      <c r="E309" s="38" t="s">
        <v>892</v>
      </c>
      <c r="F309" s="39">
        <v>16335</v>
      </c>
      <c r="G309" s="33"/>
      <c r="H309" t="s">
        <v>620</v>
      </c>
      <c r="I309" t="s">
        <v>35</v>
      </c>
      <c r="J309" t="s">
        <v>35</v>
      </c>
      <c r="K309" t="s">
        <v>621</v>
      </c>
      <c r="L309" s="33">
        <v>46305</v>
      </c>
      <c r="M309" s="27" t="str">
        <f>IF($B309="","",IFERROR(INDEX('العقود'!$D:$D,MATCH($B309,'العقود'!$A:$A,0)),""))</f>
        <v>ابو بكر</v>
      </c>
    </row>
    <row r="310" spans="1:13" x14ac:dyDescent="0.25">
      <c r="A310" t="s">
        <v>933</v>
      </c>
      <c r="B310" t="s">
        <v>330</v>
      </c>
      <c r="C310" s="27" t="str">
        <f>IF($B310="","",IFERROR(INDEX('العقود'!$F:$F,MATCH($B310,'العقود'!$A:$A,0)),""))</f>
        <v>آية محمود بدوي</v>
      </c>
      <c r="D310" s="27" t="str">
        <f>IF($B310="","",IFERROR(INDEX('العقود'!$E:$E,MATCH($B310,'العقود'!$A:$A,0)),""))</f>
        <v>404</v>
      </c>
      <c r="E310" s="38" t="s">
        <v>892</v>
      </c>
      <c r="F310" s="39">
        <v>12000</v>
      </c>
      <c r="G310" s="33"/>
      <c r="H310" t="s">
        <v>620</v>
      </c>
      <c r="I310" t="s">
        <v>35</v>
      </c>
      <c r="J310" t="s">
        <v>35</v>
      </c>
      <c r="K310" t="s">
        <v>621</v>
      </c>
      <c r="L310" s="33">
        <v>46305</v>
      </c>
      <c r="M310" s="27" t="str">
        <f>IF($B310="","",IFERROR(INDEX('العقود'!$D:$D,MATCH($B310,'العقود'!$A:$A,0)),""))</f>
        <v>ابو بكر</v>
      </c>
    </row>
    <row r="311" spans="1:13" x14ac:dyDescent="0.25">
      <c r="A311" t="s">
        <v>934</v>
      </c>
      <c r="B311" t="s">
        <v>341</v>
      </c>
      <c r="C311" s="27" t="str">
        <f>IF($B311="","",IFERROR(INDEX('العقود'!$F:$F,MATCH($B311,'العقود'!$A:$A,0)),""))</f>
        <v>شركة الأصيل للإنتاج الفني</v>
      </c>
      <c r="D311" s="27" t="str">
        <f>IF($B311="","",IFERROR(INDEX('العقود'!$E:$E,MATCH($B311,'العقود'!$A:$A,0)),""))</f>
        <v>405</v>
      </c>
      <c r="E311" s="38" t="s">
        <v>892</v>
      </c>
      <c r="F311" s="39">
        <v>14000</v>
      </c>
      <c r="G311" s="33"/>
      <c r="H311" t="s">
        <v>620</v>
      </c>
      <c r="I311" t="s">
        <v>35</v>
      </c>
      <c r="J311" t="s">
        <v>35</v>
      </c>
      <c r="K311" t="s">
        <v>621</v>
      </c>
      <c r="L311" s="33">
        <v>46305</v>
      </c>
      <c r="M311" s="27" t="str">
        <f>IF($B311="","",IFERROR(INDEX('العقود'!$D:$D,MATCH($B311,'العقود'!$A:$A,0)),""))</f>
        <v>ابو بكر</v>
      </c>
    </row>
    <row r="312" spans="1:13" x14ac:dyDescent="0.25">
      <c r="A312" t="s">
        <v>935</v>
      </c>
      <c r="B312" t="s">
        <v>346</v>
      </c>
      <c r="C312" s="27" t="str">
        <f>IF($B312="","",IFERROR(INDEX('العقود'!$F:$F,MATCH($B312,'العقود'!$A:$A,0)),""))</f>
        <v>شركة البركة للاستشارات الهندسية</v>
      </c>
      <c r="D312" s="27" t="str">
        <f>IF($B312="","",IFERROR(INDEX('العقود'!$E:$E,MATCH($B312,'العقود'!$A:$A,0)),""))</f>
        <v>406</v>
      </c>
      <c r="E312" s="38" t="s">
        <v>892</v>
      </c>
      <c r="F312" s="39">
        <v>16035</v>
      </c>
      <c r="G312" s="33"/>
      <c r="H312" t="s">
        <v>620</v>
      </c>
      <c r="I312" t="s">
        <v>35</v>
      </c>
      <c r="J312" t="s">
        <v>35</v>
      </c>
      <c r="K312" t="s">
        <v>621</v>
      </c>
      <c r="L312" s="33">
        <v>46305</v>
      </c>
      <c r="M312" s="27" t="str">
        <f>IF($B312="","",IFERROR(INDEX('العقود'!$D:$D,MATCH($B312,'العقود'!$A:$A,0)),""))</f>
        <v>ابو بكر</v>
      </c>
    </row>
    <row r="313" spans="1:13" x14ac:dyDescent="0.25">
      <c r="A313" t="s">
        <v>936</v>
      </c>
      <c r="B313" t="s">
        <v>353</v>
      </c>
      <c r="C313" s="27" t="str">
        <f>IF($B313="","",IFERROR(INDEX('العقود'!$F:$F,MATCH($B313,'العقود'!$A:$A,0)),""))</f>
        <v>شركة الهرم لتكنولوجيا المعلومات</v>
      </c>
      <c r="D313" s="27" t="str">
        <f>IF($B313="","",IFERROR(INDEX('العقود'!$E:$E,MATCH($B313,'العقود'!$A:$A,0)),""))</f>
        <v>407</v>
      </c>
      <c r="E313" s="38" t="s">
        <v>892</v>
      </c>
      <c r="F313" s="39">
        <v>16500</v>
      </c>
      <c r="G313" s="33"/>
      <c r="H313" t="s">
        <v>620</v>
      </c>
      <c r="I313" t="s">
        <v>35</v>
      </c>
      <c r="J313" t="s">
        <v>35</v>
      </c>
      <c r="K313" t="s">
        <v>621</v>
      </c>
      <c r="L313" s="33">
        <v>46305</v>
      </c>
      <c r="M313" s="27" t="str">
        <f>IF($B313="","",IFERROR(INDEX('العقود'!$D:$D,MATCH($B313,'العقود'!$A:$A,0)),""))</f>
        <v>ابو بكر</v>
      </c>
    </row>
    <row r="314" spans="1:13" x14ac:dyDescent="0.25">
      <c r="A314" t="s">
        <v>937</v>
      </c>
      <c r="B314" t="s">
        <v>359</v>
      </c>
      <c r="C314" s="27" t="str">
        <f>IF($B314="","",IFERROR(INDEX('العقود'!$F:$F,MATCH($B314,'العقود'!$A:$A,0)),""))</f>
        <v>مصطفى وليد الجندي</v>
      </c>
      <c r="D314" s="27" t="str">
        <f>IF($B314="","",IFERROR(INDEX('العقود'!$E:$E,MATCH($B314,'العقود'!$A:$A,0)),""))</f>
        <v>408</v>
      </c>
      <c r="E314" s="38" t="s">
        <v>892</v>
      </c>
      <c r="F314" s="39">
        <v>18500</v>
      </c>
      <c r="G314" s="33"/>
      <c r="H314" t="s">
        <v>620</v>
      </c>
      <c r="I314" t="s">
        <v>35</v>
      </c>
      <c r="J314" t="s">
        <v>35</v>
      </c>
      <c r="K314" t="s">
        <v>621</v>
      </c>
      <c r="L314" s="33">
        <v>46305</v>
      </c>
      <c r="M314" s="27" t="str">
        <f>IF($B314="","",IFERROR(INDEX('العقود'!$D:$D,MATCH($B314,'العقود'!$A:$A,0)),""))</f>
        <v>ابو بكر</v>
      </c>
    </row>
    <row r="315" spans="1:13" x14ac:dyDescent="0.25">
      <c r="A315" t="s">
        <v>938</v>
      </c>
      <c r="B315" t="s">
        <v>366</v>
      </c>
      <c r="C315" s="27" t="str">
        <f>IF($B315="","",IFERROR(INDEX('العقود'!$F:$F,MATCH($B315,'العقود'!$A:$A,0)),""))</f>
        <v>شركة الياسمين للتسويق</v>
      </c>
      <c r="D315" s="27" t="str">
        <f>IF($B315="","",IFERROR(INDEX('العقود'!$E:$E,MATCH($B315,'العقود'!$A:$A,0)),""))</f>
        <v>501</v>
      </c>
      <c r="E315" s="38" t="s">
        <v>892</v>
      </c>
      <c r="F315" s="39">
        <v>15000</v>
      </c>
      <c r="G315" s="33"/>
      <c r="H315" t="s">
        <v>620</v>
      </c>
      <c r="I315" t="s">
        <v>35</v>
      </c>
      <c r="J315" t="s">
        <v>35</v>
      </c>
      <c r="K315" t="s">
        <v>621</v>
      </c>
      <c r="L315" s="33">
        <v>46305</v>
      </c>
      <c r="M315" s="27" t="str">
        <f>IF($B315="","",IFERROR(INDEX('العقود'!$D:$D,MATCH($B315,'العقود'!$A:$A,0)),""))</f>
        <v>ابو بكر</v>
      </c>
    </row>
    <row r="316" spans="1:13" x14ac:dyDescent="0.25">
      <c r="A316" t="s">
        <v>939</v>
      </c>
      <c r="B316" t="s">
        <v>369</v>
      </c>
      <c r="C316" s="27" t="str">
        <f>IF($B316="","",IFERROR(INDEX('العقود'!$F:$F,MATCH($B316,'العقود'!$A:$A,0)),""))</f>
        <v>شركة الياسمين للتسويق</v>
      </c>
      <c r="D316" s="27" t="str">
        <f>IF($B316="","",IFERROR(INDEX('العقود'!$E:$E,MATCH($B316,'العقود'!$A:$A,0)),""))</f>
        <v>502</v>
      </c>
      <c r="E316" s="38" t="s">
        <v>892</v>
      </c>
      <c r="F316" s="39">
        <v>15000</v>
      </c>
      <c r="G316" s="33"/>
      <c r="H316" t="s">
        <v>620</v>
      </c>
      <c r="I316" t="s">
        <v>35</v>
      </c>
      <c r="J316" t="s">
        <v>35</v>
      </c>
      <c r="K316" t="s">
        <v>621</v>
      </c>
      <c r="L316" s="33">
        <v>46305</v>
      </c>
      <c r="M316" s="27" t="str">
        <f>IF($B316="","",IFERROR(INDEX('العقود'!$D:$D,MATCH($B316,'العقود'!$A:$A,0)),""))</f>
        <v>ابو بكر</v>
      </c>
    </row>
    <row r="317" spans="1:13" x14ac:dyDescent="0.25">
      <c r="A317" t="s">
        <v>940</v>
      </c>
      <c r="B317" t="s">
        <v>374</v>
      </c>
      <c r="C317" s="27" t="str">
        <f>IF($B317="","",IFERROR(INDEX('العقود'!$F:$F,MATCH($B317,'العقود'!$A:$A,0)),""))</f>
        <v>إبراهيم أحمد البنا</v>
      </c>
      <c r="D317" s="27" t="str">
        <f>IF($B317="","",IFERROR(INDEX('العقود'!$E:$E,MATCH($B317,'العقود'!$A:$A,0)),""))</f>
        <v>503</v>
      </c>
      <c r="E317" s="38" t="s">
        <v>892</v>
      </c>
      <c r="F317" s="39">
        <v>11195</v>
      </c>
      <c r="G317" s="33"/>
      <c r="H317" t="s">
        <v>620</v>
      </c>
      <c r="I317" t="s">
        <v>35</v>
      </c>
      <c r="J317" t="s">
        <v>35</v>
      </c>
      <c r="K317" t="s">
        <v>621</v>
      </c>
      <c r="L317" s="33">
        <v>46305</v>
      </c>
      <c r="M317" s="27" t="str">
        <f>IF($B317="","",IFERROR(INDEX('العقود'!$D:$D,MATCH($B317,'العقود'!$A:$A,0)),""))</f>
        <v>ابو بكر</v>
      </c>
    </row>
    <row r="318" spans="1:13" x14ac:dyDescent="0.25">
      <c r="A318" t="s">
        <v>941</v>
      </c>
      <c r="B318" t="s">
        <v>380</v>
      </c>
      <c r="C318" s="27" t="str">
        <f>IF($B318="","",IFERROR(INDEX('العقود'!$F:$F,MATCH($B318,'العقود'!$A:$A,0)),""))</f>
        <v>شركة المستقبل للخدمات الطبية</v>
      </c>
      <c r="D318" s="27" t="str">
        <f>IF($B318="","",IFERROR(INDEX('العقود'!$E:$E,MATCH($B318,'العقود'!$A:$A,0)),""))</f>
        <v>504</v>
      </c>
      <c r="E318" s="38" t="s">
        <v>892</v>
      </c>
      <c r="F318" s="39">
        <v>10000</v>
      </c>
      <c r="G318" s="33"/>
      <c r="H318" t="s">
        <v>620</v>
      </c>
      <c r="I318" t="s">
        <v>35</v>
      </c>
      <c r="J318" t="s">
        <v>35</v>
      </c>
      <c r="K318" t="s">
        <v>621</v>
      </c>
      <c r="L318" s="33">
        <v>46305</v>
      </c>
      <c r="M318" s="27" t="str">
        <f>IF($B318="","",IFERROR(INDEX('العقود'!$D:$D,MATCH($B318,'العقود'!$A:$A,0)),""))</f>
        <v>ابو بكر</v>
      </c>
    </row>
    <row r="319" spans="1:13" x14ac:dyDescent="0.25">
      <c r="A319" t="s">
        <v>942</v>
      </c>
      <c r="B319" t="s">
        <v>384</v>
      </c>
      <c r="C319" s="27" t="str">
        <f>IF($B319="","",IFERROR(INDEX('العقود'!$F:$F,MATCH($B319,'العقود'!$A:$A,0)),""))</f>
        <v>حسين أمير بدوي</v>
      </c>
      <c r="D319" s="27" t="str">
        <f>IF($B319="","",IFERROR(INDEX('العقود'!$E:$E,MATCH($B319,'العقود'!$A:$A,0)),""))</f>
        <v>505</v>
      </c>
      <c r="E319" s="38" t="s">
        <v>892</v>
      </c>
      <c r="F319" s="39">
        <v>11000</v>
      </c>
      <c r="G319" s="33"/>
      <c r="H319" t="s">
        <v>620</v>
      </c>
      <c r="I319" t="s">
        <v>35</v>
      </c>
      <c r="J319" t="s">
        <v>35</v>
      </c>
      <c r="K319" t="s">
        <v>621</v>
      </c>
      <c r="L319" s="33">
        <v>46305</v>
      </c>
      <c r="M319" s="27" t="str">
        <f>IF($B319="","",IFERROR(INDEX('العقود'!$D:$D,MATCH($B319,'العقود'!$A:$A,0)),""))</f>
        <v>ابو بكر</v>
      </c>
    </row>
    <row r="320" spans="1:13" x14ac:dyDescent="0.25">
      <c r="A320" t="s">
        <v>943</v>
      </c>
      <c r="B320" t="s">
        <v>391</v>
      </c>
      <c r="C320" s="27" t="str">
        <f>IF($B320="","",IFERROR(INDEX('العقود'!$F:$F,MATCH($B320,'العقود'!$A:$A,0)),""))</f>
        <v>د/ آية هشام رشاد</v>
      </c>
      <c r="D320" s="27" t="str">
        <f>IF($B320="","",IFERROR(INDEX('العقود'!$E:$E,MATCH($B320,'العقود'!$A:$A,0)),""))</f>
        <v>506</v>
      </c>
      <c r="E320" s="38" t="s">
        <v>892</v>
      </c>
      <c r="F320" s="39">
        <v>17000</v>
      </c>
      <c r="G320" s="33"/>
      <c r="H320" t="s">
        <v>620</v>
      </c>
      <c r="I320" t="s">
        <v>35</v>
      </c>
      <c r="J320" t="s">
        <v>35</v>
      </c>
      <c r="K320" t="s">
        <v>621</v>
      </c>
      <c r="L320" s="33">
        <v>46305</v>
      </c>
      <c r="M320" s="27" t="str">
        <f>IF($B320="","",IFERROR(INDEX('العقود'!$D:$D,MATCH($B320,'العقود'!$A:$A,0)),""))</f>
        <v>ابو بكر</v>
      </c>
    </row>
    <row r="321" spans="1:13" x14ac:dyDescent="0.25">
      <c r="A321" t="s">
        <v>944</v>
      </c>
      <c r="B321" t="s">
        <v>407</v>
      </c>
      <c r="C321" s="27" t="str">
        <f>IF($B321="","",IFERROR(INDEX('العقود'!$F:$F,MATCH($B321,'العقود'!$A:$A,0)),""))</f>
        <v>شركة الوادي للتنمية</v>
      </c>
      <c r="D321" s="27" t="str">
        <f>IF($B321="","",IFERROR(INDEX('العقود'!$E:$E,MATCH($B321,'العقود'!$A:$A,0)),""))</f>
        <v>601</v>
      </c>
      <c r="E321" s="38" t="s">
        <v>892</v>
      </c>
      <c r="F321" s="39">
        <v>9680</v>
      </c>
      <c r="G321" s="33"/>
      <c r="H321" t="s">
        <v>620</v>
      </c>
      <c r="I321" t="s">
        <v>35</v>
      </c>
      <c r="J321" t="s">
        <v>35</v>
      </c>
      <c r="K321" t="s">
        <v>621</v>
      </c>
      <c r="L321" s="33">
        <v>46305</v>
      </c>
      <c r="M321" s="27" t="str">
        <f>IF($B321="","",IFERROR(INDEX('العقود'!$D:$D,MATCH($B321,'العقود'!$A:$A,0)),""))</f>
        <v>ابو بكر</v>
      </c>
    </row>
    <row r="322" spans="1:13" x14ac:dyDescent="0.25">
      <c r="A322" t="s">
        <v>945</v>
      </c>
      <c r="B322" t="s">
        <v>415</v>
      </c>
      <c r="C322" s="27" t="str">
        <f>IF($B322="","",IFERROR(INDEX('العقود'!$F:$F,MATCH($B322,'العقود'!$A:$A,0)),""))</f>
        <v>شركة الوفاء للاستشارات الهندسية</v>
      </c>
      <c r="D322" s="27" t="str">
        <f>IF($B322="","",IFERROR(INDEX('العقود'!$E:$E,MATCH($B322,'العقود'!$A:$A,0)),""))</f>
        <v>602</v>
      </c>
      <c r="E322" s="38" t="s">
        <v>892</v>
      </c>
      <c r="F322" s="39">
        <v>19000</v>
      </c>
      <c r="G322" s="33"/>
      <c r="H322" t="s">
        <v>620</v>
      </c>
      <c r="I322" t="s">
        <v>35</v>
      </c>
      <c r="J322" t="s">
        <v>35</v>
      </c>
      <c r="K322" t="s">
        <v>621</v>
      </c>
      <c r="L322" s="33">
        <v>46305</v>
      </c>
      <c r="M322" s="27" t="str">
        <f>IF($B322="","",IFERROR(INDEX('العقود'!$D:$D,MATCH($B322,'العقود'!$A:$A,0)),""))</f>
        <v>ابو بكر</v>
      </c>
    </row>
    <row r="323" spans="1:13" x14ac:dyDescent="0.25">
      <c r="A323" t="s">
        <v>946</v>
      </c>
      <c r="B323" t="s">
        <v>421</v>
      </c>
      <c r="C323" s="27" t="str">
        <f>IF($B323="","",IFERROR(INDEX('العقود'!$F:$F,MATCH($B323,'العقود'!$A:$A,0)),""))</f>
        <v>عادل باسم حسنين</v>
      </c>
      <c r="D323" s="27" t="str">
        <f>IF($B323="","",IFERROR(INDEX('العقود'!$E:$E,MATCH($B323,'العقود'!$A:$A,0)),""))</f>
        <v>603</v>
      </c>
      <c r="E323" s="38" t="s">
        <v>892</v>
      </c>
      <c r="F323" s="39">
        <v>11495</v>
      </c>
      <c r="G323" s="33"/>
      <c r="H323" t="s">
        <v>620</v>
      </c>
      <c r="I323" t="s">
        <v>35</v>
      </c>
      <c r="J323" t="s">
        <v>35</v>
      </c>
      <c r="K323" t="s">
        <v>621</v>
      </c>
      <c r="L323" s="33">
        <v>46305</v>
      </c>
      <c r="M323" s="27" t="str">
        <f>IF($B323="","",IFERROR(INDEX('العقود'!$D:$D,MATCH($B323,'العقود'!$A:$A,0)),""))</f>
        <v>ابو بكر</v>
      </c>
    </row>
    <row r="324" spans="1:13" x14ac:dyDescent="0.25">
      <c r="A324" t="s">
        <v>947</v>
      </c>
      <c r="B324" t="s">
        <v>427</v>
      </c>
      <c r="C324" s="27" t="str">
        <f>IF($B324="","",IFERROR(INDEX('العقود'!$F:$F,MATCH($B324,'العقود'!$A:$A,0)),""))</f>
        <v>ندى وليد حسنين</v>
      </c>
      <c r="D324" s="27" t="str">
        <f>IF($B324="","",IFERROR(INDEX('العقود'!$E:$E,MATCH($B324,'العقود'!$A:$A,0)),""))</f>
        <v>604</v>
      </c>
      <c r="E324" s="38" t="s">
        <v>892</v>
      </c>
      <c r="F324" s="39">
        <v>11000</v>
      </c>
      <c r="G324" s="33"/>
      <c r="H324" t="s">
        <v>620</v>
      </c>
      <c r="I324" t="s">
        <v>35</v>
      </c>
      <c r="J324" t="s">
        <v>35</v>
      </c>
      <c r="K324" t="s">
        <v>621</v>
      </c>
      <c r="L324" s="33">
        <v>46305</v>
      </c>
      <c r="M324" s="27" t="str">
        <f>IF($B324="","",IFERROR(INDEX('العقود'!$D:$D,MATCH($B324,'العقود'!$A:$A,0)),""))</f>
        <v>ابو بكر</v>
      </c>
    </row>
    <row r="325" spans="1:13" x14ac:dyDescent="0.25">
      <c r="A325" t="s">
        <v>948</v>
      </c>
      <c r="B325" t="s">
        <v>433</v>
      </c>
      <c r="C325" s="27" t="str">
        <f>IF($B325="","",IFERROR(INDEX('العقود'!$F:$F,MATCH($B325,'العقود'!$A:$A,0)),""))</f>
        <v>شريف هاني فهمي</v>
      </c>
      <c r="D325" s="27" t="str">
        <f>IF($B325="","",IFERROR(INDEX('العقود'!$E:$E,MATCH($B325,'العقود'!$A:$A,0)),""))</f>
        <v>605</v>
      </c>
      <c r="E325" s="38" t="s">
        <v>892</v>
      </c>
      <c r="F325" s="39">
        <v>8775</v>
      </c>
      <c r="G325" s="33"/>
      <c r="H325" t="s">
        <v>620</v>
      </c>
      <c r="I325" t="s">
        <v>35</v>
      </c>
      <c r="J325" t="s">
        <v>35</v>
      </c>
      <c r="K325" t="s">
        <v>621</v>
      </c>
      <c r="L325" s="33">
        <v>46305</v>
      </c>
      <c r="M325" s="27" t="str">
        <f>IF($B325="","",IFERROR(INDEX('العقود'!$D:$D,MATCH($B325,'العقود'!$A:$A,0)),""))</f>
        <v>ابو بكر</v>
      </c>
    </row>
    <row r="326" spans="1:13" x14ac:dyDescent="0.25">
      <c r="A326" t="s">
        <v>949</v>
      </c>
      <c r="B326" t="s">
        <v>443</v>
      </c>
      <c r="C326" s="27" t="str">
        <f>IF($B326="","",IFERROR(INDEX('العقود'!$F:$F,MATCH($B326,'العقود'!$A:$A,0)),""))</f>
        <v>شركة الياسمين للاستشارات الهندسية</v>
      </c>
      <c r="D326" s="27" t="str">
        <f>IF($B326="","",IFERROR(INDEX('العقود'!$E:$E,MATCH($B326,'العقود'!$A:$A,0)),""))</f>
        <v>606</v>
      </c>
      <c r="E326" s="38" t="s">
        <v>892</v>
      </c>
      <c r="F326" s="39">
        <v>15000</v>
      </c>
      <c r="G326" s="33"/>
      <c r="H326" t="s">
        <v>620</v>
      </c>
      <c r="I326" t="s">
        <v>35</v>
      </c>
      <c r="J326" t="s">
        <v>35</v>
      </c>
      <c r="K326" t="s">
        <v>621</v>
      </c>
      <c r="L326" s="33">
        <v>46305</v>
      </c>
      <c r="M326" s="27" t="str">
        <f>IF($B326="","",IFERROR(INDEX('العقود'!$D:$D,MATCH($B326,'العقود'!$A:$A,0)),""))</f>
        <v>ابو بكر</v>
      </c>
    </row>
    <row r="327" spans="1:13" x14ac:dyDescent="0.25">
      <c r="A327" t="s">
        <v>950</v>
      </c>
      <c r="B327" t="s">
        <v>459</v>
      </c>
      <c r="C327" s="27" t="str">
        <f>IF($B327="","",IFERROR(INDEX('العقود'!$F:$F,MATCH($B327,'العقود'!$A:$A,0)),""))</f>
        <v>شركة السلام للتسويق</v>
      </c>
      <c r="D327" s="27" t="str">
        <f>IF($B327="","",IFERROR(INDEX('العقود'!$E:$E,MATCH($B327,'العقود'!$A:$A,0)),""))</f>
        <v>608</v>
      </c>
      <c r="E327" s="38" t="s">
        <v>892</v>
      </c>
      <c r="F327" s="39">
        <v>13000</v>
      </c>
      <c r="G327" s="33"/>
      <c r="H327" t="s">
        <v>620</v>
      </c>
      <c r="I327" t="s">
        <v>35</v>
      </c>
      <c r="J327" t="s">
        <v>35</v>
      </c>
      <c r="K327" t="s">
        <v>621</v>
      </c>
      <c r="L327" s="33">
        <v>46305</v>
      </c>
      <c r="M327" s="27" t="str">
        <f>IF($B327="","",IFERROR(INDEX('العقود'!$D:$D,MATCH($B327,'العقود'!$A:$A,0)),""))</f>
        <v>ابو بكر</v>
      </c>
    </row>
    <row r="328" spans="1:13" x14ac:dyDescent="0.25">
      <c r="A328" t="s">
        <v>951</v>
      </c>
      <c r="B328" t="s">
        <v>467</v>
      </c>
      <c r="C328" s="27" t="str">
        <f>IF($B328="","",IFERROR(INDEX('العقود'!$F:$F,MATCH($B328,'العقود'!$A:$A,0)),""))</f>
        <v>شركة المستقبل للتنمية</v>
      </c>
      <c r="D328" s="27" t="str">
        <f>IF($B328="","",IFERROR(INDEX('العقود'!$E:$E,MATCH($B328,'العقود'!$A:$A,0)),""))</f>
        <v>701</v>
      </c>
      <c r="E328" s="38" t="s">
        <v>892</v>
      </c>
      <c r="F328" s="39">
        <v>17000</v>
      </c>
      <c r="G328" s="33"/>
      <c r="H328" t="s">
        <v>620</v>
      </c>
      <c r="I328" t="s">
        <v>35</v>
      </c>
      <c r="J328" t="s">
        <v>35</v>
      </c>
      <c r="K328" t="s">
        <v>621</v>
      </c>
      <c r="L328" s="33">
        <v>46305</v>
      </c>
      <c r="M328" s="27" t="str">
        <f>IF($B328="","",IFERROR(INDEX('العقود'!$D:$D,MATCH($B328,'العقود'!$A:$A,0)),""))</f>
        <v>ابو بكر</v>
      </c>
    </row>
    <row r="329" spans="1:13" x14ac:dyDescent="0.25">
      <c r="A329" t="s">
        <v>952</v>
      </c>
      <c r="B329" t="s">
        <v>481</v>
      </c>
      <c r="C329" s="27" t="str">
        <f>IF($B329="","",IFERROR(INDEX('العقود'!$F:$F,MATCH($B329,'العقود'!$A:$A,0)),""))</f>
        <v>شركة البركة للتسويق</v>
      </c>
      <c r="D329" s="27" t="str">
        <f>IF($B329="","",IFERROR(INDEX('العقود'!$E:$E,MATCH($B329,'العقود'!$A:$A,0)),""))</f>
        <v>704</v>
      </c>
      <c r="E329" s="38" t="s">
        <v>892</v>
      </c>
      <c r="F329" s="39">
        <v>11000</v>
      </c>
      <c r="G329" s="33"/>
      <c r="H329" t="s">
        <v>620</v>
      </c>
      <c r="I329" t="s">
        <v>35</v>
      </c>
      <c r="J329" t="s">
        <v>35</v>
      </c>
      <c r="K329" t="s">
        <v>621</v>
      </c>
      <c r="L329" s="33">
        <v>46305</v>
      </c>
      <c r="M329" s="27" t="str">
        <f>IF($B329="","",IFERROR(INDEX('العقود'!$D:$D,MATCH($B329,'العقود'!$A:$A,0)),""))</f>
        <v>ابو بكر</v>
      </c>
    </row>
    <row r="330" spans="1:13" x14ac:dyDescent="0.25">
      <c r="A330" t="s">
        <v>953</v>
      </c>
      <c r="B330" t="s">
        <v>487</v>
      </c>
      <c r="C330" s="27" t="str">
        <f>IF($B330="","",IFERROR(INDEX('العقود'!$F:$F,MATCH($B330,'العقود'!$A:$A,0)),""))</f>
        <v>عمر مروان غانم</v>
      </c>
      <c r="D330" s="27" t="str">
        <f>IF($B330="","",IFERROR(INDEX('العقود'!$E:$E,MATCH($B330,'العقود'!$A:$A,0)),""))</f>
        <v>705</v>
      </c>
      <c r="E330" s="38" t="s">
        <v>892</v>
      </c>
      <c r="F330" s="39">
        <v>11000</v>
      </c>
      <c r="G330" s="33"/>
      <c r="H330" t="s">
        <v>620</v>
      </c>
      <c r="I330" t="s">
        <v>35</v>
      </c>
      <c r="J330" t="s">
        <v>35</v>
      </c>
      <c r="K330" t="s">
        <v>621</v>
      </c>
      <c r="L330" s="33">
        <v>46305</v>
      </c>
      <c r="M330" s="27" t="str">
        <f>IF($B330="","",IFERROR(INDEX('العقود'!$D:$D,MATCH($B330,'العقود'!$A:$A,0)),""))</f>
        <v>ابو بكر</v>
      </c>
    </row>
    <row r="331" spans="1:13" x14ac:dyDescent="0.25">
      <c r="A331" t="s">
        <v>954</v>
      </c>
      <c r="B331" t="s">
        <v>495</v>
      </c>
      <c r="C331" s="27" t="str">
        <f>IF($B331="","",IFERROR(INDEX('العقود'!$F:$F,MATCH($B331,'العقود'!$A:$A,0)),""))</f>
        <v>شركة الأمل للتسويق</v>
      </c>
      <c r="D331" s="27" t="str">
        <f>IF($B331="","",IFERROR(INDEX('العقود'!$E:$E,MATCH($B331,'العقود'!$A:$A,0)),""))</f>
        <v>706</v>
      </c>
      <c r="E331" s="38" t="s">
        <v>892</v>
      </c>
      <c r="F331" s="39">
        <v>10890</v>
      </c>
      <c r="G331" s="33"/>
      <c r="H331" t="s">
        <v>620</v>
      </c>
      <c r="I331" t="s">
        <v>35</v>
      </c>
      <c r="J331" t="s">
        <v>35</v>
      </c>
      <c r="K331" t="s">
        <v>621</v>
      </c>
      <c r="L331" s="33">
        <v>46305</v>
      </c>
      <c r="M331" s="27" t="str">
        <f>IF($B331="","",IFERROR(INDEX('العقود'!$D:$D,MATCH($B331,'العقود'!$A:$A,0)),""))</f>
        <v>ابو بكر</v>
      </c>
    </row>
    <row r="332" spans="1:13" x14ac:dyDescent="0.25">
      <c r="A332" t="s">
        <v>955</v>
      </c>
      <c r="B332" t="s">
        <v>502</v>
      </c>
      <c r="C332" s="27" t="str">
        <f>IF($B332="","",IFERROR(INDEX('العقود'!$F:$F,MATCH($B332,'العقود'!$A:$A,0)),""))</f>
        <v>شركة الأفق للخدمات الطبية</v>
      </c>
      <c r="D332" s="27" t="str">
        <f>IF($B332="","",IFERROR(INDEX('العقود'!$E:$E,MATCH($B332,'العقود'!$A:$A,0)),""))</f>
        <v>707</v>
      </c>
      <c r="E332" s="38" t="s">
        <v>892</v>
      </c>
      <c r="F332" s="39">
        <v>13000</v>
      </c>
      <c r="G332" s="33"/>
      <c r="H332" t="s">
        <v>620</v>
      </c>
      <c r="I332" t="s">
        <v>35</v>
      </c>
      <c r="J332" t="s">
        <v>35</v>
      </c>
      <c r="K332" t="s">
        <v>621</v>
      </c>
      <c r="L332" s="33">
        <v>46305</v>
      </c>
      <c r="M332" s="27" t="str">
        <f>IF($B332="","",IFERROR(INDEX('العقود'!$D:$D,MATCH($B332,'العقود'!$A:$A,0)),""))</f>
        <v>ابو بكر</v>
      </c>
    </row>
    <row r="333" spans="1:13" x14ac:dyDescent="0.25">
      <c r="A333" t="s">
        <v>956</v>
      </c>
      <c r="B333" t="s">
        <v>506</v>
      </c>
      <c r="C333" s="27" t="str">
        <f>IF($B333="","",IFERROR(INDEX('العقود'!$F:$F,MATCH($B333,'العقود'!$A:$A,0)),""))</f>
        <v>شركة الأفق للخدمات الطبية</v>
      </c>
      <c r="D333" s="27" t="str">
        <f>IF($B333="","",IFERROR(INDEX('العقود'!$E:$E,MATCH($B333,'العقود'!$A:$A,0)),""))</f>
        <v>708</v>
      </c>
      <c r="E333" s="38" t="s">
        <v>892</v>
      </c>
      <c r="F333" s="39">
        <v>13000</v>
      </c>
      <c r="G333" s="33"/>
      <c r="H333" t="s">
        <v>620</v>
      </c>
      <c r="I333" t="s">
        <v>35</v>
      </c>
      <c r="J333" t="s">
        <v>35</v>
      </c>
      <c r="K333" t="s">
        <v>621</v>
      </c>
      <c r="L333" s="33">
        <v>46305</v>
      </c>
      <c r="M333" s="27" t="str">
        <f>IF($B333="","",IFERROR(INDEX('العقود'!$D:$D,MATCH($B333,'العقود'!$A:$A,0)),""))</f>
        <v>ابو بكر</v>
      </c>
    </row>
    <row r="334" spans="1:13" x14ac:dyDescent="0.25">
      <c r="A334" t="s">
        <v>957</v>
      </c>
      <c r="B334" t="s">
        <v>52</v>
      </c>
      <c r="C334" s="27" t="str">
        <f>IF($B334="","",IFERROR(INDEX('العقود'!$F:$F,MATCH($B334,'العقود'!$A:$A,0)),""))</f>
        <v>شركة الأفق لتكنولوجيا المعلومات</v>
      </c>
      <c r="D334" s="27" t="str">
        <f>IF($B334="","",IFERROR(INDEX('العقود'!$E:$E,MATCH($B334,'العقود'!$A:$A,0)),""))</f>
        <v>ميزان 1/2</v>
      </c>
      <c r="E334" s="38" t="s">
        <v>958</v>
      </c>
      <c r="F334" s="39">
        <v>49610</v>
      </c>
      <c r="G334" s="33"/>
      <c r="H334" t="s">
        <v>620</v>
      </c>
      <c r="I334" t="s">
        <v>35</v>
      </c>
      <c r="J334" t="s">
        <v>35</v>
      </c>
      <c r="K334" t="s">
        <v>621</v>
      </c>
      <c r="L334" s="33">
        <v>46305</v>
      </c>
      <c r="M334" s="27" t="str">
        <f>IF($B334="","",IFERROR(INDEX('العقود'!$D:$D,MATCH($B334,'العقود'!$A:$A,0)),""))</f>
        <v>بابل</v>
      </c>
    </row>
    <row r="335" spans="1:13" x14ac:dyDescent="0.25">
      <c r="A335" t="s">
        <v>959</v>
      </c>
      <c r="B335" t="s">
        <v>63</v>
      </c>
      <c r="C335" s="27" t="str">
        <f>IF($B335="","",IFERROR(INDEX('العقود'!$F:$F,MATCH($B335,'العقود'!$A:$A,0)),""))</f>
        <v>شركة الأفق لتكنولوجيا المعلومات</v>
      </c>
      <c r="D335" s="27" t="str">
        <f>IF($B335="","",IFERROR(INDEX('العقود'!$E:$E,MATCH($B335,'العقود'!$A:$A,0)),""))</f>
        <v>الدور الثاني</v>
      </c>
      <c r="E335" s="38" t="s">
        <v>958</v>
      </c>
      <c r="F335" s="39">
        <v>91960</v>
      </c>
      <c r="G335" s="33"/>
      <c r="H335" t="s">
        <v>620</v>
      </c>
      <c r="I335" t="s">
        <v>35</v>
      </c>
      <c r="J335" t="s">
        <v>35</v>
      </c>
      <c r="K335" t="s">
        <v>621</v>
      </c>
      <c r="L335" s="33">
        <v>46305</v>
      </c>
      <c r="M335" s="27" t="str">
        <f>IF($B335="","",IFERROR(INDEX('العقود'!$D:$D,MATCH($B335,'العقود'!$A:$A,0)),""))</f>
        <v>بابل</v>
      </c>
    </row>
    <row r="336" spans="1:13" x14ac:dyDescent="0.25">
      <c r="A336" t="s">
        <v>960</v>
      </c>
      <c r="B336" t="s">
        <v>70</v>
      </c>
      <c r="C336" s="27" t="str">
        <f>IF($B336="","",IFERROR(INDEX('العقود'!$F:$F,MATCH($B336,'العقود'!$A:$A,0)),""))</f>
        <v>شركة الأمل للاستشارات الهندسية</v>
      </c>
      <c r="D336" s="27" t="str">
        <f>IF($B336="","",IFERROR(INDEX('العقود'!$E:$E,MATCH($B336,'العقود'!$A:$A,0)),""))</f>
        <v>مكتب 42</v>
      </c>
      <c r="E336" s="38" t="s">
        <v>958</v>
      </c>
      <c r="F336" s="39">
        <v>30250</v>
      </c>
      <c r="G336" s="33"/>
      <c r="H336" t="s">
        <v>620</v>
      </c>
      <c r="I336" t="s">
        <v>35</v>
      </c>
      <c r="J336" t="s">
        <v>35</v>
      </c>
      <c r="K336" t="s">
        <v>621</v>
      </c>
      <c r="L336" s="33">
        <v>46305</v>
      </c>
      <c r="M336" s="27" t="str">
        <f>IF($B336="","",IFERROR(INDEX('العقود'!$D:$D,MATCH($B336,'العقود'!$A:$A,0)),""))</f>
        <v>بابل</v>
      </c>
    </row>
    <row r="337" spans="1:13" x14ac:dyDescent="0.25">
      <c r="A337" t="s">
        <v>961</v>
      </c>
      <c r="B337" t="s">
        <v>86</v>
      </c>
      <c r="C337" s="27" t="str">
        <f>IF($B337="","",IFERROR(INDEX('العقود'!$F:$F,MATCH($B337,'العقود'!$A:$A,0)),""))</f>
        <v>شركة المستقبل للتدريب</v>
      </c>
      <c r="D337" s="27" t="str">
        <f>IF($B337="","",IFERROR(INDEX('العقود'!$E:$E,MATCH($B337,'العقود'!$A:$A,0)),""))</f>
        <v>ميزان 1</v>
      </c>
      <c r="E337" s="38" t="s">
        <v>958</v>
      </c>
      <c r="F337" s="39">
        <v>42350</v>
      </c>
      <c r="G337" s="33"/>
      <c r="H337" t="s">
        <v>620</v>
      </c>
      <c r="I337" t="s">
        <v>35</v>
      </c>
      <c r="J337" t="s">
        <v>35</v>
      </c>
      <c r="K337" t="s">
        <v>621</v>
      </c>
      <c r="L337" s="33">
        <v>46305</v>
      </c>
      <c r="M337" s="27" t="str">
        <f>IF($B337="","",IFERROR(INDEX('العقود'!$D:$D,MATCH($B337,'العقود'!$A:$A,0)),""))</f>
        <v>محيي الدين</v>
      </c>
    </row>
    <row r="338" spans="1:13" x14ac:dyDescent="0.25">
      <c r="A338" t="s">
        <v>962</v>
      </c>
      <c r="B338" t="s">
        <v>95</v>
      </c>
      <c r="C338" s="27" t="str">
        <f>IF($B338="","",IFERROR(INDEX('العقود'!$F:$F,MATCH($B338,'العقود'!$A:$A,0)),""))</f>
        <v>شركة الياسمين للتجارة</v>
      </c>
      <c r="D338" s="27" t="str">
        <f>IF($B338="","",IFERROR(INDEX('العقود'!$E:$E,MATCH($B338,'العقود'!$A:$A,0)),""))</f>
        <v>ميزان 2</v>
      </c>
      <c r="E338" s="38" t="s">
        <v>958</v>
      </c>
      <c r="F338" s="39">
        <v>25410</v>
      </c>
      <c r="G338" s="33"/>
      <c r="H338" t="s">
        <v>620</v>
      </c>
      <c r="I338" t="s">
        <v>35</v>
      </c>
      <c r="J338" t="s">
        <v>35</v>
      </c>
      <c r="K338" t="s">
        <v>621</v>
      </c>
      <c r="L338" s="33">
        <v>46305</v>
      </c>
      <c r="M338" s="27" t="str">
        <f>IF($B338="","",IFERROR(INDEX('العقود'!$D:$D,MATCH($B338,'العقود'!$A:$A,0)),""))</f>
        <v>محيي الدين</v>
      </c>
    </row>
    <row r="339" spans="1:13" x14ac:dyDescent="0.25">
      <c r="A339" t="s">
        <v>963</v>
      </c>
      <c r="B339" t="s">
        <v>103</v>
      </c>
      <c r="C339" s="27" t="str">
        <f>IF($B339="","",IFERROR(INDEX('العقود'!$F:$F,MATCH($B339,'العقود'!$A:$A,0)),""))</f>
        <v>شركة الأفق للاستيراد والتصدير</v>
      </c>
      <c r="D339" s="27" t="str">
        <f>IF($B339="","",IFERROR(INDEX('العقود'!$E:$E,MATCH($B339,'العقود'!$A:$A,0)),""))</f>
        <v>202</v>
      </c>
      <c r="E339" s="38" t="s">
        <v>958</v>
      </c>
      <c r="F339" s="39">
        <v>46585</v>
      </c>
      <c r="G339" s="33"/>
      <c r="H339" t="s">
        <v>620</v>
      </c>
      <c r="I339" t="s">
        <v>35</v>
      </c>
      <c r="J339" t="s">
        <v>35</v>
      </c>
      <c r="K339" t="s">
        <v>621</v>
      </c>
      <c r="L339" s="33">
        <v>46305</v>
      </c>
      <c r="M339" s="27" t="str">
        <f>IF($B339="","",IFERROR(INDEX('العقود'!$D:$D,MATCH($B339,'العقود'!$A:$A,0)),""))</f>
        <v>محيي الدين</v>
      </c>
    </row>
    <row r="340" spans="1:13" x14ac:dyDescent="0.25">
      <c r="A340" t="s">
        <v>964</v>
      </c>
      <c r="B340" t="s">
        <v>113</v>
      </c>
      <c r="C340" s="27" t="str">
        <f>IF($B340="","",IFERROR(INDEX('العقود'!$F:$F,MATCH($B340,'العقود'!$A:$A,0)),""))</f>
        <v>شريف هشام فوزي</v>
      </c>
      <c r="D340" s="27" t="str">
        <f>IF($B340="","",IFERROR(INDEX('العقود'!$E:$E,MATCH($B340,'العقود'!$A:$A,0)),""))</f>
        <v>301</v>
      </c>
      <c r="E340" s="38" t="s">
        <v>958</v>
      </c>
      <c r="F340" s="39">
        <v>37000</v>
      </c>
      <c r="G340" s="33"/>
      <c r="H340" t="s">
        <v>620</v>
      </c>
      <c r="I340" t="s">
        <v>35</v>
      </c>
      <c r="J340" t="s">
        <v>35</v>
      </c>
      <c r="K340" t="s">
        <v>621</v>
      </c>
      <c r="L340" s="33">
        <v>46305</v>
      </c>
      <c r="M340" s="27" t="str">
        <f>IF($B340="","",IFERROR(INDEX('العقود'!$D:$D,MATCH($B340,'العقود'!$A:$A,0)),""))</f>
        <v>محيي الدين</v>
      </c>
    </row>
    <row r="341" spans="1:13" x14ac:dyDescent="0.25">
      <c r="A341" t="s">
        <v>965</v>
      </c>
      <c r="B341" t="s">
        <v>120</v>
      </c>
      <c r="C341" s="27" t="str">
        <f>IF($B341="","",IFERROR(INDEX('العقود'!$F:$F,MATCH($B341,'العقود'!$A:$A,0)),""))</f>
        <v>د/ باسم أمير سليم</v>
      </c>
      <c r="D341" s="27" t="str">
        <f>IF($B341="","",IFERROR(INDEX('العقود'!$E:$E,MATCH($B341,'العقود'!$A:$A,0)),""))</f>
        <v>302</v>
      </c>
      <c r="E341" s="38" t="s">
        <v>958</v>
      </c>
      <c r="F341" s="39">
        <v>38500</v>
      </c>
      <c r="G341" s="33"/>
      <c r="H341" t="s">
        <v>620</v>
      </c>
      <c r="I341" t="s">
        <v>35</v>
      </c>
      <c r="J341" t="s">
        <v>35</v>
      </c>
      <c r="K341" t="s">
        <v>621</v>
      </c>
      <c r="L341" s="33">
        <v>46305</v>
      </c>
      <c r="M341" s="27" t="str">
        <f>IF($B341="","",IFERROR(INDEX('العقود'!$D:$D,MATCH($B341,'العقود'!$A:$A,0)),""))</f>
        <v>محيي الدين</v>
      </c>
    </row>
    <row r="342" spans="1:13" x14ac:dyDescent="0.25">
      <c r="A342" t="s">
        <v>966</v>
      </c>
      <c r="B342" t="s">
        <v>126</v>
      </c>
      <c r="C342" s="27" t="str">
        <f>IF($B342="","",IFERROR(INDEX('العقود'!$F:$F,MATCH($B342,'العقود'!$A:$A,0)),""))</f>
        <v>شركة الصفوة للإنتاج الفني</v>
      </c>
      <c r="D342" s="27" t="str">
        <f>IF($B342="","",IFERROR(INDEX('العقود'!$E:$E,MATCH($B342,'العقود'!$A:$A,0)),""))</f>
        <v>303</v>
      </c>
      <c r="E342" s="38" t="s">
        <v>958</v>
      </c>
      <c r="F342" s="39">
        <v>43000</v>
      </c>
      <c r="G342" s="33"/>
      <c r="H342" t="s">
        <v>620</v>
      </c>
      <c r="I342" t="s">
        <v>35</v>
      </c>
      <c r="J342" t="s">
        <v>35</v>
      </c>
      <c r="K342" t="s">
        <v>621</v>
      </c>
      <c r="L342" s="33">
        <v>46305</v>
      </c>
      <c r="M342" s="27" t="str">
        <f>IF($B342="","",IFERROR(INDEX('العقود'!$D:$D,MATCH($B342,'العقود'!$A:$A,0)),""))</f>
        <v>محيي الدين</v>
      </c>
    </row>
    <row r="343" spans="1:13" x14ac:dyDescent="0.25">
      <c r="A343" t="s">
        <v>967</v>
      </c>
      <c r="B343" t="s">
        <v>130</v>
      </c>
      <c r="C343" s="27" t="str">
        <f>IF($B343="","",IFERROR(INDEX('العقود'!$F:$F,MATCH($B343,'العقود'!$A:$A,0)),""))</f>
        <v>شركة الصفوة للإنتاج الفني</v>
      </c>
      <c r="D343" s="27" t="str">
        <f>IF($B343="","",IFERROR(INDEX('العقود'!$E:$E,MATCH($B343,'العقود'!$A:$A,0)),""))</f>
        <v>304</v>
      </c>
      <c r="E343" s="38" t="s">
        <v>958</v>
      </c>
      <c r="F343" s="39">
        <v>25300</v>
      </c>
      <c r="G343" s="33"/>
      <c r="H343" t="s">
        <v>620</v>
      </c>
      <c r="I343" t="s">
        <v>35</v>
      </c>
      <c r="J343" t="s">
        <v>35</v>
      </c>
      <c r="K343" t="s">
        <v>621</v>
      </c>
      <c r="L343" s="33">
        <v>46305</v>
      </c>
      <c r="M343" s="27" t="str">
        <f>IF($B343="","",IFERROR(INDEX('العقود'!$D:$D,MATCH($B343,'العقود'!$A:$A,0)),""))</f>
        <v>محيي الدين</v>
      </c>
    </row>
    <row r="344" spans="1:13" x14ac:dyDescent="0.25">
      <c r="A344" t="s">
        <v>968</v>
      </c>
      <c r="B344" t="s">
        <v>136</v>
      </c>
      <c r="C344" s="27" t="str">
        <f>IF($B344="","",IFERROR(INDEX('العقود'!$F:$F,MATCH($B344,'العقود'!$A:$A,0)),""))</f>
        <v>د/ يوسف حسن مكرم</v>
      </c>
      <c r="D344" s="27" t="str">
        <f>IF($B344="","",IFERROR(INDEX('العقود'!$E:$E,MATCH($B344,'العقود'!$A:$A,0)),""))</f>
        <v>401</v>
      </c>
      <c r="E344" s="38" t="s">
        <v>958</v>
      </c>
      <c r="F344" s="39">
        <v>37665</v>
      </c>
      <c r="G344" s="33"/>
      <c r="H344" t="s">
        <v>620</v>
      </c>
      <c r="I344" t="s">
        <v>35</v>
      </c>
      <c r="J344" t="s">
        <v>35</v>
      </c>
      <c r="K344" t="s">
        <v>621</v>
      </c>
      <c r="L344" s="33">
        <v>46305</v>
      </c>
      <c r="M344" s="27" t="str">
        <f>IF($B344="","",IFERROR(INDEX('العقود'!$D:$D,MATCH($B344,'العقود'!$A:$A,0)),""))</f>
        <v>محيي الدين</v>
      </c>
    </row>
    <row r="345" spans="1:13" x14ac:dyDescent="0.25">
      <c r="A345" t="s">
        <v>969</v>
      </c>
      <c r="B345" t="s">
        <v>143</v>
      </c>
      <c r="C345" s="27" t="str">
        <f>IF($B345="","",IFERROR(INDEX('العقود'!$F:$F,MATCH($B345,'العقود'!$A:$A,0)),""))</f>
        <v>د/ فادي سعيد منصور</v>
      </c>
      <c r="D345" s="27" t="str">
        <f>IF($B345="","",IFERROR(INDEX('العقود'!$E:$E,MATCH($B345,'العقود'!$A:$A,0)),""))</f>
        <v>404</v>
      </c>
      <c r="E345" s="38" t="s">
        <v>958</v>
      </c>
      <c r="F345" s="39">
        <v>30250</v>
      </c>
      <c r="G345" s="33"/>
      <c r="H345" t="s">
        <v>620</v>
      </c>
      <c r="I345" t="s">
        <v>35</v>
      </c>
      <c r="J345" t="s">
        <v>35</v>
      </c>
      <c r="K345" t="s">
        <v>621</v>
      </c>
      <c r="L345" s="33">
        <v>46305</v>
      </c>
      <c r="M345" s="27" t="str">
        <f>IF($B345="","",IFERROR(INDEX('العقود'!$D:$D,MATCH($B345,'العقود'!$A:$A,0)),""))</f>
        <v>محيي الدين</v>
      </c>
    </row>
    <row r="346" spans="1:13" x14ac:dyDescent="0.25">
      <c r="A346" t="s">
        <v>970</v>
      </c>
      <c r="B346" t="s">
        <v>149</v>
      </c>
      <c r="C346" s="27" t="str">
        <f>IF($B346="","",IFERROR(INDEX('العقود'!$F:$F,MATCH($B346,'العقود'!$A:$A,0)),""))</f>
        <v>د/ رضوى خالد عبد الرحمن</v>
      </c>
      <c r="D346" s="27" t="str">
        <f>IF($B346="","",IFERROR(INDEX('العقود'!$E:$E,MATCH($B346,'العقود'!$A:$A,0)),""))</f>
        <v>502</v>
      </c>
      <c r="E346" s="38" t="s">
        <v>958</v>
      </c>
      <c r="F346" s="39">
        <v>19060</v>
      </c>
      <c r="G346" s="33"/>
      <c r="H346" t="s">
        <v>620</v>
      </c>
      <c r="I346" t="s">
        <v>35</v>
      </c>
      <c r="J346" t="s">
        <v>35</v>
      </c>
      <c r="K346" t="s">
        <v>621</v>
      </c>
      <c r="L346" s="33">
        <v>46305</v>
      </c>
      <c r="M346" s="27" t="str">
        <f>IF($B346="","",IFERROR(INDEX('العقود'!$D:$D,MATCH($B346,'العقود'!$A:$A,0)),""))</f>
        <v>محيي الدين</v>
      </c>
    </row>
    <row r="347" spans="1:13" x14ac:dyDescent="0.25">
      <c r="A347" t="s">
        <v>971</v>
      </c>
      <c r="B347" t="s">
        <v>156</v>
      </c>
      <c r="C347" s="27" t="str">
        <f>IF($B347="","",IFERROR(INDEX('العقود'!$F:$F,MATCH($B347,'العقود'!$A:$A,0)),""))</f>
        <v>د/ آية أيمن بدوي</v>
      </c>
      <c r="D347" s="27" t="str">
        <f>IF($B347="","",IFERROR(INDEX('العقود'!$E:$E,MATCH($B347,'العقود'!$A:$A,0)),""))</f>
        <v>503</v>
      </c>
      <c r="E347" s="38" t="s">
        <v>958</v>
      </c>
      <c r="F347" s="39">
        <v>20570</v>
      </c>
      <c r="G347" s="33"/>
      <c r="H347" t="s">
        <v>620</v>
      </c>
      <c r="I347" t="s">
        <v>35</v>
      </c>
      <c r="J347" t="s">
        <v>35</v>
      </c>
      <c r="K347" t="s">
        <v>621</v>
      </c>
      <c r="L347" s="33">
        <v>46305</v>
      </c>
      <c r="M347" s="27" t="str">
        <f>IF($B347="","",IFERROR(INDEX('العقود'!$D:$D,MATCH($B347,'العقود'!$A:$A,0)),""))</f>
        <v>محيي الدين</v>
      </c>
    </row>
    <row r="348" spans="1:13" x14ac:dyDescent="0.25">
      <c r="A348" t="s">
        <v>972</v>
      </c>
      <c r="B348" t="s">
        <v>162</v>
      </c>
      <c r="C348" s="27" t="str">
        <f>IF($B348="","",IFERROR(INDEX('العقود'!$F:$F,MATCH($B348,'العقود'!$A:$A,0)),""))</f>
        <v>محمد سعيد عبد الرحمن</v>
      </c>
      <c r="D348" s="27" t="str">
        <f>IF($B348="","",IFERROR(INDEX('العقود'!$E:$E,MATCH($B348,'العقود'!$A:$A,0)),""))</f>
        <v>504</v>
      </c>
      <c r="E348" s="38" t="s">
        <v>958</v>
      </c>
      <c r="F348" s="39">
        <v>25410</v>
      </c>
      <c r="G348" s="33"/>
      <c r="H348" t="s">
        <v>620</v>
      </c>
      <c r="I348" t="s">
        <v>35</v>
      </c>
      <c r="J348" t="s">
        <v>35</v>
      </c>
      <c r="K348" t="s">
        <v>621</v>
      </c>
      <c r="L348" s="33">
        <v>46305</v>
      </c>
      <c r="M348" s="27" t="str">
        <f>IF($B348="","",IFERROR(INDEX('العقود'!$D:$D,MATCH($B348,'العقود'!$A:$A,0)),""))</f>
        <v>محيي الدين</v>
      </c>
    </row>
    <row r="349" spans="1:13" x14ac:dyDescent="0.25">
      <c r="A349" t="s">
        <v>973</v>
      </c>
      <c r="B349" t="s">
        <v>171</v>
      </c>
      <c r="C349" s="27" t="str">
        <f>IF($B349="","",IFERROR(INDEX('العقود'!$F:$F,MATCH($B349,'العقود'!$A:$A,0)),""))</f>
        <v>شركة الأمل للإنتاج الفني</v>
      </c>
      <c r="D349" s="27" t="str">
        <f>IF($B349="","",IFERROR(INDEX('العقود'!$E:$E,MATCH($B349,'العقود'!$A:$A,0)),""))</f>
        <v>ميزان 1</v>
      </c>
      <c r="E349" s="38" t="s">
        <v>958</v>
      </c>
      <c r="F349" s="39">
        <v>40700</v>
      </c>
      <c r="G349" s="33"/>
      <c r="H349" t="s">
        <v>620</v>
      </c>
      <c r="I349" t="s">
        <v>35</v>
      </c>
      <c r="J349" t="s">
        <v>35</v>
      </c>
      <c r="K349" t="s">
        <v>621</v>
      </c>
      <c r="L349" s="33">
        <v>46305</v>
      </c>
      <c r="M349" s="27" t="str">
        <f>IF($B349="","",IFERROR(INDEX('العقود'!$D:$D,MATCH($B349,'العقود'!$A:$A,0)),""))</f>
        <v>ابو بكر</v>
      </c>
    </row>
    <row r="350" spans="1:13" x14ac:dyDescent="0.25">
      <c r="A350" t="s">
        <v>974</v>
      </c>
      <c r="B350" t="s">
        <v>177</v>
      </c>
      <c r="C350" s="27" t="str">
        <f>IF($B350="","",IFERROR(INDEX('العقود'!$F:$F,MATCH($B350,'العقود'!$A:$A,0)),""))</f>
        <v>شركة النور للاستشارات الهندسية</v>
      </c>
      <c r="D350" s="27" t="str">
        <f>IF($B350="","",IFERROR(INDEX('العقود'!$E:$E,MATCH($B350,'العقود'!$A:$A,0)),""))</f>
        <v>ميزان 2</v>
      </c>
      <c r="E350" s="38" t="s">
        <v>958</v>
      </c>
      <c r="F350" s="39">
        <v>40700</v>
      </c>
      <c r="G350" s="33"/>
      <c r="H350" t="s">
        <v>620</v>
      </c>
      <c r="I350" t="s">
        <v>35</v>
      </c>
      <c r="J350" t="s">
        <v>35</v>
      </c>
      <c r="K350" t="s">
        <v>621</v>
      </c>
      <c r="L350" s="33">
        <v>46305</v>
      </c>
      <c r="M350" s="27" t="str">
        <f>IF($B350="","",IFERROR(INDEX('العقود'!$D:$D,MATCH($B350,'العقود'!$A:$A,0)),""))</f>
        <v>ابو بكر</v>
      </c>
    </row>
    <row r="351" spans="1:13" x14ac:dyDescent="0.25">
      <c r="A351" t="s">
        <v>975</v>
      </c>
      <c r="B351" t="s">
        <v>183</v>
      </c>
      <c r="C351" s="27" t="str">
        <f>IF($B351="","",IFERROR(INDEX('العقود'!$F:$F,MATCH($B351,'العقود'!$A:$A,0)),""))</f>
        <v>عادل عمر مكرم</v>
      </c>
      <c r="D351" s="27" t="str">
        <f>IF($B351="","",IFERROR(INDEX('العقود'!$E:$E,MATCH($B351,'العقود'!$A:$A,0)),""))</f>
        <v>102</v>
      </c>
      <c r="E351" s="38" t="s">
        <v>958</v>
      </c>
      <c r="F351" s="39">
        <v>17500</v>
      </c>
      <c r="G351" s="33"/>
      <c r="H351" t="s">
        <v>620</v>
      </c>
      <c r="I351" t="s">
        <v>35</v>
      </c>
      <c r="J351" t="s">
        <v>35</v>
      </c>
      <c r="K351" t="s">
        <v>621</v>
      </c>
      <c r="L351" s="33">
        <v>46305</v>
      </c>
      <c r="M351" s="27" t="str">
        <f>IF($B351="","",IFERROR(INDEX('العقود'!$D:$D,MATCH($B351,'العقود'!$A:$A,0)),""))</f>
        <v>ابو بكر</v>
      </c>
    </row>
    <row r="352" spans="1:13" x14ac:dyDescent="0.25">
      <c r="A352" t="s">
        <v>976</v>
      </c>
      <c r="B352" t="s">
        <v>190</v>
      </c>
      <c r="C352" s="27" t="str">
        <f>IF($B352="","",IFERROR(INDEX('العقود'!$F:$F,MATCH($B352,'العقود'!$A:$A,0)),""))</f>
        <v>تامر علي بدوي</v>
      </c>
      <c r="D352" s="27" t="str">
        <f>IF($B352="","",IFERROR(INDEX('العقود'!$E:$E,MATCH($B352,'العقود'!$A:$A,0)),""))</f>
        <v>103</v>
      </c>
      <c r="E352" s="38" t="s">
        <v>958</v>
      </c>
      <c r="F352" s="39">
        <v>7000</v>
      </c>
      <c r="G352" s="33"/>
      <c r="H352" t="s">
        <v>620</v>
      </c>
      <c r="I352" t="s">
        <v>35</v>
      </c>
      <c r="J352" t="s">
        <v>35</v>
      </c>
      <c r="K352" t="s">
        <v>621</v>
      </c>
      <c r="L352" s="33">
        <v>46305</v>
      </c>
      <c r="M352" s="27" t="str">
        <f>IF($B352="","",IFERROR(INDEX('العقود'!$D:$D,MATCH($B352,'العقود'!$A:$A,0)),""))</f>
        <v>ابو بكر</v>
      </c>
    </row>
    <row r="353" spans="1:13" x14ac:dyDescent="0.25">
      <c r="A353" t="s">
        <v>977</v>
      </c>
      <c r="B353" t="s">
        <v>196</v>
      </c>
      <c r="C353" s="27" t="str">
        <f>IF($B353="","",IFERROR(INDEX('العقود'!$F:$F,MATCH($B353,'العقود'!$A:$A,0)),""))</f>
        <v>مروان محمود حسنين</v>
      </c>
      <c r="D353" s="27" t="str">
        <f>IF($B353="","",IFERROR(INDEX('العقود'!$E:$E,MATCH($B353,'العقود'!$A:$A,0)),""))</f>
        <v>104</v>
      </c>
      <c r="E353" s="38" t="s">
        <v>958</v>
      </c>
      <c r="F353" s="39">
        <v>13000</v>
      </c>
      <c r="G353" s="33"/>
      <c r="H353" t="s">
        <v>620</v>
      </c>
      <c r="I353" t="s">
        <v>35</v>
      </c>
      <c r="J353" t="s">
        <v>35</v>
      </c>
      <c r="K353" t="s">
        <v>621</v>
      </c>
      <c r="L353" s="33">
        <v>46305</v>
      </c>
      <c r="M353" s="27" t="str">
        <f>IF($B353="","",IFERROR(INDEX('العقود'!$D:$D,MATCH($B353,'العقود'!$A:$A,0)),""))</f>
        <v>ابو بكر</v>
      </c>
    </row>
    <row r="354" spans="1:13" x14ac:dyDescent="0.25">
      <c r="A354" t="s">
        <v>978</v>
      </c>
      <c r="B354" t="s">
        <v>201</v>
      </c>
      <c r="C354" s="27" t="str">
        <f>IF($B354="","",IFERROR(INDEX('العقود'!$F:$F,MATCH($B354,'العقود'!$A:$A,0)),""))</f>
        <v>عادل عمر مكرم</v>
      </c>
      <c r="D354" s="27" t="str">
        <f>IF($B354="","",IFERROR(INDEX('العقود'!$E:$E,MATCH($B354,'العقود'!$A:$A,0)),""))</f>
        <v>105</v>
      </c>
      <c r="E354" s="38" t="s">
        <v>958</v>
      </c>
      <c r="F354" s="39">
        <v>13500</v>
      </c>
      <c r="G354" s="33"/>
      <c r="H354" t="s">
        <v>620</v>
      </c>
      <c r="I354" t="s">
        <v>35</v>
      </c>
      <c r="J354" t="s">
        <v>35</v>
      </c>
      <c r="K354" t="s">
        <v>621</v>
      </c>
      <c r="L354" s="33">
        <v>46305</v>
      </c>
      <c r="M354" s="27" t="str">
        <f>IF($B354="","",IFERROR(INDEX('العقود'!$D:$D,MATCH($B354,'العقود'!$A:$A,0)),""))</f>
        <v>ابو بكر</v>
      </c>
    </row>
    <row r="355" spans="1:13" x14ac:dyDescent="0.25">
      <c r="A355" t="s">
        <v>979</v>
      </c>
      <c r="B355" t="s">
        <v>207</v>
      </c>
      <c r="C355" s="27" t="str">
        <f>IF($B355="","",IFERROR(INDEX('العقود'!$F:$F,MATCH($B355,'العقود'!$A:$A,0)),""))</f>
        <v>حسين أمير بدوي</v>
      </c>
      <c r="D355" s="27" t="str">
        <f>IF($B355="","",IFERROR(INDEX('العقود'!$E:$E,MATCH($B355,'العقود'!$A:$A,0)),""))</f>
        <v>106</v>
      </c>
      <c r="E355" s="38" t="s">
        <v>958</v>
      </c>
      <c r="F355" s="39">
        <v>7000</v>
      </c>
      <c r="G355" s="33"/>
      <c r="H355" t="s">
        <v>620</v>
      </c>
      <c r="I355" t="s">
        <v>35</v>
      </c>
      <c r="J355" t="s">
        <v>35</v>
      </c>
      <c r="K355" t="s">
        <v>621</v>
      </c>
      <c r="L355" s="33">
        <v>46305</v>
      </c>
      <c r="M355" s="27" t="str">
        <f>IF($B355="","",IFERROR(INDEX('العقود'!$D:$D,MATCH($B355,'العقود'!$A:$A,0)),""))</f>
        <v>ابو بكر</v>
      </c>
    </row>
    <row r="356" spans="1:13" x14ac:dyDescent="0.25">
      <c r="A356" t="s">
        <v>980</v>
      </c>
      <c r="B356" t="s">
        <v>211</v>
      </c>
      <c r="C356" s="27" t="str">
        <f>IF($B356="","",IFERROR(INDEX('العقود'!$F:$F,MATCH($B356,'العقود'!$A:$A,0)),""))</f>
        <v>حسين أمير بدوي</v>
      </c>
      <c r="D356" s="27" t="str">
        <f>IF($B356="","",IFERROR(INDEX('العقود'!$E:$E,MATCH($B356,'العقود'!$A:$A,0)),""))</f>
        <v>107</v>
      </c>
      <c r="E356" s="38" t="s">
        <v>958</v>
      </c>
      <c r="F356" s="39">
        <v>8000</v>
      </c>
      <c r="G356" s="33"/>
      <c r="H356" t="s">
        <v>620</v>
      </c>
      <c r="I356" t="s">
        <v>35</v>
      </c>
      <c r="J356" t="s">
        <v>35</v>
      </c>
      <c r="K356" t="s">
        <v>621</v>
      </c>
      <c r="L356" s="33">
        <v>46305</v>
      </c>
      <c r="M356" s="27" t="str">
        <f>IF($B356="","",IFERROR(INDEX('العقود'!$D:$D,MATCH($B356,'العقود'!$A:$A,0)),""))</f>
        <v>ابو بكر</v>
      </c>
    </row>
    <row r="357" spans="1:13" x14ac:dyDescent="0.25">
      <c r="A357" t="s">
        <v>981</v>
      </c>
      <c r="B357" t="s">
        <v>215</v>
      </c>
      <c r="C357" s="27" t="str">
        <f>IF($B357="","",IFERROR(INDEX('العقود'!$F:$F,MATCH($B357,'العقود'!$A:$A,0)),""))</f>
        <v>حسين أمير بدوي</v>
      </c>
      <c r="D357" s="27" t="str">
        <f>IF($B357="","",IFERROR(INDEX('العقود'!$E:$E,MATCH($B357,'العقود'!$A:$A,0)),""))</f>
        <v>108</v>
      </c>
      <c r="E357" s="38" t="s">
        <v>958</v>
      </c>
      <c r="F357" s="39">
        <v>8000</v>
      </c>
      <c r="G357" s="33"/>
      <c r="H357" t="s">
        <v>620</v>
      </c>
      <c r="I357" t="s">
        <v>35</v>
      </c>
      <c r="J357" t="s">
        <v>35</v>
      </c>
      <c r="K357" t="s">
        <v>621</v>
      </c>
      <c r="L357" s="33">
        <v>46305</v>
      </c>
      <c r="M357" s="27" t="str">
        <f>IF($B357="","",IFERROR(INDEX('العقود'!$D:$D,MATCH($B357,'العقود'!$A:$A,0)),""))</f>
        <v>ابو بكر</v>
      </c>
    </row>
    <row r="358" spans="1:13" x14ac:dyDescent="0.25">
      <c r="A358" t="s">
        <v>982</v>
      </c>
      <c r="B358" t="s">
        <v>228</v>
      </c>
      <c r="C358" s="27" t="str">
        <f>IF($B358="","",IFERROR(INDEX('العقود'!$F:$F,MATCH($B358,'العقود'!$A:$A,0)),""))</f>
        <v>د/ نادر شريف شاكر</v>
      </c>
      <c r="D358" s="27" t="str">
        <f>IF($B358="","",IFERROR(INDEX('العقود'!$E:$E,MATCH($B358,'العقود'!$A:$A,0)),""))</f>
        <v>202</v>
      </c>
      <c r="E358" s="38" t="s">
        <v>958</v>
      </c>
      <c r="F358" s="39">
        <v>16500</v>
      </c>
      <c r="G358" s="33"/>
      <c r="H358" t="s">
        <v>620</v>
      </c>
      <c r="I358" t="s">
        <v>35</v>
      </c>
      <c r="J358" t="s">
        <v>35</v>
      </c>
      <c r="K358" t="s">
        <v>621</v>
      </c>
      <c r="L358" s="33">
        <v>46305</v>
      </c>
      <c r="M358" s="27" t="str">
        <f>IF($B358="","",IFERROR(INDEX('العقود'!$D:$D,MATCH($B358,'العقود'!$A:$A,0)),""))</f>
        <v>ابو بكر</v>
      </c>
    </row>
    <row r="359" spans="1:13" x14ac:dyDescent="0.25">
      <c r="A359" t="s">
        <v>983</v>
      </c>
      <c r="B359" t="s">
        <v>235</v>
      </c>
      <c r="C359" s="27" t="str">
        <f>IF($B359="","",IFERROR(INDEX('العقود'!$F:$F,MATCH($B359,'العقود'!$A:$A,0)),""))</f>
        <v>د/ يوسف خالد الخولي</v>
      </c>
      <c r="D359" s="27" t="str">
        <f>IF($B359="","",IFERROR(INDEX('العقود'!$E:$E,MATCH($B359,'العقود'!$A:$A,0)),""))</f>
        <v>204</v>
      </c>
      <c r="E359" s="38" t="s">
        <v>958</v>
      </c>
      <c r="F359" s="39">
        <v>12500</v>
      </c>
      <c r="G359" s="33"/>
      <c r="H359" t="s">
        <v>620</v>
      </c>
      <c r="I359" t="s">
        <v>35</v>
      </c>
      <c r="J359" t="s">
        <v>35</v>
      </c>
      <c r="K359" t="s">
        <v>621</v>
      </c>
      <c r="L359" s="33">
        <v>46305</v>
      </c>
      <c r="M359" s="27" t="str">
        <f>IF($B359="","",IFERROR(INDEX('العقود'!$D:$D,MATCH($B359,'العقود'!$A:$A,0)),""))</f>
        <v>ابو بكر</v>
      </c>
    </row>
    <row r="360" spans="1:13" x14ac:dyDescent="0.25">
      <c r="A360" t="s">
        <v>984</v>
      </c>
      <c r="B360" t="s">
        <v>246</v>
      </c>
      <c r="C360" s="27" t="str">
        <f>IF($B360="","",IFERROR(INDEX('العقود'!$F:$F,MATCH($B360,'العقود'!$A:$A,0)),""))</f>
        <v>أحمد عمرو سليم</v>
      </c>
      <c r="D360" s="27" t="str">
        <f>IF($B360="","",IFERROR(INDEX('العقود'!$E:$E,MATCH($B360,'العقود'!$A:$A,0)),""))</f>
        <v>205</v>
      </c>
      <c r="E360" s="38" t="s">
        <v>958</v>
      </c>
      <c r="F360" s="39">
        <v>14000</v>
      </c>
      <c r="G360" s="33"/>
      <c r="H360" t="s">
        <v>620</v>
      </c>
      <c r="I360" t="s">
        <v>35</v>
      </c>
      <c r="J360" t="s">
        <v>35</v>
      </c>
      <c r="K360" t="s">
        <v>621</v>
      </c>
      <c r="L360" s="33">
        <v>46305</v>
      </c>
      <c r="M360" s="27" t="str">
        <f>IF($B360="","",IFERROR(INDEX('العقود'!$D:$D,MATCH($B360,'العقود'!$A:$A,0)),""))</f>
        <v>ابو بكر</v>
      </c>
    </row>
    <row r="361" spans="1:13" x14ac:dyDescent="0.25">
      <c r="A361" t="s">
        <v>985</v>
      </c>
      <c r="B361" t="s">
        <v>253</v>
      </c>
      <c r="C361" s="27" t="str">
        <f>IF($B361="","",IFERROR(INDEX('العقود'!$F:$F,MATCH($B361,'العقود'!$A:$A,0)),""))</f>
        <v>شركة النخبة للتجارة</v>
      </c>
      <c r="D361" s="27" t="str">
        <f>IF($B361="","",IFERROR(INDEX('العقود'!$E:$E,MATCH($B361,'العقود'!$A:$A,0)),""))</f>
        <v>206</v>
      </c>
      <c r="E361" s="38" t="s">
        <v>958</v>
      </c>
      <c r="F361" s="39">
        <v>16500</v>
      </c>
      <c r="G361" s="33"/>
      <c r="H361" t="s">
        <v>620</v>
      </c>
      <c r="I361" t="s">
        <v>35</v>
      </c>
      <c r="J361" t="s">
        <v>35</v>
      </c>
      <c r="K361" t="s">
        <v>621</v>
      </c>
      <c r="L361" s="33">
        <v>46305</v>
      </c>
      <c r="M361" s="27" t="str">
        <f>IF($B361="","",IFERROR(INDEX('العقود'!$D:$D,MATCH($B361,'العقود'!$A:$A,0)),""))</f>
        <v>ابو بكر</v>
      </c>
    </row>
    <row r="362" spans="1:13" x14ac:dyDescent="0.25">
      <c r="A362" t="s">
        <v>986</v>
      </c>
      <c r="B362" t="s">
        <v>260</v>
      </c>
      <c r="C362" s="27" t="str">
        <f>IF($B362="","",IFERROR(INDEX('العقود'!$F:$F,MATCH($B362,'العقود'!$A:$A,0)),""))</f>
        <v>د/ رنا هشام رزق</v>
      </c>
      <c r="D362" s="27" t="str">
        <f>IF($B362="","",IFERROR(INDEX('العقود'!$E:$E,MATCH($B362,'العقود'!$A:$A,0)),""))</f>
        <v>207</v>
      </c>
      <c r="E362" s="38" t="s">
        <v>958</v>
      </c>
      <c r="F362" s="39">
        <v>20000</v>
      </c>
      <c r="G362" s="33"/>
      <c r="H362" t="s">
        <v>620</v>
      </c>
      <c r="I362" t="s">
        <v>35</v>
      </c>
      <c r="J362" t="s">
        <v>35</v>
      </c>
      <c r="K362" t="s">
        <v>621</v>
      </c>
      <c r="L362" s="33">
        <v>46305</v>
      </c>
      <c r="M362" s="27" t="str">
        <f>IF($B362="","",IFERROR(INDEX('العقود'!$D:$D,MATCH($B362,'العقود'!$A:$A,0)),""))</f>
        <v>ابو بكر</v>
      </c>
    </row>
    <row r="363" spans="1:13" x14ac:dyDescent="0.25">
      <c r="A363" t="s">
        <v>987</v>
      </c>
      <c r="B363" t="s">
        <v>268</v>
      </c>
      <c r="C363" s="27" t="str">
        <f>IF($B363="","",IFERROR(INDEX('العقود'!$F:$F,MATCH($B363,'العقود'!$A:$A,0)),""))</f>
        <v>شركة النخبة للإنتاج الفني</v>
      </c>
      <c r="D363" s="27" t="str">
        <f>IF($B363="","",IFERROR(INDEX('العقود'!$E:$E,MATCH($B363,'العقود'!$A:$A,0)),""))</f>
        <v>208</v>
      </c>
      <c r="E363" s="38" t="s">
        <v>958</v>
      </c>
      <c r="F363" s="39">
        <v>21175</v>
      </c>
      <c r="G363" s="33"/>
      <c r="H363" t="s">
        <v>620</v>
      </c>
      <c r="I363" t="s">
        <v>35</v>
      </c>
      <c r="J363" t="s">
        <v>35</v>
      </c>
      <c r="K363" t="s">
        <v>621</v>
      </c>
      <c r="L363" s="33">
        <v>46305</v>
      </c>
      <c r="M363" s="27" t="str">
        <f>IF($B363="","",IFERROR(INDEX('العقود'!$D:$D,MATCH($B363,'العقود'!$A:$A,0)),""))</f>
        <v>ابو بكر</v>
      </c>
    </row>
    <row r="364" spans="1:13" x14ac:dyDescent="0.25">
      <c r="A364" t="s">
        <v>988</v>
      </c>
      <c r="B364" t="s">
        <v>279</v>
      </c>
      <c r="C364" s="27" t="str">
        <f>IF($B364="","",IFERROR(INDEX('العقود'!$F:$F,MATCH($B364,'العقود'!$A:$A,0)),""))</f>
        <v>خالد شريف زكي</v>
      </c>
      <c r="D364" s="27" t="str">
        <f>IF($B364="","",IFERROR(INDEX('العقود'!$E:$E,MATCH($B364,'العقود'!$A:$A,0)),""))</f>
        <v>302</v>
      </c>
      <c r="E364" s="38" t="s">
        <v>958</v>
      </c>
      <c r="F364" s="39">
        <v>17000</v>
      </c>
      <c r="G364" s="33"/>
      <c r="H364" t="s">
        <v>620</v>
      </c>
      <c r="I364" t="s">
        <v>35</v>
      </c>
      <c r="J364" t="s">
        <v>35</v>
      </c>
      <c r="K364" t="s">
        <v>621</v>
      </c>
      <c r="L364" s="33">
        <v>46305</v>
      </c>
      <c r="M364" s="27" t="str">
        <f>IF($B364="","",IFERROR(INDEX('العقود'!$D:$D,MATCH($B364,'العقود'!$A:$A,0)),""))</f>
        <v>ابو بكر</v>
      </c>
    </row>
    <row r="365" spans="1:13" x14ac:dyDescent="0.25">
      <c r="A365" t="s">
        <v>989</v>
      </c>
      <c r="B365" t="s">
        <v>282</v>
      </c>
      <c r="C365" s="27" t="str">
        <f>IF($B365="","",IFERROR(INDEX('العقود'!$F:$F,MATCH($B365,'العقود'!$A:$A,0)),""))</f>
        <v>عادل عمر مكرم</v>
      </c>
      <c r="D365" s="27" t="str">
        <f>IF($B365="","",IFERROR(INDEX('العقود'!$E:$E,MATCH($B365,'العقود'!$A:$A,0)),""))</f>
        <v>303</v>
      </c>
      <c r="E365" s="38" t="s">
        <v>958</v>
      </c>
      <c r="F365" s="39">
        <v>19000</v>
      </c>
      <c r="G365" s="33"/>
      <c r="H365" t="s">
        <v>620</v>
      </c>
      <c r="I365" t="s">
        <v>35</v>
      </c>
      <c r="J365" t="s">
        <v>35</v>
      </c>
      <c r="K365" t="s">
        <v>621</v>
      </c>
      <c r="L365" s="33">
        <v>46305</v>
      </c>
      <c r="M365" s="27" t="str">
        <f>IF($B365="","",IFERROR(INDEX('العقود'!$D:$D,MATCH($B365,'العقود'!$A:$A,0)),""))</f>
        <v>ابو بكر</v>
      </c>
    </row>
    <row r="366" spans="1:13" x14ac:dyDescent="0.25">
      <c r="A366" t="s">
        <v>990</v>
      </c>
      <c r="B366" t="s">
        <v>298</v>
      </c>
      <c r="C366" s="27" t="str">
        <f>IF($B366="","",IFERROR(INDEX('العقود'!$F:$F,MATCH($B366,'العقود'!$A:$A,0)),""))</f>
        <v>شركة النور للخدمات الطبية</v>
      </c>
      <c r="D366" s="27" t="str">
        <f>IF($B366="","",IFERROR(INDEX('العقود'!$E:$E,MATCH($B366,'العقود'!$A:$A,0)),""))</f>
        <v>305</v>
      </c>
      <c r="E366" s="38" t="s">
        <v>958</v>
      </c>
      <c r="F366" s="39">
        <v>11500</v>
      </c>
      <c r="G366" s="33"/>
      <c r="H366" t="s">
        <v>620</v>
      </c>
      <c r="I366" t="s">
        <v>35</v>
      </c>
      <c r="J366" t="s">
        <v>35</v>
      </c>
      <c r="K366" t="s">
        <v>621</v>
      </c>
      <c r="L366" s="33">
        <v>46305</v>
      </c>
      <c r="M366" s="27" t="str">
        <f>IF($B366="","",IFERROR(INDEX('العقود'!$D:$D,MATCH($B366,'العقود'!$A:$A,0)),""))</f>
        <v>ابو بكر</v>
      </c>
    </row>
    <row r="367" spans="1:13" x14ac:dyDescent="0.25">
      <c r="A367" t="s">
        <v>991</v>
      </c>
      <c r="B367" t="s">
        <v>304</v>
      </c>
      <c r="C367" s="27" t="str">
        <f>IF($B367="","",IFERROR(INDEX('العقود'!$F:$F,MATCH($B367,'العقود'!$A:$A,0)),""))</f>
        <v>سامح إبراهيم منصور</v>
      </c>
      <c r="D367" s="27" t="str">
        <f>IF($B367="","",IFERROR(INDEX('العقود'!$E:$E,MATCH($B367,'العقود'!$A:$A,0)),""))</f>
        <v>306</v>
      </c>
      <c r="E367" s="38" t="s">
        <v>958</v>
      </c>
      <c r="F367" s="39">
        <v>11195</v>
      </c>
      <c r="G367" s="33"/>
      <c r="H367" t="s">
        <v>620</v>
      </c>
      <c r="I367" t="s">
        <v>35</v>
      </c>
      <c r="J367" t="s">
        <v>35</v>
      </c>
      <c r="K367" t="s">
        <v>621</v>
      </c>
      <c r="L367" s="33">
        <v>46305</v>
      </c>
      <c r="M367" s="27" t="str">
        <f>IF($B367="","",IFERROR(INDEX('العقود'!$D:$D,MATCH($B367,'العقود'!$A:$A,0)),""))</f>
        <v>ابو بكر</v>
      </c>
    </row>
    <row r="368" spans="1:13" x14ac:dyDescent="0.25">
      <c r="A368" t="s">
        <v>992</v>
      </c>
      <c r="B368" t="s">
        <v>311</v>
      </c>
      <c r="C368" s="27" t="str">
        <f>IF($B368="","",IFERROR(INDEX('العقود'!$F:$F,MATCH($B368,'العقود'!$A:$A,0)),""))</f>
        <v>د/ منى أمير الشريف</v>
      </c>
      <c r="D368" s="27" t="str">
        <f>IF($B368="","",IFERROR(INDEX('العقود'!$E:$E,MATCH($B368,'العقود'!$A:$A,0)),""))</f>
        <v>307</v>
      </c>
      <c r="E368" s="38" t="s">
        <v>958</v>
      </c>
      <c r="F368" s="39">
        <v>12100</v>
      </c>
      <c r="G368" s="33"/>
      <c r="H368" t="s">
        <v>620</v>
      </c>
      <c r="I368" t="s">
        <v>35</v>
      </c>
      <c r="J368" t="s">
        <v>35</v>
      </c>
      <c r="K368" t="s">
        <v>621</v>
      </c>
      <c r="L368" s="33">
        <v>46305</v>
      </c>
      <c r="M368" s="27" t="str">
        <f>IF($B368="","",IFERROR(INDEX('العقود'!$D:$D,MATCH($B368,'العقود'!$A:$A,0)),""))</f>
        <v>ابو بكر</v>
      </c>
    </row>
    <row r="369" spans="1:13" x14ac:dyDescent="0.25">
      <c r="A369" t="s">
        <v>993</v>
      </c>
      <c r="B369" t="s">
        <v>318</v>
      </c>
      <c r="C369" s="27" t="str">
        <f>IF($B369="","",IFERROR(INDEX('العقود'!$F:$F,MATCH($B369,'العقود'!$A:$A,0)),""))</f>
        <v>شركة الأمل للخدمات الطبية</v>
      </c>
      <c r="D369" s="27" t="str">
        <f>IF($B369="","",IFERROR(INDEX('العقود'!$E:$E,MATCH($B369,'العقود'!$A:$A,0)),""))</f>
        <v>401</v>
      </c>
      <c r="E369" s="38" t="s">
        <v>958</v>
      </c>
      <c r="F369" s="39">
        <v>12100</v>
      </c>
      <c r="G369" s="33"/>
      <c r="H369" t="s">
        <v>620</v>
      </c>
      <c r="I369" t="s">
        <v>35</v>
      </c>
      <c r="J369" t="s">
        <v>35</v>
      </c>
      <c r="K369" t="s">
        <v>621</v>
      </c>
      <c r="L369" s="33">
        <v>46305</v>
      </c>
      <c r="M369" s="27" t="str">
        <f>IF($B369="","",IFERROR(INDEX('العقود'!$D:$D,MATCH($B369,'العقود'!$A:$A,0)),""))</f>
        <v>ابو بكر</v>
      </c>
    </row>
    <row r="370" spans="1:13" x14ac:dyDescent="0.25">
      <c r="A370" t="s">
        <v>994</v>
      </c>
      <c r="B370" t="s">
        <v>325</v>
      </c>
      <c r="C370" s="27" t="str">
        <f>IF($B370="","",IFERROR(INDEX('العقود'!$F:$F,MATCH($B370,'العقود'!$A:$A,0)),""))</f>
        <v>شركة البركة للتدريب</v>
      </c>
      <c r="D370" s="27" t="str">
        <f>IF($B370="","",IFERROR(INDEX('العقود'!$E:$E,MATCH($B370,'العقود'!$A:$A,0)),""))</f>
        <v>403</v>
      </c>
      <c r="E370" s="38" t="s">
        <v>958</v>
      </c>
      <c r="F370" s="39">
        <v>16335</v>
      </c>
      <c r="G370" s="33"/>
      <c r="H370" t="s">
        <v>620</v>
      </c>
      <c r="I370" t="s">
        <v>35</v>
      </c>
      <c r="J370" t="s">
        <v>35</v>
      </c>
      <c r="K370" t="s">
        <v>621</v>
      </c>
      <c r="L370" s="33">
        <v>46305</v>
      </c>
      <c r="M370" s="27" t="str">
        <f>IF($B370="","",IFERROR(INDEX('العقود'!$D:$D,MATCH($B370,'العقود'!$A:$A,0)),""))</f>
        <v>ابو بكر</v>
      </c>
    </row>
    <row r="371" spans="1:13" x14ac:dyDescent="0.25">
      <c r="A371" t="s">
        <v>995</v>
      </c>
      <c r="B371" t="s">
        <v>333</v>
      </c>
      <c r="C371" s="27" t="str">
        <f>IF($B371="","",IFERROR(INDEX('العقود'!$F:$F,MATCH($B371,'العقود'!$A:$A,0)),""))</f>
        <v>آية محمود بدوي</v>
      </c>
      <c r="D371" s="27" t="str">
        <f>IF($B371="","",IFERROR(INDEX('العقود'!$E:$E,MATCH($B371,'العقود'!$A:$A,0)),""))</f>
        <v>404</v>
      </c>
      <c r="E371" s="38" t="s">
        <v>958</v>
      </c>
      <c r="F371" s="39">
        <v>13500</v>
      </c>
      <c r="G371" s="33"/>
      <c r="H371" t="s">
        <v>620</v>
      </c>
      <c r="I371" t="s">
        <v>35</v>
      </c>
      <c r="J371" t="s">
        <v>35</v>
      </c>
      <c r="K371" t="s">
        <v>621</v>
      </c>
      <c r="L371" s="33">
        <v>46305</v>
      </c>
      <c r="M371" s="27" t="str">
        <f>IF($B371="","",IFERROR(INDEX('العقود'!$D:$D,MATCH($B371,'العقود'!$A:$A,0)),""))</f>
        <v>ابو بكر</v>
      </c>
    </row>
    <row r="372" spans="1:13" x14ac:dyDescent="0.25">
      <c r="A372" t="s">
        <v>996</v>
      </c>
      <c r="B372" t="s">
        <v>341</v>
      </c>
      <c r="C372" s="27" t="str">
        <f>IF($B372="","",IFERROR(INDEX('العقود'!$F:$F,MATCH($B372,'العقود'!$A:$A,0)),""))</f>
        <v>شركة الأصيل للإنتاج الفني</v>
      </c>
      <c r="D372" s="27" t="str">
        <f>IF($B372="","",IFERROR(INDEX('العقود'!$E:$E,MATCH($B372,'العقود'!$A:$A,0)),""))</f>
        <v>405</v>
      </c>
      <c r="E372" s="38" t="s">
        <v>958</v>
      </c>
      <c r="F372" s="39">
        <v>14000</v>
      </c>
      <c r="G372" s="33"/>
      <c r="H372" t="s">
        <v>620</v>
      </c>
      <c r="I372" t="s">
        <v>35</v>
      </c>
      <c r="J372" t="s">
        <v>35</v>
      </c>
      <c r="K372" t="s">
        <v>621</v>
      </c>
      <c r="L372" s="33">
        <v>46305</v>
      </c>
      <c r="M372" s="27" t="str">
        <f>IF($B372="","",IFERROR(INDEX('العقود'!$D:$D,MATCH($B372,'العقود'!$A:$A,0)),""))</f>
        <v>ابو بكر</v>
      </c>
    </row>
    <row r="373" spans="1:13" x14ac:dyDescent="0.25">
      <c r="A373" t="s">
        <v>997</v>
      </c>
      <c r="B373" t="s">
        <v>346</v>
      </c>
      <c r="C373" s="27" t="str">
        <f>IF($B373="","",IFERROR(INDEX('العقود'!$F:$F,MATCH($B373,'العقود'!$A:$A,0)),""))</f>
        <v>شركة البركة للاستشارات الهندسية</v>
      </c>
      <c r="D373" s="27" t="str">
        <f>IF($B373="","",IFERROR(INDEX('العقود'!$E:$E,MATCH($B373,'العقود'!$A:$A,0)),""))</f>
        <v>406</v>
      </c>
      <c r="E373" s="38" t="s">
        <v>958</v>
      </c>
      <c r="F373" s="39">
        <v>16035</v>
      </c>
      <c r="G373" s="33"/>
      <c r="H373" t="s">
        <v>620</v>
      </c>
      <c r="I373" t="s">
        <v>35</v>
      </c>
      <c r="J373" t="s">
        <v>35</v>
      </c>
      <c r="K373" t="s">
        <v>621</v>
      </c>
      <c r="L373" s="33">
        <v>46305</v>
      </c>
      <c r="M373" s="27" t="str">
        <f>IF($B373="","",IFERROR(INDEX('العقود'!$D:$D,MATCH($B373,'العقود'!$A:$A,0)),""))</f>
        <v>ابو بكر</v>
      </c>
    </row>
    <row r="374" spans="1:13" x14ac:dyDescent="0.25">
      <c r="A374" t="s">
        <v>998</v>
      </c>
      <c r="B374" t="s">
        <v>353</v>
      </c>
      <c r="C374" s="27" t="str">
        <f>IF($B374="","",IFERROR(INDEX('العقود'!$F:$F,MATCH($B374,'العقود'!$A:$A,0)),""))</f>
        <v>شركة الهرم لتكنولوجيا المعلومات</v>
      </c>
      <c r="D374" s="27" t="str">
        <f>IF($B374="","",IFERROR(INDEX('العقود'!$E:$E,MATCH($B374,'العقود'!$A:$A,0)),""))</f>
        <v>407</v>
      </c>
      <c r="E374" s="38" t="s">
        <v>958</v>
      </c>
      <c r="F374" s="39">
        <v>16500</v>
      </c>
      <c r="G374" s="33"/>
      <c r="H374" t="s">
        <v>620</v>
      </c>
      <c r="I374" t="s">
        <v>35</v>
      </c>
      <c r="J374" t="s">
        <v>35</v>
      </c>
      <c r="K374" t="s">
        <v>621</v>
      </c>
      <c r="L374" s="33">
        <v>46305</v>
      </c>
      <c r="M374" s="27" t="str">
        <f>IF($B374="","",IFERROR(INDEX('العقود'!$D:$D,MATCH($B374,'العقود'!$A:$A,0)),""))</f>
        <v>ابو بكر</v>
      </c>
    </row>
    <row r="375" spans="1:13" x14ac:dyDescent="0.25">
      <c r="A375" t="s">
        <v>999</v>
      </c>
      <c r="B375" t="s">
        <v>359</v>
      </c>
      <c r="C375" s="27" t="str">
        <f>IF($B375="","",IFERROR(INDEX('العقود'!$F:$F,MATCH($B375,'العقود'!$A:$A,0)),""))</f>
        <v>مصطفى وليد الجندي</v>
      </c>
      <c r="D375" s="27" t="str">
        <f>IF($B375="","",IFERROR(INDEX('العقود'!$E:$E,MATCH($B375,'العقود'!$A:$A,0)),""))</f>
        <v>408</v>
      </c>
      <c r="E375" s="38" t="s">
        <v>958</v>
      </c>
      <c r="F375" s="39">
        <v>18500</v>
      </c>
      <c r="G375" s="33"/>
      <c r="H375" t="s">
        <v>620</v>
      </c>
      <c r="I375" t="s">
        <v>35</v>
      </c>
      <c r="J375" t="s">
        <v>35</v>
      </c>
      <c r="K375" t="s">
        <v>621</v>
      </c>
      <c r="L375" s="33">
        <v>46305</v>
      </c>
      <c r="M375" s="27" t="str">
        <f>IF($B375="","",IFERROR(INDEX('العقود'!$D:$D,MATCH($B375,'العقود'!$A:$A,0)),""))</f>
        <v>ابو بكر</v>
      </c>
    </row>
    <row r="376" spans="1:13" x14ac:dyDescent="0.25">
      <c r="A376" t="s">
        <v>1000</v>
      </c>
      <c r="B376" t="s">
        <v>366</v>
      </c>
      <c r="C376" s="27" t="str">
        <f>IF($B376="","",IFERROR(INDEX('العقود'!$F:$F,MATCH($B376,'العقود'!$A:$A,0)),""))</f>
        <v>شركة الياسمين للتسويق</v>
      </c>
      <c r="D376" s="27" t="str">
        <f>IF($B376="","",IFERROR(INDEX('العقود'!$E:$E,MATCH($B376,'العقود'!$A:$A,0)),""))</f>
        <v>501</v>
      </c>
      <c r="E376" s="38" t="s">
        <v>958</v>
      </c>
      <c r="F376" s="39">
        <v>15000</v>
      </c>
      <c r="G376" s="33"/>
      <c r="H376" t="s">
        <v>620</v>
      </c>
      <c r="I376" t="s">
        <v>35</v>
      </c>
      <c r="J376" t="s">
        <v>35</v>
      </c>
      <c r="K376" t="s">
        <v>621</v>
      </c>
      <c r="L376" s="33">
        <v>46305</v>
      </c>
      <c r="M376" s="27" t="str">
        <f>IF($B376="","",IFERROR(INDEX('العقود'!$D:$D,MATCH($B376,'العقود'!$A:$A,0)),""))</f>
        <v>ابو بكر</v>
      </c>
    </row>
    <row r="377" spans="1:13" x14ac:dyDescent="0.25">
      <c r="A377" t="s">
        <v>1001</v>
      </c>
      <c r="B377" t="s">
        <v>369</v>
      </c>
      <c r="C377" s="27" t="str">
        <f>IF($B377="","",IFERROR(INDEX('العقود'!$F:$F,MATCH($B377,'العقود'!$A:$A,0)),""))</f>
        <v>شركة الياسمين للتسويق</v>
      </c>
      <c r="D377" s="27" t="str">
        <f>IF($B377="","",IFERROR(INDEX('العقود'!$E:$E,MATCH($B377,'العقود'!$A:$A,0)),""))</f>
        <v>502</v>
      </c>
      <c r="E377" s="38" t="s">
        <v>958</v>
      </c>
      <c r="F377" s="39">
        <v>15000</v>
      </c>
      <c r="G377" s="33"/>
      <c r="H377" t="s">
        <v>620</v>
      </c>
      <c r="I377" t="s">
        <v>35</v>
      </c>
      <c r="J377" t="s">
        <v>35</v>
      </c>
      <c r="K377" t="s">
        <v>621</v>
      </c>
      <c r="L377" s="33">
        <v>46305</v>
      </c>
      <c r="M377" s="27" t="str">
        <f>IF($B377="","",IFERROR(INDEX('العقود'!$D:$D,MATCH($B377,'العقود'!$A:$A,0)),""))</f>
        <v>ابو بكر</v>
      </c>
    </row>
    <row r="378" spans="1:13" x14ac:dyDescent="0.25">
      <c r="A378" t="s">
        <v>1002</v>
      </c>
      <c r="B378" t="s">
        <v>374</v>
      </c>
      <c r="C378" s="27" t="str">
        <f>IF($B378="","",IFERROR(INDEX('العقود'!$F:$F,MATCH($B378,'العقود'!$A:$A,0)),""))</f>
        <v>إبراهيم أحمد البنا</v>
      </c>
      <c r="D378" s="27" t="str">
        <f>IF($B378="","",IFERROR(INDEX('العقود'!$E:$E,MATCH($B378,'العقود'!$A:$A,0)),""))</f>
        <v>503</v>
      </c>
      <c r="E378" s="38" t="s">
        <v>958</v>
      </c>
      <c r="F378" s="39">
        <v>11195</v>
      </c>
      <c r="G378" s="33"/>
      <c r="H378" t="s">
        <v>620</v>
      </c>
      <c r="I378" t="s">
        <v>35</v>
      </c>
      <c r="J378" t="s">
        <v>35</v>
      </c>
      <c r="K378" t="s">
        <v>621</v>
      </c>
      <c r="L378" s="33">
        <v>46305</v>
      </c>
      <c r="M378" s="27" t="str">
        <f>IF($B378="","",IFERROR(INDEX('العقود'!$D:$D,MATCH($B378,'العقود'!$A:$A,0)),""))</f>
        <v>ابو بكر</v>
      </c>
    </row>
    <row r="379" spans="1:13" x14ac:dyDescent="0.25">
      <c r="A379" t="s">
        <v>1003</v>
      </c>
      <c r="B379" t="s">
        <v>380</v>
      </c>
      <c r="C379" s="27" t="str">
        <f>IF($B379="","",IFERROR(INDEX('العقود'!$F:$F,MATCH($B379,'العقود'!$A:$A,0)),""))</f>
        <v>شركة المستقبل للخدمات الطبية</v>
      </c>
      <c r="D379" s="27" t="str">
        <f>IF($B379="","",IFERROR(INDEX('العقود'!$E:$E,MATCH($B379,'العقود'!$A:$A,0)),""))</f>
        <v>504</v>
      </c>
      <c r="E379" s="38" t="s">
        <v>958</v>
      </c>
      <c r="F379" s="39">
        <v>10000</v>
      </c>
      <c r="G379" s="33"/>
      <c r="H379" t="s">
        <v>620</v>
      </c>
      <c r="I379" t="s">
        <v>35</v>
      </c>
      <c r="J379" t="s">
        <v>35</v>
      </c>
      <c r="K379" t="s">
        <v>621</v>
      </c>
      <c r="L379" s="33">
        <v>46305</v>
      </c>
      <c r="M379" s="27" t="str">
        <f>IF($B379="","",IFERROR(INDEX('العقود'!$D:$D,MATCH($B379,'العقود'!$A:$A,0)),""))</f>
        <v>ابو بكر</v>
      </c>
    </row>
    <row r="380" spans="1:13" x14ac:dyDescent="0.25">
      <c r="A380" t="s">
        <v>1004</v>
      </c>
      <c r="B380" t="s">
        <v>384</v>
      </c>
      <c r="C380" s="27" t="str">
        <f>IF($B380="","",IFERROR(INDEX('العقود'!$F:$F,MATCH($B380,'العقود'!$A:$A,0)),""))</f>
        <v>حسين أمير بدوي</v>
      </c>
      <c r="D380" s="27" t="str">
        <f>IF($B380="","",IFERROR(INDEX('العقود'!$E:$E,MATCH($B380,'العقود'!$A:$A,0)),""))</f>
        <v>505</v>
      </c>
      <c r="E380" s="38" t="s">
        <v>958</v>
      </c>
      <c r="F380" s="39">
        <v>11000</v>
      </c>
      <c r="G380" s="33"/>
      <c r="H380" t="s">
        <v>620</v>
      </c>
      <c r="I380" t="s">
        <v>35</v>
      </c>
      <c r="J380" t="s">
        <v>35</v>
      </c>
      <c r="K380" t="s">
        <v>621</v>
      </c>
      <c r="L380" s="33">
        <v>46305</v>
      </c>
      <c r="M380" s="27" t="str">
        <f>IF($B380="","",IFERROR(INDEX('العقود'!$D:$D,MATCH($B380,'العقود'!$A:$A,0)),""))</f>
        <v>ابو بكر</v>
      </c>
    </row>
    <row r="381" spans="1:13" x14ac:dyDescent="0.25">
      <c r="A381" t="s">
        <v>1005</v>
      </c>
      <c r="B381" t="s">
        <v>394</v>
      </c>
      <c r="C381" s="27" t="str">
        <f>IF($B381="","",IFERROR(INDEX('العقود'!$F:$F,MATCH($B381,'العقود'!$A:$A,0)),""))</f>
        <v>د/ آية هشام رشاد</v>
      </c>
      <c r="D381" s="27" t="str">
        <f>IF($B381="","",IFERROR(INDEX('العقود'!$E:$E,MATCH($B381,'العقود'!$A:$A,0)),""))</f>
        <v>506</v>
      </c>
      <c r="E381" s="38" t="s">
        <v>958</v>
      </c>
      <c r="F381" s="39">
        <v>19000</v>
      </c>
      <c r="G381" s="33"/>
      <c r="H381" t="s">
        <v>620</v>
      </c>
      <c r="I381" t="s">
        <v>35</v>
      </c>
      <c r="J381" t="s">
        <v>35</v>
      </c>
      <c r="K381" t="s">
        <v>621</v>
      </c>
      <c r="L381" s="33">
        <v>46305</v>
      </c>
      <c r="M381" s="27" t="str">
        <f>IF($B381="","",IFERROR(INDEX('العقود'!$D:$D,MATCH($B381,'العقود'!$A:$A,0)),""))</f>
        <v>ابو بكر</v>
      </c>
    </row>
    <row r="382" spans="1:13" x14ac:dyDescent="0.25">
      <c r="A382" t="s">
        <v>1006</v>
      </c>
      <c r="B382" t="s">
        <v>400</v>
      </c>
      <c r="C382" s="27" t="str">
        <f>IF($B382="","",IFERROR(INDEX('العقود'!$F:$F,MATCH($B382,'العقود'!$A:$A,0)),""))</f>
        <v>شركة الأصيل للاستشارات الهندسية</v>
      </c>
      <c r="D382" s="27" t="str">
        <f>IF($B382="","",IFERROR(INDEX('العقود'!$E:$E,MATCH($B382,'العقود'!$A:$A,0)),""))</f>
        <v>508</v>
      </c>
      <c r="E382" s="38" t="s">
        <v>958</v>
      </c>
      <c r="F382" s="39">
        <v>13500</v>
      </c>
      <c r="G382" s="33"/>
      <c r="H382" t="s">
        <v>620</v>
      </c>
      <c r="I382" t="s">
        <v>35</v>
      </c>
      <c r="J382" t="s">
        <v>35</v>
      </c>
      <c r="K382" t="s">
        <v>621</v>
      </c>
      <c r="L382" s="33">
        <v>46305</v>
      </c>
      <c r="M382" s="27" t="str">
        <f>IF($B382="","",IFERROR(INDEX('العقود'!$D:$D,MATCH($B382,'العقود'!$A:$A,0)),""))</f>
        <v>ابو بكر</v>
      </c>
    </row>
    <row r="383" spans="1:13" x14ac:dyDescent="0.25">
      <c r="A383" t="s">
        <v>1007</v>
      </c>
      <c r="B383" t="s">
        <v>407</v>
      </c>
      <c r="C383" s="27" t="str">
        <f>IF($B383="","",IFERROR(INDEX('العقود'!$F:$F,MATCH($B383,'العقود'!$A:$A,0)),""))</f>
        <v>شركة الوادي للتنمية</v>
      </c>
      <c r="D383" s="27" t="str">
        <f>IF($B383="","",IFERROR(INDEX('العقود'!$E:$E,MATCH($B383,'العقود'!$A:$A,0)),""))</f>
        <v>601</v>
      </c>
      <c r="E383" s="38" t="s">
        <v>958</v>
      </c>
      <c r="F383" s="39">
        <v>9680</v>
      </c>
      <c r="G383" s="33"/>
      <c r="H383" t="s">
        <v>620</v>
      </c>
      <c r="I383" t="s">
        <v>35</v>
      </c>
      <c r="J383" t="s">
        <v>35</v>
      </c>
      <c r="K383" t="s">
        <v>621</v>
      </c>
      <c r="L383" s="33">
        <v>46305</v>
      </c>
      <c r="M383" s="27" t="str">
        <f>IF($B383="","",IFERROR(INDEX('العقود'!$D:$D,MATCH($B383,'العقود'!$A:$A,0)),""))</f>
        <v>ابو بكر</v>
      </c>
    </row>
    <row r="384" spans="1:13" x14ac:dyDescent="0.25">
      <c r="A384" t="s">
        <v>1008</v>
      </c>
      <c r="B384" t="s">
        <v>415</v>
      </c>
      <c r="C384" s="27" t="str">
        <f>IF($B384="","",IFERROR(INDEX('العقود'!$F:$F,MATCH($B384,'العقود'!$A:$A,0)),""))</f>
        <v>شركة الوفاء للاستشارات الهندسية</v>
      </c>
      <c r="D384" s="27" t="str">
        <f>IF($B384="","",IFERROR(INDEX('العقود'!$E:$E,MATCH($B384,'العقود'!$A:$A,0)),""))</f>
        <v>602</v>
      </c>
      <c r="E384" s="38" t="s">
        <v>958</v>
      </c>
      <c r="F384" s="39">
        <v>19000</v>
      </c>
      <c r="G384" s="33"/>
      <c r="H384" t="s">
        <v>620</v>
      </c>
      <c r="I384" t="s">
        <v>35</v>
      </c>
      <c r="J384" t="s">
        <v>35</v>
      </c>
      <c r="K384" t="s">
        <v>621</v>
      </c>
      <c r="L384" s="33">
        <v>46305</v>
      </c>
      <c r="M384" s="27" t="str">
        <f>IF($B384="","",IFERROR(INDEX('العقود'!$D:$D,MATCH($B384,'العقود'!$A:$A,0)),""))</f>
        <v>ابو بكر</v>
      </c>
    </row>
    <row r="385" spans="1:13" x14ac:dyDescent="0.25">
      <c r="A385" t="s">
        <v>1009</v>
      </c>
      <c r="B385" t="s">
        <v>421</v>
      </c>
      <c r="C385" s="27" t="str">
        <f>IF($B385="","",IFERROR(INDEX('العقود'!$F:$F,MATCH($B385,'العقود'!$A:$A,0)),""))</f>
        <v>عادل باسم حسنين</v>
      </c>
      <c r="D385" s="27" t="str">
        <f>IF($B385="","",IFERROR(INDEX('العقود'!$E:$E,MATCH($B385,'العقود'!$A:$A,0)),""))</f>
        <v>603</v>
      </c>
      <c r="E385" s="38" t="s">
        <v>958</v>
      </c>
      <c r="F385" s="39">
        <v>11495</v>
      </c>
      <c r="G385" s="33"/>
      <c r="H385" t="s">
        <v>620</v>
      </c>
      <c r="I385" t="s">
        <v>35</v>
      </c>
      <c r="J385" t="s">
        <v>35</v>
      </c>
      <c r="K385" t="s">
        <v>621</v>
      </c>
      <c r="L385" s="33">
        <v>46305</v>
      </c>
      <c r="M385" s="27" t="str">
        <f>IF($B385="","",IFERROR(INDEX('العقود'!$D:$D,MATCH($B385,'العقود'!$A:$A,0)),""))</f>
        <v>ابو بكر</v>
      </c>
    </row>
    <row r="386" spans="1:13" x14ac:dyDescent="0.25">
      <c r="A386" t="s">
        <v>1010</v>
      </c>
      <c r="B386" t="s">
        <v>427</v>
      </c>
      <c r="C386" s="27" t="str">
        <f>IF($B386="","",IFERROR(INDEX('العقود'!$F:$F,MATCH($B386,'العقود'!$A:$A,0)),""))</f>
        <v>ندى وليد حسنين</v>
      </c>
      <c r="D386" s="27" t="str">
        <f>IF($B386="","",IFERROR(INDEX('العقود'!$E:$E,MATCH($B386,'العقود'!$A:$A,0)),""))</f>
        <v>604</v>
      </c>
      <c r="E386" s="38" t="s">
        <v>958</v>
      </c>
      <c r="F386" s="39">
        <v>11000</v>
      </c>
      <c r="G386" s="33"/>
      <c r="H386" t="s">
        <v>620</v>
      </c>
      <c r="I386" t="s">
        <v>35</v>
      </c>
      <c r="J386" t="s">
        <v>35</v>
      </c>
      <c r="K386" t="s">
        <v>621</v>
      </c>
      <c r="L386" s="33">
        <v>46305</v>
      </c>
      <c r="M386" s="27" t="str">
        <f>IF($B386="","",IFERROR(INDEX('العقود'!$D:$D,MATCH($B386,'العقود'!$A:$A,0)),""))</f>
        <v>ابو بكر</v>
      </c>
    </row>
    <row r="387" spans="1:13" x14ac:dyDescent="0.25">
      <c r="A387" t="s">
        <v>1011</v>
      </c>
      <c r="B387" t="s">
        <v>433</v>
      </c>
      <c r="C387" s="27" t="str">
        <f>IF($B387="","",IFERROR(INDEX('العقود'!$F:$F,MATCH($B387,'العقود'!$A:$A,0)),""))</f>
        <v>شريف هاني فهمي</v>
      </c>
      <c r="D387" s="27" t="str">
        <f>IF($B387="","",IFERROR(INDEX('العقود'!$E:$E,MATCH($B387,'العقود'!$A:$A,0)),""))</f>
        <v>605</v>
      </c>
      <c r="E387" s="38" t="s">
        <v>958</v>
      </c>
      <c r="F387" s="39">
        <v>8775</v>
      </c>
      <c r="G387" s="33"/>
      <c r="H387" t="s">
        <v>620</v>
      </c>
      <c r="I387" t="s">
        <v>35</v>
      </c>
      <c r="J387" t="s">
        <v>35</v>
      </c>
      <c r="K387" t="s">
        <v>621</v>
      </c>
      <c r="L387" s="33">
        <v>46305</v>
      </c>
      <c r="M387" s="27" t="str">
        <f>IF($B387="","",IFERROR(INDEX('العقود'!$D:$D,MATCH($B387,'العقود'!$A:$A,0)),""))</f>
        <v>ابو بكر</v>
      </c>
    </row>
    <row r="388" spans="1:13" x14ac:dyDescent="0.25">
      <c r="A388" t="s">
        <v>1012</v>
      </c>
      <c r="B388" t="s">
        <v>443</v>
      </c>
      <c r="C388" s="27" t="str">
        <f>IF($B388="","",IFERROR(INDEX('العقود'!$F:$F,MATCH($B388,'العقود'!$A:$A,0)),""))</f>
        <v>شركة الياسمين للاستشارات الهندسية</v>
      </c>
      <c r="D388" s="27" t="str">
        <f>IF($B388="","",IFERROR(INDEX('العقود'!$E:$E,MATCH($B388,'العقود'!$A:$A,0)),""))</f>
        <v>606</v>
      </c>
      <c r="E388" s="38" t="s">
        <v>958</v>
      </c>
      <c r="F388" s="39">
        <v>15000</v>
      </c>
      <c r="G388" s="33"/>
      <c r="H388" t="s">
        <v>620</v>
      </c>
      <c r="I388" t="s">
        <v>35</v>
      </c>
      <c r="J388" t="s">
        <v>35</v>
      </c>
      <c r="K388" t="s">
        <v>621</v>
      </c>
      <c r="L388" s="33">
        <v>46305</v>
      </c>
      <c r="M388" s="27" t="str">
        <f>IF($B388="","",IFERROR(INDEX('العقود'!$D:$D,MATCH($B388,'العقود'!$A:$A,0)),""))</f>
        <v>ابو بكر</v>
      </c>
    </row>
    <row r="389" spans="1:13" x14ac:dyDescent="0.25">
      <c r="A389" t="s">
        <v>1013</v>
      </c>
      <c r="B389" t="s">
        <v>459</v>
      </c>
      <c r="C389" s="27" t="str">
        <f>IF($B389="","",IFERROR(INDEX('العقود'!$F:$F,MATCH($B389,'العقود'!$A:$A,0)),""))</f>
        <v>شركة السلام للتسويق</v>
      </c>
      <c r="D389" s="27" t="str">
        <f>IF($B389="","",IFERROR(INDEX('العقود'!$E:$E,MATCH($B389,'العقود'!$A:$A,0)),""))</f>
        <v>608</v>
      </c>
      <c r="E389" s="38" t="s">
        <v>958</v>
      </c>
      <c r="F389" s="39">
        <v>13000</v>
      </c>
      <c r="G389" s="33"/>
      <c r="H389" t="s">
        <v>620</v>
      </c>
      <c r="I389" t="s">
        <v>35</v>
      </c>
      <c r="J389" t="s">
        <v>35</v>
      </c>
      <c r="K389" t="s">
        <v>621</v>
      </c>
      <c r="L389" s="33">
        <v>46305</v>
      </c>
      <c r="M389" s="27" t="str">
        <f>IF($B389="","",IFERROR(INDEX('العقود'!$D:$D,MATCH($B389,'العقود'!$A:$A,0)),""))</f>
        <v>ابو بكر</v>
      </c>
    </row>
    <row r="390" spans="1:13" x14ac:dyDescent="0.25">
      <c r="A390" t="s">
        <v>1014</v>
      </c>
      <c r="B390" t="s">
        <v>467</v>
      </c>
      <c r="C390" s="27" t="str">
        <f>IF($B390="","",IFERROR(INDEX('العقود'!$F:$F,MATCH($B390,'العقود'!$A:$A,0)),""))</f>
        <v>شركة المستقبل للتنمية</v>
      </c>
      <c r="D390" s="27" t="str">
        <f>IF($B390="","",IFERROR(INDEX('العقود'!$E:$E,MATCH($B390,'العقود'!$A:$A,0)),""))</f>
        <v>701</v>
      </c>
      <c r="E390" s="38" t="s">
        <v>958</v>
      </c>
      <c r="F390" s="39">
        <v>17000</v>
      </c>
      <c r="G390" s="33"/>
      <c r="H390" t="s">
        <v>620</v>
      </c>
      <c r="I390" t="s">
        <v>35</v>
      </c>
      <c r="J390" t="s">
        <v>35</v>
      </c>
      <c r="K390" t="s">
        <v>621</v>
      </c>
      <c r="L390" s="33">
        <v>46305</v>
      </c>
      <c r="M390" s="27" t="str">
        <f>IF($B390="","",IFERROR(INDEX('العقود'!$D:$D,MATCH($B390,'العقود'!$A:$A,0)),""))</f>
        <v>ابو بكر</v>
      </c>
    </row>
    <row r="391" spans="1:13" x14ac:dyDescent="0.25">
      <c r="A391" t="s">
        <v>1015</v>
      </c>
      <c r="B391" t="s">
        <v>481</v>
      </c>
      <c r="C391" s="27" t="str">
        <f>IF($B391="","",IFERROR(INDEX('العقود'!$F:$F,MATCH($B391,'العقود'!$A:$A,0)),""))</f>
        <v>شركة البركة للتسويق</v>
      </c>
      <c r="D391" s="27" t="str">
        <f>IF($B391="","",IFERROR(INDEX('العقود'!$E:$E,MATCH($B391,'العقود'!$A:$A,0)),""))</f>
        <v>704</v>
      </c>
      <c r="E391" s="38" t="s">
        <v>958</v>
      </c>
      <c r="F391" s="39">
        <v>11000</v>
      </c>
      <c r="G391" s="33"/>
      <c r="H391" t="s">
        <v>620</v>
      </c>
      <c r="I391" t="s">
        <v>35</v>
      </c>
      <c r="J391" t="s">
        <v>35</v>
      </c>
      <c r="K391" t="s">
        <v>621</v>
      </c>
      <c r="L391" s="33">
        <v>46305</v>
      </c>
      <c r="M391" s="27" t="str">
        <f>IF($B391="","",IFERROR(INDEX('العقود'!$D:$D,MATCH($B391,'العقود'!$A:$A,0)),""))</f>
        <v>ابو بكر</v>
      </c>
    </row>
    <row r="392" spans="1:13" x14ac:dyDescent="0.25">
      <c r="A392" t="s">
        <v>1016</v>
      </c>
      <c r="B392" t="s">
        <v>495</v>
      </c>
      <c r="C392" s="27" t="str">
        <f>IF($B392="","",IFERROR(INDEX('العقود'!$F:$F,MATCH($B392,'العقود'!$A:$A,0)),""))</f>
        <v>شركة الأمل للتسويق</v>
      </c>
      <c r="D392" s="27" t="str">
        <f>IF($B392="","",IFERROR(INDEX('العقود'!$E:$E,MATCH($B392,'العقود'!$A:$A,0)),""))</f>
        <v>706</v>
      </c>
      <c r="E392" s="38" t="s">
        <v>958</v>
      </c>
      <c r="F392" s="39">
        <v>10890</v>
      </c>
      <c r="G392" s="33"/>
      <c r="H392" t="s">
        <v>620</v>
      </c>
      <c r="I392" t="s">
        <v>35</v>
      </c>
      <c r="J392" t="s">
        <v>35</v>
      </c>
      <c r="K392" t="s">
        <v>621</v>
      </c>
      <c r="L392" s="33">
        <v>46305</v>
      </c>
      <c r="M392" s="27" t="str">
        <f>IF($B392="","",IFERROR(INDEX('العقود'!$D:$D,MATCH($B392,'العقود'!$A:$A,0)),""))</f>
        <v>ابو بكر</v>
      </c>
    </row>
    <row r="393" spans="1:13" x14ac:dyDescent="0.25">
      <c r="A393" t="s">
        <v>1017</v>
      </c>
      <c r="B393" t="s">
        <v>502</v>
      </c>
      <c r="C393" s="27" t="str">
        <f>IF($B393="","",IFERROR(INDEX('العقود'!$F:$F,MATCH($B393,'العقود'!$A:$A,0)),""))</f>
        <v>شركة الأفق للخدمات الطبية</v>
      </c>
      <c r="D393" s="27" t="str">
        <f>IF($B393="","",IFERROR(INDEX('العقود'!$E:$E,MATCH($B393,'العقود'!$A:$A,0)),""))</f>
        <v>707</v>
      </c>
      <c r="E393" s="38" t="s">
        <v>958</v>
      </c>
      <c r="F393" s="39">
        <v>13000</v>
      </c>
      <c r="G393" s="33"/>
      <c r="H393" t="s">
        <v>620</v>
      </c>
      <c r="I393" t="s">
        <v>35</v>
      </c>
      <c r="J393" t="s">
        <v>35</v>
      </c>
      <c r="K393" t="s">
        <v>621</v>
      </c>
      <c r="L393" s="33">
        <v>46305</v>
      </c>
      <c r="M393" s="27" t="str">
        <f>IF($B393="","",IFERROR(INDEX('العقود'!$D:$D,MATCH($B393,'العقود'!$A:$A,0)),""))</f>
        <v>ابو بكر</v>
      </c>
    </row>
    <row r="394" spans="1:13" x14ac:dyDescent="0.25">
      <c r="A394" t="s">
        <v>1018</v>
      </c>
      <c r="B394" t="s">
        <v>506</v>
      </c>
      <c r="C394" s="27" t="str">
        <f>IF($B394="","",IFERROR(INDEX('العقود'!$F:$F,MATCH($B394,'العقود'!$A:$A,0)),""))</f>
        <v>شركة الأفق للخدمات الطبية</v>
      </c>
      <c r="D394" s="27" t="str">
        <f>IF($B394="","",IFERROR(INDEX('العقود'!$E:$E,MATCH($B394,'العقود'!$A:$A,0)),""))</f>
        <v>708</v>
      </c>
      <c r="E394" s="38" t="s">
        <v>958</v>
      </c>
      <c r="F394" s="39">
        <v>13000</v>
      </c>
      <c r="G394" s="33"/>
      <c r="H394" t="s">
        <v>620</v>
      </c>
      <c r="I394" t="s">
        <v>35</v>
      </c>
      <c r="J394" t="s">
        <v>35</v>
      </c>
      <c r="K394" t="s">
        <v>621</v>
      </c>
      <c r="L394" s="33">
        <v>46305</v>
      </c>
      <c r="M394" s="27" t="str">
        <f>IF($B394="","",IFERROR(INDEX('العقود'!$D:$D,MATCH($B394,'العقود'!$A:$A,0)),""))</f>
        <v>ابو بكر</v>
      </c>
    </row>
    <row r="395" spans="1:13" x14ac:dyDescent="0.25">
      <c r="A395" t="s">
        <v>1019</v>
      </c>
      <c r="B395" t="s">
        <v>52</v>
      </c>
      <c r="C395" s="27" t="str">
        <f>IF($B395="","",IFERROR(INDEX('العقود'!$F:$F,MATCH($B395,'العقود'!$A:$A,0)),""))</f>
        <v>شركة الأفق لتكنولوجيا المعلومات</v>
      </c>
      <c r="D395" s="27" t="str">
        <f>IF($B395="","",IFERROR(INDEX('العقود'!$E:$E,MATCH($B395,'العقود'!$A:$A,0)),""))</f>
        <v>ميزان 1/2</v>
      </c>
      <c r="E395" s="38" t="s">
        <v>1020</v>
      </c>
      <c r="F395" s="39">
        <v>49610</v>
      </c>
      <c r="G395" s="33"/>
      <c r="H395" t="s">
        <v>620</v>
      </c>
      <c r="I395" t="s">
        <v>35</v>
      </c>
      <c r="J395" t="s">
        <v>35</v>
      </c>
      <c r="K395" t="s">
        <v>621</v>
      </c>
      <c r="L395" s="33">
        <v>46305</v>
      </c>
      <c r="M395" s="27" t="str">
        <f>IF($B395="","",IFERROR(INDEX('العقود'!$D:$D,MATCH($B395,'العقود'!$A:$A,0)),""))</f>
        <v>بابل</v>
      </c>
    </row>
    <row r="396" spans="1:13" x14ac:dyDescent="0.25">
      <c r="A396" t="s">
        <v>1021</v>
      </c>
      <c r="B396" t="s">
        <v>63</v>
      </c>
      <c r="C396" s="27" t="str">
        <f>IF($B396="","",IFERROR(INDEX('العقود'!$F:$F,MATCH($B396,'العقود'!$A:$A,0)),""))</f>
        <v>شركة الأفق لتكنولوجيا المعلومات</v>
      </c>
      <c r="D396" s="27" t="str">
        <f>IF($B396="","",IFERROR(INDEX('العقود'!$E:$E,MATCH($B396,'العقود'!$A:$A,0)),""))</f>
        <v>الدور الثاني</v>
      </c>
      <c r="E396" s="38" t="s">
        <v>1020</v>
      </c>
      <c r="F396" s="39">
        <v>91960</v>
      </c>
      <c r="G396" s="33"/>
      <c r="H396" t="s">
        <v>620</v>
      </c>
      <c r="I396" t="s">
        <v>35</v>
      </c>
      <c r="J396" t="s">
        <v>35</v>
      </c>
      <c r="K396" t="s">
        <v>621</v>
      </c>
      <c r="L396" s="33">
        <v>46305</v>
      </c>
      <c r="M396" s="27" t="str">
        <f>IF($B396="","",IFERROR(INDEX('العقود'!$D:$D,MATCH($B396,'العقود'!$A:$A,0)),""))</f>
        <v>بابل</v>
      </c>
    </row>
    <row r="397" spans="1:13" x14ac:dyDescent="0.25">
      <c r="A397" t="s">
        <v>1022</v>
      </c>
      <c r="B397" t="s">
        <v>70</v>
      </c>
      <c r="C397" s="27" t="str">
        <f>IF($B397="","",IFERROR(INDEX('العقود'!$F:$F,MATCH($B397,'العقود'!$A:$A,0)),""))</f>
        <v>شركة الأمل للاستشارات الهندسية</v>
      </c>
      <c r="D397" s="27" t="str">
        <f>IF($B397="","",IFERROR(INDEX('العقود'!$E:$E,MATCH($B397,'العقود'!$A:$A,0)),""))</f>
        <v>مكتب 42</v>
      </c>
      <c r="E397" s="38" t="s">
        <v>1020</v>
      </c>
      <c r="F397" s="39">
        <v>30250</v>
      </c>
      <c r="G397" s="33"/>
      <c r="H397" t="s">
        <v>620</v>
      </c>
      <c r="I397" t="s">
        <v>35</v>
      </c>
      <c r="J397" t="s">
        <v>35</v>
      </c>
      <c r="K397" t="s">
        <v>621</v>
      </c>
      <c r="L397" s="33">
        <v>46305</v>
      </c>
      <c r="M397" s="27" t="str">
        <f>IF($B397="","",IFERROR(INDEX('العقود'!$D:$D,MATCH($B397,'العقود'!$A:$A,0)),""))</f>
        <v>بابل</v>
      </c>
    </row>
    <row r="398" spans="1:13" x14ac:dyDescent="0.25">
      <c r="A398" t="s">
        <v>1023</v>
      </c>
      <c r="B398" t="s">
        <v>86</v>
      </c>
      <c r="C398" s="27" t="str">
        <f>IF($B398="","",IFERROR(INDEX('العقود'!$F:$F,MATCH($B398,'العقود'!$A:$A,0)),""))</f>
        <v>شركة المستقبل للتدريب</v>
      </c>
      <c r="D398" s="27" t="str">
        <f>IF($B398="","",IFERROR(INDEX('العقود'!$E:$E,MATCH($B398,'العقود'!$A:$A,0)),""))</f>
        <v>ميزان 1</v>
      </c>
      <c r="E398" s="38" t="s">
        <v>1020</v>
      </c>
      <c r="F398" s="39">
        <v>42350</v>
      </c>
      <c r="G398" s="33"/>
      <c r="H398" t="s">
        <v>620</v>
      </c>
      <c r="I398" t="s">
        <v>35</v>
      </c>
      <c r="J398" t="s">
        <v>35</v>
      </c>
      <c r="K398" t="s">
        <v>621</v>
      </c>
      <c r="L398" s="33">
        <v>46305</v>
      </c>
      <c r="M398" s="27" t="str">
        <f>IF($B398="","",IFERROR(INDEX('العقود'!$D:$D,MATCH($B398,'العقود'!$A:$A,0)),""))</f>
        <v>محيي الدين</v>
      </c>
    </row>
    <row r="399" spans="1:13" x14ac:dyDescent="0.25">
      <c r="A399" t="s">
        <v>1024</v>
      </c>
      <c r="B399" t="s">
        <v>95</v>
      </c>
      <c r="C399" s="27" t="str">
        <f>IF($B399="","",IFERROR(INDEX('العقود'!$F:$F,MATCH($B399,'العقود'!$A:$A,0)),""))</f>
        <v>شركة الياسمين للتجارة</v>
      </c>
      <c r="D399" s="27" t="str">
        <f>IF($B399="","",IFERROR(INDEX('العقود'!$E:$E,MATCH($B399,'العقود'!$A:$A,0)),""))</f>
        <v>ميزان 2</v>
      </c>
      <c r="E399" s="38" t="s">
        <v>1020</v>
      </c>
      <c r="F399" s="39">
        <v>25410</v>
      </c>
      <c r="G399" s="33"/>
      <c r="H399" t="s">
        <v>620</v>
      </c>
      <c r="I399" t="s">
        <v>35</v>
      </c>
      <c r="J399" t="s">
        <v>35</v>
      </c>
      <c r="K399" t="s">
        <v>621</v>
      </c>
      <c r="L399" s="33">
        <v>46305</v>
      </c>
      <c r="M399" s="27" t="str">
        <f>IF($B399="","",IFERROR(INDEX('العقود'!$D:$D,MATCH($B399,'العقود'!$A:$A,0)),""))</f>
        <v>محيي الدين</v>
      </c>
    </row>
    <row r="400" spans="1:13" x14ac:dyDescent="0.25">
      <c r="A400" t="s">
        <v>1025</v>
      </c>
      <c r="B400" t="s">
        <v>103</v>
      </c>
      <c r="C400" s="27" t="str">
        <f>IF($B400="","",IFERROR(INDEX('العقود'!$F:$F,MATCH($B400,'العقود'!$A:$A,0)),""))</f>
        <v>شركة الأفق للاستيراد والتصدير</v>
      </c>
      <c r="D400" s="27" t="str">
        <f>IF($B400="","",IFERROR(INDEX('العقود'!$E:$E,MATCH($B400,'العقود'!$A:$A,0)),""))</f>
        <v>202</v>
      </c>
      <c r="E400" s="38" t="s">
        <v>1020</v>
      </c>
      <c r="F400" s="39">
        <v>46585</v>
      </c>
      <c r="G400" s="33"/>
      <c r="H400" t="s">
        <v>620</v>
      </c>
      <c r="I400" t="s">
        <v>35</v>
      </c>
      <c r="J400" t="s">
        <v>35</v>
      </c>
      <c r="K400" t="s">
        <v>621</v>
      </c>
      <c r="L400" s="33">
        <v>46305</v>
      </c>
      <c r="M400" s="27" t="str">
        <f>IF($B400="","",IFERROR(INDEX('العقود'!$D:$D,MATCH($B400,'العقود'!$A:$A,0)),""))</f>
        <v>محيي الدين</v>
      </c>
    </row>
    <row r="401" spans="1:13" x14ac:dyDescent="0.25">
      <c r="A401" t="s">
        <v>1026</v>
      </c>
      <c r="B401" t="s">
        <v>113</v>
      </c>
      <c r="C401" s="27" t="str">
        <f>IF($B401="","",IFERROR(INDEX('العقود'!$F:$F,MATCH($B401,'العقود'!$A:$A,0)),""))</f>
        <v>شريف هشام فوزي</v>
      </c>
      <c r="D401" s="27" t="str">
        <f>IF($B401="","",IFERROR(INDEX('العقود'!$E:$E,MATCH($B401,'العقود'!$A:$A,0)),""))</f>
        <v>301</v>
      </c>
      <c r="E401" s="38" t="s">
        <v>1020</v>
      </c>
      <c r="F401" s="39">
        <v>37000</v>
      </c>
      <c r="G401" s="33"/>
      <c r="H401" t="s">
        <v>620</v>
      </c>
      <c r="I401" t="s">
        <v>35</v>
      </c>
      <c r="J401" t="s">
        <v>35</v>
      </c>
      <c r="K401" t="s">
        <v>621</v>
      </c>
      <c r="L401" s="33">
        <v>46305</v>
      </c>
      <c r="M401" s="27" t="str">
        <f>IF($B401="","",IFERROR(INDEX('العقود'!$D:$D,MATCH($B401,'العقود'!$A:$A,0)),""))</f>
        <v>محيي الدين</v>
      </c>
    </row>
    <row r="402" spans="1:13" x14ac:dyDescent="0.25">
      <c r="A402" t="s">
        <v>1027</v>
      </c>
      <c r="B402" t="s">
        <v>120</v>
      </c>
      <c r="C402" s="27" t="str">
        <f>IF($B402="","",IFERROR(INDEX('العقود'!$F:$F,MATCH($B402,'العقود'!$A:$A,0)),""))</f>
        <v>د/ باسم أمير سليم</v>
      </c>
      <c r="D402" s="27" t="str">
        <f>IF($B402="","",IFERROR(INDEX('العقود'!$E:$E,MATCH($B402,'العقود'!$A:$A,0)),""))</f>
        <v>302</v>
      </c>
      <c r="E402" s="38" t="s">
        <v>1020</v>
      </c>
      <c r="F402" s="39">
        <v>38500</v>
      </c>
      <c r="G402" s="33"/>
      <c r="H402" t="s">
        <v>620</v>
      </c>
      <c r="I402" t="s">
        <v>35</v>
      </c>
      <c r="J402" t="s">
        <v>35</v>
      </c>
      <c r="K402" t="s">
        <v>621</v>
      </c>
      <c r="L402" s="33">
        <v>46305</v>
      </c>
      <c r="M402" s="27" t="str">
        <f>IF($B402="","",IFERROR(INDEX('العقود'!$D:$D,MATCH($B402,'العقود'!$A:$A,0)),""))</f>
        <v>محيي الدين</v>
      </c>
    </row>
    <row r="403" spans="1:13" x14ac:dyDescent="0.25">
      <c r="A403" t="s">
        <v>1028</v>
      </c>
      <c r="B403" t="s">
        <v>126</v>
      </c>
      <c r="C403" s="27" t="str">
        <f>IF($B403="","",IFERROR(INDEX('العقود'!$F:$F,MATCH($B403,'العقود'!$A:$A,0)),""))</f>
        <v>شركة الصفوة للإنتاج الفني</v>
      </c>
      <c r="D403" s="27" t="str">
        <f>IF($B403="","",IFERROR(INDEX('العقود'!$E:$E,MATCH($B403,'العقود'!$A:$A,0)),""))</f>
        <v>303</v>
      </c>
      <c r="E403" s="38" t="s">
        <v>1020</v>
      </c>
      <c r="F403" s="39">
        <v>43000</v>
      </c>
      <c r="G403" s="33"/>
      <c r="H403" t="s">
        <v>620</v>
      </c>
      <c r="I403" t="s">
        <v>35</v>
      </c>
      <c r="J403" t="s">
        <v>35</v>
      </c>
      <c r="K403" t="s">
        <v>621</v>
      </c>
      <c r="L403" s="33">
        <v>46305</v>
      </c>
      <c r="M403" s="27" t="str">
        <f>IF($B403="","",IFERROR(INDEX('العقود'!$D:$D,MATCH($B403,'العقود'!$A:$A,0)),""))</f>
        <v>محيي الدين</v>
      </c>
    </row>
    <row r="404" spans="1:13" x14ac:dyDescent="0.25">
      <c r="A404" t="s">
        <v>1029</v>
      </c>
      <c r="B404" t="s">
        <v>130</v>
      </c>
      <c r="C404" s="27" t="str">
        <f>IF($B404="","",IFERROR(INDEX('العقود'!$F:$F,MATCH($B404,'العقود'!$A:$A,0)),""))</f>
        <v>شركة الصفوة للإنتاج الفني</v>
      </c>
      <c r="D404" s="27" t="str">
        <f>IF($B404="","",IFERROR(INDEX('العقود'!$E:$E,MATCH($B404,'العقود'!$A:$A,0)),""))</f>
        <v>304</v>
      </c>
      <c r="E404" s="38" t="s">
        <v>1020</v>
      </c>
      <c r="F404" s="39">
        <v>27830</v>
      </c>
      <c r="G404" s="33"/>
      <c r="H404" t="s">
        <v>620</v>
      </c>
      <c r="I404" t="s">
        <v>35</v>
      </c>
      <c r="J404" t="s">
        <v>35</v>
      </c>
      <c r="K404" t="s">
        <v>621</v>
      </c>
      <c r="L404" s="33">
        <v>46305</v>
      </c>
      <c r="M404" s="27" t="str">
        <f>IF($B404="","",IFERROR(INDEX('العقود'!$D:$D,MATCH($B404,'العقود'!$A:$A,0)),""))</f>
        <v>محيي الدين</v>
      </c>
    </row>
    <row r="405" spans="1:13" x14ac:dyDescent="0.25">
      <c r="A405" t="s">
        <v>1030</v>
      </c>
      <c r="B405" t="s">
        <v>136</v>
      </c>
      <c r="C405" s="27" t="str">
        <f>IF($B405="","",IFERROR(INDEX('العقود'!$F:$F,MATCH($B405,'العقود'!$A:$A,0)),""))</f>
        <v>د/ يوسف حسن مكرم</v>
      </c>
      <c r="D405" s="27" t="str">
        <f>IF($B405="","",IFERROR(INDEX('العقود'!$E:$E,MATCH($B405,'العقود'!$A:$A,0)),""))</f>
        <v>401</v>
      </c>
      <c r="E405" s="38" t="s">
        <v>1020</v>
      </c>
      <c r="F405" s="39">
        <v>37665</v>
      </c>
      <c r="G405" s="33"/>
      <c r="H405" t="s">
        <v>620</v>
      </c>
      <c r="I405" t="s">
        <v>35</v>
      </c>
      <c r="J405" t="s">
        <v>35</v>
      </c>
      <c r="K405" t="s">
        <v>621</v>
      </c>
      <c r="L405" s="33">
        <v>46305</v>
      </c>
      <c r="M405" s="27" t="str">
        <f>IF($B405="","",IFERROR(INDEX('العقود'!$D:$D,MATCH($B405,'العقود'!$A:$A,0)),""))</f>
        <v>محيي الدين</v>
      </c>
    </row>
    <row r="406" spans="1:13" x14ac:dyDescent="0.25">
      <c r="A406" t="s">
        <v>1031</v>
      </c>
      <c r="B406" t="s">
        <v>143</v>
      </c>
      <c r="C406" s="27" t="str">
        <f>IF($B406="","",IFERROR(INDEX('العقود'!$F:$F,MATCH($B406,'العقود'!$A:$A,0)),""))</f>
        <v>د/ فادي سعيد منصور</v>
      </c>
      <c r="D406" s="27" t="str">
        <f>IF($B406="","",IFERROR(INDEX('العقود'!$E:$E,MATCH($B406,'العقود'!$A:$A,0)),""))</f>
        <v>404</v>
      </c>
      <c r="E406" s="38" t="s">
        <v>1020</v>
      </c>
      <c r="F406" s="39">
        <v>30250</v>
      </c>
      <c r="G406" s="33"/>
      <c r="H406" t="s">
        <v>620</v>
      </c>
      <c r="I406" t="s">
        <v>35</v>
      </c>
      <c r="J406" t="s">
        <v>35</v>
      </c>
      <c r="K406" t="s">
        <v>621</v>
      </c>
      <c r="L406" s="33">
        <v>46305</v>
      </c>
      <c r="M406" s="27" t="str">
        <f>IF($B406="","",IFERROR(INDEX('العقود'!$D:$D,MATCH($B406,'العقود'!$A:$A,0)),""))</f>
        <v>محيي الدين</v>
      </c>
    </row>
    <row r="407" spans="1:13" x14ac:dyDescent="0.25">
      <c r="A407" t="s">
        <v>1032</v>
      </c>
      <c r="B407" t="s">
        <v>149</v>
      </c>
      <c r="C407" s="27" t="str">
        <f>IF($B407="","",IFERROR(INDEX('العقود'!$F:$F,MATCH($B407,'العقود'!$A:$A,0)),""))</f>
        <v>د/ رضوى خالد عبد الرحمن</v>
      </c>
      <c r="D407" s="27" t="str">
        <f>IF($B407="","",IFERROR(INDEX('العقود'!$E:$E,MATCH($B407,'العقود'!$A:$A,0)),""))</f>
        <v>502</v>
      </c>
      <c r="E407" s="38" t="s">
        <v>1020</v>
      </c>
      <c r="F407" s="39">
        <v>19060</v>
      </c>
      <c r="G407" s="33"/>
      <c r="H407" t="s">
        <v>620</v>
      </c>
      <c r="I407" t="s">
        <v>35</v>
      </c>
      <c r="J407" t="s">
        <v>35</v>
      </c>
      <c r="K407" t="s">
        <v>621</v>
      </c>
      <c r="L407" s="33">
        <v>46305</v>
      </c>
      <c r="M407" s="27" t="str">
        <f>IF($B407="","",IFERROR(INDEX('العقود'!$D:$D,MATCH($B407,'العقود'!$A:$A,0)),""))</f>
        <v>محيي الدين</v>
      </c>
    </row>
    <row r="408" spans="1:13" x14ac:dyDescent="0.25">
      <c r="A408" t="s">
        <v>1033</v>
      </c>
      <c r="B408" t="s">
        <v>156</v>
      </c>
      <c r="C408" s="27" t="str">
        <f>IF($B408="","",IFERROR(INDEX('العقود'!$F:$F,MATCH($B408,'العقود'!$A:$A,0)),""))</f>
        <v>د/ آية أيمن بدوي</v>
      </c>
      <c r="D408" s="27" t="str">
        <f>IF($B408="","",IFERROR(INDEX('العقود'!$E:$E,MATCH($B408,'العقود'!$A:$A,0)),""))</f>
        <v>503</v>
      </c>
      <c r="E408" s="38" t="s">
        <v>1020</v>
      </c>
      <c r="F408" s="39">
        <v>20570</v>
      </c>
      <c r="G408" s="33"/>
      <c r="H408" t="s">
        <v>620</v>
      </c>
      <c r="I408" t="s">
        <v>35</v>
      </c>
      <c r="J408" t="s">
        <v>35</v>
      </c>
      <c r="K408" t="s">
        <v>621</v>
      </c>
      <c r="L408" s="33">
        <v>46305</v>
      </c>
      <c r="M408" s="27" t="str">
        <f>IF($B408="","",IFERROR(INDEX('العقود'!$D:$D,MATCH($B408,'العقود'!$A:$A,0)),""))</f>
        <v>محيي الدين</v>
      </c>
    </row>
    <row r="409" spans="1:13" x14ac:dyDescent="0.25">
      <c r="A409" t="s">
        <v>1034</v>
      </c>
      <c r="B409" t="s">
        <v>162</v>
      </c>
      <c r="C409" s="27" t="str">
        <f>IF($B409="","",IFERROR(INDEX('العقود'!$F:$F,MATCH($B409,'العقود'!$A:$A,0)),""))</f>
        <v>محمد سعيد عبد الرحمن</v>
      </c>
      <c r="D409" s="27" t="str">
        <f>IF($B409="","",IFERROR(INDEX('العقود'!$E:$E,MATCH($B409,'العقود'!$A:$A,0)),""))</f>
        <v>504</v>
      </c>
      <c r="E409" s="38" t="s">
        <v>1020</v>
      </c>
      <c r="F409" s="39">
        <v>25410</v>
      </c>
      <c r="G409" s="33"/>
      <c r="H409" t="s">
        <v>620</v>
      </c>
      <c r="I409" t="s">
        <v>35</v>
      </c>
      <c r="J409" t="s">
        <v>35</v>
      </c>
      <c r="K409" t="s">
        <v>621</v>
      </c>
      <c r="L409" s="33">
        <v>46305</v>
      </c>
      <c r="M409" s="27" t="str">
        <f>IF($B409="","",IFERROR(INDEX('العقود'!$D:$D,MATCH($B409,'العقود'!$A:$A,0)),""))</f>
        <v>محيي الدين</v>
      </c>
    </row>
    <row r="410" spans="1:13" x14ac:dyDescent="0.25">
      <c r="A410" t="s">
        <v>1035</v>
      </c>
      <c r="B410" t="s">
        <v>171</v>
      </c>
      <c r="C410" s="27" t="str">
        <f>IF($B410="","",IFERROR(INDEX('العقود'!$F:$F,MATCH($B410,'العقود'!$A:$A,0)),""))</f>
        <v>شركة الأمل للإنتاج الفني</v>
      </c>
      <c r="D410" s="27" t="str">
        <f>IF($B410="","",IFERROR(INDEX('العقود'!$E:$E,MATCH($B410,'العقود'!$A:$A,0)),""))</f>
        <v>ميزان 1</v>
      </c>
      <c r="E410" s="38" t="s">
        <v>1020</v>
      </c>
      <c r="F410" s="39">
        <v>40700</v>
      </c>
      <c r="G410" s="33"/>
      <c r="H410" t="s">
        <v>620</v>
      </c>
      <c r="I410" t="s">
        <v>35</v>
      </c>
      <c r="J410" t="s">
        <v>35</v>
      </c>
      <c r="K410" t="s">
        <v>621</v>
      </c>
      <c r="L410" s="33">
        <v>46305</v>
      </c>
      <c r="M410" s="27" t="str">
        <f>IF($B410="","",IFERROR(INDEX('العقود'!$D:$D,MATCH($B410,'العقود'!$A:$A,0)),""))</f>
        <v>ابو بكر</v>
      </c>
    </row>
    <row r="411" spans="1:13" x14ac:dyDescent="0.25">
      <c r="A411" t="s">
        <v>1036</v>
      </c>
      <c r="B411" t="s">
        <v>177</v>
      </c>
      <c r="C411" s="27" t="str">
        <f>IF($B411="","",IFERROR(INDEX('العقود'!$F:$F,MATCH($B411,'العقود'!$A:$A,0)),""))</f>
        <v>شركة النور للاستشارات الهندسية</v>
      </c>
      <c r="D411" s="27" t="str">
        <f>IF($B411="","",IFERROR(INDEX('العقود'!$E:$E,MATCH($B411,'العقود'!$A:$A,0)),""))</f>
        <v>ميزان 2</v>
      </c>
      <c r="E411" s="38" t="s">
        <v>1020</v>
      </c>
      <c r="F411" s="39">
        <v>40700</v>
      </c>
      <c r="G411" s="33"/>
      <c r="H411" t="s">
        <v>620</v>
      </c>
      <c r="I411" t="s">
        <v>35</v>
      </c>
      <c r="J411" t="s">
        <v>35</v>
      </c>
      <c r="K411" t="s">
        <v>621</v>
      </c>
      <c r="L411" s="33">
        <v>46305</v>
      </c>
      <c r="M411" s="27" t="str">
        <f>IF($B411="","",IFERROR(INDEX('العقود'!$D:$D,MATCH($B411,'العقود'!$A:$A,0)),""))</f>
        <v>ابو بكر</v>
      </c>
    </row>
    <row r="412" spans="1:13" x14ac:dyDescent="0.25">
      <c r="A412" t="s">
        <v>1037</v>
      </c>
      <c r="B412" t="s">
        <v>186</v>
      </c>
      <c r="C412" s="27" t="str">
        <f>IF($B412="","",IFERROR(INDEX('العقود'!$F:$F,MATCH($B412,'العقود'!$A:$A,0)),""))</f>
        <v>عادل عمر مكرم</v>
      </c>
      <c r="D412" s="27" t="str">
        <f>IF($B412="","",IFERROR(INDEX('العقود'!$E:$E,MATCH($B412,'العقود'!$A:$A,0)),""))</f>
        <v>102</v>
      </c>
      <c r="E412" s="38" t="s">
        <v>1020</v>
      </c>
      <c r="F412" s="39">
        <v>20000</v>
      </c>
      <c r="G412" s="33"/>
      <c r="H412" t="s">
        <v>620</v>
      </c>
      <c r="I412" t="s">
        <v>35</v>
      </c>
      <c r="J412" t="s">
        <v>35</v>
      </c>
      <c r="K412" t="s">
        <v>621</v>
      </c>
      <c r="L412" s="33">
        <v>46305</v>
      </c>
      <c r="M412" s="27" t="str">
        <f>IF($B412="","",IFERROR(INDEX('العقود'!$D:$D,MATCH($B412,'العقود'!$A:$A,0)),""))</f>
        <v>ابو بكر</v>
      </c>
    </row>
    <row r="413" spans="1:13" x14ac:dyDescent="0.25">
      <c r="A413" t="s">
        <v>1038</v>
      </c>
      <c r="B413" t="s">
        <v>190</v>
      </c>
      <c r="C413" s="27" t="str">
        <f>IF($B413="","",IFERROR(INDEX('العقود'!$F:$F,MATCH($B413,'العقود'!$A:$A,0)),""))</f>
        <v>تامر علي بدوي</v>
      </c>
      <c r="D413" s="27" t="str">
        <f>IF($B413="","",IFERROR(INDEX('العقود'!$E:$E,MATCH($B413,'العقود'!$A:$A,0)),""))</f>
        <v>103</v>
      </c>
      <c r="E413" s="38" t="s">
        <v>1020</v>
      </c>
      <c r="F413" s="39">
        <v>7000</v>
      </c>
      <c r="G413" s="33"/>
      <c r="H413" t="s">
        <v>620</v>
      </c>
      <c r="I413" t="s">
        <v>35</v>
      </c>
      <c r="J413" t="s">
        <v>35</v>
      </c>
      <c r="K413" t="s">
        <v>621</v>
      </c>
      <c r="L413" s="33">
        <v>46305</v>
      </c>
      <c r="M413" s="27" t="str">
        <f>IF($B413="","",IFERROR(INDEX('العقود'!$D:$D,MATCH($B413,'العقود'!$A:$A,0)),""))</f>
        <v>ابو بكر</v>
      </c>
    </row>
    <row r="414" spans="1:13" x14ac:dyDescent="0.25">
      <c r="A414" t="s">
        <v>1039</v>
      </c>
      <c r="B414" t="s">
        <v>199</v>
      </c>
      <c r="C414" s="27" t="str">
        <f>IF($B414="","",IFERROR(INDEX('العقود'!$F:$F,MATCH($B414,'العقود'!$A:$A,0)),""))</f>
        <v>مروان محمود حسنين</v>
      </c>
      <c r="D414" s="27" t="str">
        <f>IF($B414="","",IFERROR(INDEX('العقود'!$E:$E,MATCH($B414,'العقود'!$A:$A,0)),""))</f>
        <v>104</v>
      </c>
      <c r="E414" s="38" t="s">
        <v>1020</v>
      </c>
      <c r="F414" s="39">
        <v>15000</v>
      </c>
      <c r="G414" s="33"/>
      <c r="H414" t="s">
        <v>620</v>
      </c>
      <c r="I414" t="s">
        <v>35</v>
      </c>
      <c r="J414" t="s">
        <v>35</v>
      </c>
      <c r="K414" t="s">
        <v>621</v>
      </c>
      <c r="L414" s="33">
        <v>46305</v>
      </c>
      <c r="M414" s="27" t="str">
        <f>IF($B414="","",IFERROR(INDEX('العقود'!$D:$D,MATCH($B414,'العقود'!$A:$A,0)),""))</f>
        <v>ابو بكر</v>
      </c>
    </row>
    <row r="415" spans="1:13" x14ac:dyDescent="0.25">
      <c r="A415" t="s">
        <v>1040</v>
      </c>
      <c r="B415" t="s">
        <v>203</v>
      </c>
      <c r="C415" s="27" t="str">
        <f>IF($B415="","",IFERROR(INDEX('العقود'!$F:$F,MATCH($B415,'العقود'!$A:$A,0)),""))</f>
        <v>عادل عمر مكرم</v>
      </c>
      <c r="D415" s="27" t="str">
        <f>IF($B415="","",IFERROR(INDEX('العقود'!$E:$E,MATCH($B415,'العقود'!$A:$A,0)),""))</f>
        <v>105</v>
      </c>
      <c r="E415" s="38" t="s">
        <v>1020</v>
      </c>
      <c r="F415" s="39">
        <v>15000</v>
      </c>
      <c r="G415" s="33"/>
      <c r="H415" t="s">
        <v>620</v>
      </c>
      <c r="I415" t="s">
        <v>35</v>
      </c>
      <c r="J415" t="s">
        <v>35</v>
      </c>
      <c r="K415" t="s">
        <v>621</v>
      </c>
      <c r="L415" s="33">
        <v>46305</v>
      </c>
      <c r="M415" s="27" t="str">
        <f>IF($B415="","",IFERROR(INDEX('العقود'!$D:$D,MATCH($B415,'العقود'!$A:$A,0)),""))</f>
        <v>ابو بكر</v>
      </c>
    </row>
    <row r="416" spans="1:13" x14ac:dyDescent="0.25">
      <c r="A416" t="s">
        <v>1041</v>
      </c>
      <c r="B416" t="s">
        <v>207</v>
      </c>
      <c r="C416" s="27" t="str">
        <f>IF($B416="","",IFERROR(INDEX('العقود'!$F:$F,MATCH($B416,'العقود'!$A:$A,0)),""))</f>
        <v>حسين أمير بدوي</v>
      </c>
      <c r="D416" s="27" t="str">
        <f>IF($B416="","",IFERROR(INDEX('العقود'!$E:$E,MATCH($B416,'العقود'!$A:$A,0)),""))</f>
        <v>106</v>
      </c>
      <c r="E416" s="38" t="s">
        <v>1020</v>
      </c>
      <c r="F416" s="39">
        <v>7000</v>
      </c>
      <c r="G416" s="33"/>
      <c r="H416" t="s">
        <v>620</v>
      </c>
      <c r="I416" t="s">
        <v>35</v>
      </c>
      <c r="J416" t="s">
        <v>35</v>
      </c>
      <c r="K416" t="s">
        <v>621</v>
      </c>
      <c r="L416" s="33">
        <v>46305</v>
      </c>
      <c r="M416" s="27" t="str">
        <f>IF($B416="","",IFERROR(INDEX('العقود'!$D:$D,MATCH($B416,'العقود'!$A:$A,0)),""))</f>
        <v>ابو بكر</v>
      </c>
    </row>
    <row r="417" spans="1:13" x14ac:dyDescent="0.25">
      <c r="A417" t="s">
        <v>1042</v>
      </c>
      <c r="B417" t="s">
        <v>213</v>
      </c>
      <c r="C417" s="27" t="str">
        <f>IF($B417="","",IFERROR(INDEX('العقود'!$F:$F,MATCH($B417,'العقود'!$A:$A,0)),""))</f>
        <v>حسين أمير بدوي</v>
      </c>
      <c r="D417" s="27" t="str">
        <f>IF($B417="","",IFERROR(INDEX('العقود'!$E:$E,MATCH($B417,'العقود'!$A:$A,0)),""))</f>
        <v>107</v>
      </c>
      <c r="E417" s="38" t="s">
        <v>1020</v>
      </c>
      <c r="F417" s="39">
        <v>8000</v>
      </c>
      <c r="G417" s="33"/>
      <c r="H417" t="s">
        <v>620</v>
      </c>
      <c r="I417" t="s">
        <v>35</v>
      </c>
      <c r="J417" t="s">
        <v>35</v>
      </c>
      <c r="K417" t="s">
        <v>621</v>
      </c>
      <c r="L417" s="33">
        <v>46305</v>
      </c>
      <c r="M417" s="27" t="str">
        <f>IF($B417="","",IFERROR(INDEX('العقود'!$D:$D,MATCH($B417,'العقود'!$A:$A,0)),""))</f>
        <v>ابو بكر</v>
      </c>
    </row>
    <row r="418" spans="1:13" x14ac:dyDescent="0.25">
      <c r="A418" t="s">
        <v>1043</v>
      </c>
      <c r="B418" t="s">
        <v>217</v>
      </c>
      <c r="C418" s="27" t="str">
        <f>IF($B418="","",IFERROR(INDEX('العقود'!$F:$F,MATCH($B418,'العقود'!$A:$A,0)),""))</f>
        <v>حسين أمير بدوي</v>
      </c>
      <c r="D418" s="27" t="str">
        <f>IF($B418="","",IFERROR(INDEX('العقود'!$E:$E,MATCH($B418,'العقود'!$A:$A,0)),""))</f>
        <v>108</v>
      </c>
      <c r="E418" s="38" t="s">
        <v>1020</v>
      </c>
      <c r="F418" s="39">
        <v>8000</v>
      </c>
      <c r="G418" s="33"/>
      <c r="H418" t="s">
        <v>620</v>
      </c>
      <c r="I418" t="s">
        <v>35</v>
      </c>
      <c r="J418" t="s">
        <v>35</v>
      </c>
      <c r="K418" t="s">
        <v>621</v>
      </c>
      <c r="L418" s="33">
        <v>46305</v>
      </c>
      <c r="M418" s="27" t="str">
        <f>IF($B418="","",IFERROR(INDEX('العقود'!$D:$D,MATCH($B418,'العقود'!$A:$A,0)),""))</f>
        <v>ابو بكر</v>
      </c>
    </row>
    <row r="419" spans="1:13" x14ac:dyDescent="0.25">
      <c r="A419" t="s">
        <v>1044</v>
      </c>
      <c r="B419" t="s">
        <v>228</v>
      </c>
      <c r="C419" s="27" t="str">
        <f>IF($B419="","",IFERROR(INDEX('العقود'!$F:$F,MATCH($B419,'العقود'!$A:$A,0)),""))</f>
        <v>د/ نادر شريف شاكر</v>
      </c>
      <c r="D419" s="27" t="str">
        <f>IF($B419="","",IFERROR(INDEX('العقود'!$E:$E,MATCH($B419,'العقود'!$A:$A,0)),""))</f>
        <v>202</v>
      </c>
      <c r="E419" s="38" t="s">
        <v>1020</v>
      </c>
      <c r="F419" s="39">
        <v>16500</v>
      </c>
      <c r="G419" s="33"/>
      <c r="H419" t="s">
        <v>620</v>
      </c>
      <c r="I419" t="s">
        <v>35</v>
      </c>
      <c r="J419" t="s">
        <v>35</v>
      </c>
      <c r="K419" t="s">
        <v>621</v>
      </c>
      <c r="L419" s="33">
        <v>46305</v>
      </c>
      <c r="M419" s="27" t="str">
        <f>IF($B419="","",IFERROR(INDEX('العقود'!$D:$D,MATCH($B419,'العقود'!$A:$A,0)),""))</f>
        <v>ابو بكر</v>
      </c>
    </row>
    <row r="420" spans="1:13" x14ac:dyDescent="0.25">
      <c r="A420" t="s">
        <v>1045</v>
      </c>
      <c r="B420" t="s">
        <v>241</v>
      </c>
      <c r="C420" s="27" t="str">
        <f>IF($B420="","",IFERROR(INDEX('العقود'!$F:$F,MATCH($B420,'العقود'!$A:$A,0)),""))</f>
        <v>د/ عمر باسم رزق</v>
      </c>
      <c r="D420" s="27" t="str">
        <f>IF($B420="","",IFERROR(INDEX('العقود'!$E:$E,MATCH($B420,'العقود'!$A:$A,0)),""))</f>
        <v>204</v>
      </c>
      <c r="E420" s="38" t="s">
        <v>1020</v>
      </c>
      <c r="F420" s="39">
        <v>14500</v>
      </c>
      <c r="G420" s="33"/>
      <c r="H420" t="s">
        <v>620</v>
      </c>
      <c r="I420" t="s">
        <v>35</v>
      </c>
      <c r="J420" t="s">
        <v>35</v>
      </c>
      <c r="K420" t="s">
        <v>621</v>
      </c>
      <c r="L420" s="33">
        <v>46305</v>
      </c>
      <c r="M420" s="27" t="str">
        <f>IF($B420="","",IFERROR(INDEX('العقود'!$D:$D,MATCH($B420,'العقود'!$A:$A,0)),""))</f>
        <v>ابو بكر</v>
      </c>
    </row>
    <row r="421" spans="1:13" x14ac:dyDescent="0.25">
      <c r="A421" t="s">
        <v>1046</v>
      </c>
      <c r="B421" t="s">
        <v>246</v>
      </c>
      <c r="C421" s="27" t="str">
        <f>IF($B421="","",IFERROR(INDEX('العقود'!$F:$F,MATCH($B421,'العقود'!$A:$A,0)),""))</f>
        <v>أحمد عمرو سليم</v>
      </c>
      <c r="D421" s="27" t="str">
        <f>IF($B421="","",IFERROR(INDEX('العقود'!$E:$E,MATCH($B421,'العقود'!$A:$A,0)),""))</f>
        <v>205</v>
      </c>
      <c r="E421" s="38" t="s">
        <v>1020</v>
      </c>
      <c r="F421" s="39">
        <v>14000</v>
      </c>
      <c r="G421" s="33"/>
      <c r="H421" t="s">
        <v>620</v>
      </c>
      <c r="I421" t="s">
        <v>35</v>
      </c>
      <c r="J421" t="s">
        <v>35</v>
      </c>
      <c r="K421" t="s">
        <v>621</v>
      </c>
      <c r="L421" s="33">
        <v>46305</v>
      </c>
      <c r="M421" s="27" t="str">
        <f>IF($B421="","",IFERROR(INDEX('العقود'!$D:$D,MATCH($B421,'العقود'!$A:$A,0)),""))</f>
        <v>ابو بكر</v>
      </c>
    </row>
    <row r="422" spans="1:13" x14ac:dyDescent="0.25">
      <c r="A422" t="s">
        <v>1047</v>
      </c>
      <c r="B422" t="s">
        <v>253</v>
      </c>
      <c r="C422" s="27" t="str">
        <f>IF($B422="","",IFERROR(INDEX('العقود'!$F:$F,MATCH($B422,'العقود'!$A:$A,0)),""))</f>
        <v>شركة النخبة للتجارة</v>
      </c>
      <c r="D422" s="27" t="str">
        <f>IF($B422="","",IFERROR(INDEX('العقود'!$E:$E,MATCH($B422,'العقود'!$A:$A,0)),""))</f>
        <v>206</v>
      </c>
      <c r="E422" s="38" t="s">
        <v>1020</v>
      </c>
      <c r="F422" s="39">
        <v>16500</v>
      </c>
      <c r="G422" s="33"/>
      <c r="H422" t="s">
        <v>620</v>
      </c>
      <c r="I422" t="s">
        <v>35</v>
      </c>
      <c r="J422" t="s">
        <v>35</v>
      </c>
      <c r="K422" t="s">
        <v>621</v>
      </c>
      <c r="L422" s="33">
        <v>46305</v>
      </c>
      <c r="M422" s="27" t="str">
        <f>IF($B422="","",IFERROR(INDEX('العقود'!$D:$D,MATCH($B422,'العقود'!$A:$A,0)),""))</f>
        <v>ابو بكر</v>
      </c>
    </row>
    <row r="423" spans="1:13" x14ac:dyDescent="0.25">
      <c r="A423" t="s">
        <v>1048</v>
      </c>
      <c r="B423" t="s">
        <v>260</v>
      </c>
      <c r="C423" s="27" t="str">
        <f>IF($B423="","",IFERROR(INDEX('العقود'!$F:$F,MATCH($B423,'العقود'!$A:$A,0)),""))</f>
        <v>د/ رنا هشام رزق</v>
      </c>
      <c r="D423" s="27" t="str">
        <f>IF($B423="","",IFERROR(INDEX('العقود'!$E:$E,MATCH($B423,'العقود'!$A:$A,0)),""))</f>
        <v>207</v>
      </c>
      <c r="E423" s="38" t="s">
        <v>1020</v>
      </c>
      <c r="F423" s="39">
        <v>20000</v>
      </c>
      <c r="G423" s="33"/>
      <c r="H423" t="s">
        <v>620</v>
      </c>
      <c r="I423" t="s">
        <v>35</v>
      </c>
      <c r="J423" t="s">
        <v>35</v>
      </c>
      <c r="K423" t="s">
        <v>621</v>
      </c>
      <c r="L423" s="33">
        <v>46305</v>
      </c>
      <c r="M423" s="27" t="str">
        <f>IF($B423="","",IFERROR(INDEX('العقود'!$D:$D,MATCH($B423,'العقود'!$A:$A,0)),""))</f>
        <v>ابو بكر</v>
      </c>
    </row>
    <row r="424" spans="1:13" x14ac:dyDescent="0.25">
      <c r="A424" t="s">
        <v>1049</v>
      </c>
      <c r="B424" t="s">
        <v>268</v>
      </c>
      <c r="C424" s="27" t="str">
        <f>IF($B424="","",IFERROR(INDEX('العقود'!$F:$F,MATCH($B424,'العقود'!$A:$A,0)),""))</f>
        <v>شركة النخبة للإنتاج الفني</v>
      </c>
      <c r="D424" s="27" t="str">
        <f>IF($B424="","",IFERROR(INDEX('العقود'!$E:$E,MATCH($B424,'العقود'!$A:$A,0)),""))</f>
        <v>208</v>
      </c>
      <c r="E424" s="38" t="s">
        <v>1020</v>
      </c>
      <c r="F424" s="39">
        <v>21175</v>
      </c>
      <c r="G424" s="33"/>
      <c r="H424" t="s">
        <v>620</v>
      </c>
      <c r="I424" t="s">
        <v>35</v>
      </c>
      <c r="J424" t="s">
        <v>35</v>
      </c>
      <c r="K424" t="s">
        <v>621</v>
      </c>
      <c r="L424" s="33">
        <v>46305</v>
      </c>
      <c r="M424" s="27" t="str">
        <f>IF($B424="","",IFERROR(INDEX('العقود'!$D:$D,MATCH($B424,'العقود'!$A:$A,0)),""))</f>
        <v>ابو بكر</v>
      </c>
    </row>
    <row r="425" spans="1:13" x14ac:dyDescent="0.25">
      <c r="A425" t="s">
        <v>1050</v>
      </c>
      <c r="B425" t="s">
        <v>279</v>
      </c>
      <c r="C425" s="27" t="str">
        <f>IF($B425="","",IFERROR(INDEX('العقود'!$F:$F,MATCH($B425,'العقود'!$A:$A,0)),""))</f>
        <v>خالد شريف زكي</v>
      </c>
      <c r="D425" s="27" t="str">
        <f>IF($B425="","",IFERROR(INDEX('العقود'!$E:$E,MATCH($B425,'العقود'!$A:$A,0)),""))</f>
        <v>302</v>
      </c>
      <c r="E425" s="38" t="s">
        <v>1020</v>
      </c>
      <c r="F425" s="39">
        <v>17000</v>
      </c>
      <c r="G425" s="33"/>
      <c r="H425" t="s">
        <v>620</v>
      </c>
      <c r="I425" t="s">
        <v>35</v>
      </c>
      <c r="J425" t="s">
        <v>35</v>
      </c>
      <c r="K425" t="s">
        <v>621</v>
      </c>
      <c r="L425" s="33">
        <v>46305</v>
      </c>
      <c r="M425" s="27" t="str">
        <f>IF($B425="","",IFERROR(INDEX('العقود'!$D:$D,MATCH($B425,'العقود'!$A:$A,0)),""))</f>
        <v>ابو بكر</v>
      </c>
    </row>
    <row r="426" spans="1:13" x14ac:dyDescent="0.25">
      <c r="A426" t="s">
        <v>1051</v>
      </c>
      <c r="B426" t="s">
        <v>282</v>
      </c>
      <c r="C426" s="27" t="str">
        <f>IF($B426="","",IFERROR(INDEX('العقود'!$F:$F,MATCH($B426,'العقود'!$A:$A,0)),""))</f>
        <v>عادل عمر مكرم</v>
      </c>
      <c r="D426" s="27" t="str">
        <f>IF($B426="","",IFERROR(INDEX('العقود'!$E:$E,MATCH($B426,'العقود'!$A:$A,0)),""))</f>
        <v>303</v>
      </c>
      <c r="E426" s="38" t="s">
        <v>1020</v>
      </c>
      <c r="F426" s="39">
        <v>19000</v>
      </c>
      <c r="G426" s="33"/>
      <c r="H426" t="s">
        <v>620</v>
      </c>
      <c r="I426" t="s">
        <v>35</v>
      </c>
      <c r="J426" t="s">
        <v>35</v>
      </c>
      <c r="K426" t="s">
        <v>621</v>
      </c>
      <c r="L426" s="33">
        <v>46305</v>
      </c>
      <c r="M426" s="27" t="str">
        <f>IF($B426="","",IFERROR(INDEX('العقود'!$D:$D,MATCH($B426,'العقود'!$A:$A,0)),""))</f>
        <v>ابو بكر</v>
      </c>
    </row>
    <row r="427" spans="1:13" x14ac:dyDescent="0.25">
      <c r="A427" t="s">
        <v>1052</v>
      </c>
      <c r="B427" t="s">
        <v>298</v>
      </c>
      <c r="C427" s="27" t="str">
        <f>IF($B427="","",IFERROR(INDEX('العقود'!$F:$F,MATCH($B427,'العقود'!$A:$A,0)),""))</f>
        <v>شركة النور للخدمات الطبية</v>
      </c>
      <c r="D427" s="27" t="str">
        <f>IF($B427="","",IFERROR(INDEX('العقود'!$E:$E,MATCH($B427,'العقود'!$A:$A,0)),""))</f>
        <v>305</v>
      </c>
      <c r="E427" s="38" t="s">
        <v>1020</v>
      </c>
      <c r="F427" s="39">
        <v>11500</v>
      </c>
      <c r="G427" s="33"/>
      <c r="H427" t="s">
        <v>620</v>
      </c>
      <c r="I427" t="s">
        <v>35</v>
      </c>
      <c r="J427" t="s">
        <v>35</v>
      </c>
      <c r="K427" t="s">
        <v>621</v>
      </c>
      <c r="L427" s="33">
        <v>46305</v>
      </c>
      <c r="M427" s="27" t="str">
        <f>IF($B427="","",IFERROR(INDEX('العقود'!$D:$D,MATCH($B427,'العقود'!$A:$A,0)),""))</f>
        <v>ابو بكر</v>
      </c>
    </row>
    <row r="428" spans="1:13" x14ac:dyDescent="0.25">
      <c r="A428" t="s">
        <v>1053</v>
      </c>
      <c r="B428" t="s">
        <v>304</v>
      </c>
      <c r="C428" s="27" t="str">
        <f>IF($B428="","",IFERROR(INDEX('العقود'!$F:$F,MATCH($B428,'العقود'!$A:$A,0)),""))</f>
        <v>سامح إبراهيم منصور</v>
      </c>
      <c r="D428" s="27" t="str">
        <f>IF($B428="","",IFERROR(INDEX('العقود'!$E:$E,MATCH($B428,'العقود'!$A:$A,0)),""))</f>
        <v>306</v>
      </c>
      <c r="E428" s="38" t="s">
        <v>1020</v>
      </c>
      <c r="F428" s="39">
        <v>11195</v>
      </c>
      <c r="G428" s="33"/>
      <c r="H428" t="s">
        <v>620</v>
      </c>
      <c r="I428" t="s">
        <v>35</v>
      </c>
      <c r="J428" t="s">
        <v>35</v>
      </c>
      <c r="K428" t="s">
        <v>621</v>
      </c>
      <c r="L428" s="33">
        <v>46305</v>
      </c>
      <c r="M428" s="27" t="str">
        <f>IF($B428="","",IFERROR(INDEX('العقود'!$D:$D,MATCH($B428,'العقود'!$A:$A,0)),""))</f>
        <v>ابو بكر</v>
      </c>
    </row>
    <row r="429" spans="1:13" x14ac:dyDescent="0.25">
      <c r="A429" t="s">
        <v>1054</v>
      </c>
      <c r="B429" t="s">
        <v>311</v>
      </c>
      <c r="C429" s="27" t="str">
        <f>IF($B429="","",IFERROR(INDEX('العقود'!$F:$F,MATCH($B429,'العقود'!$A:$A,0)),""))</f>
        <v>د/ منى أمير الشريف</v>
      </c>
      <c r="D429" s="27" t="str">
        <f>IF($B429="","",IFERROR(INDEX('العقود'!$E:$E,MATCH($B429,'العقود'!$A:$A,0)),""))</f>
        <v>307</v>
      </c>
      <c r="E429" s="38" t="s">
        <v>1020</v>
      </c>
      <c r="F429" s="39">
        <v>12100</v>
      </c>
      <c r="G429" s="33"/>
      <c r="H429" t="s">
        <v>620</v>
      </c>
      <c r="I429" t="s">
        <v>35</v>
      </c>
      <c r="J429" t="s">
        <v>35</v>
      </c>
      <c r="K429" t="s">
        <v>621</v>
      </c>
      <c r="L429" s="33">
        <v>46305</v>
      </c>
      <c r="M429" s="27" t="str">
        <f>IF($B429="","",IFERROR(INDEX('العقود'!$D:$D,MATCH($B429,'العقود'!$A:$A,0)),""))</f>
        <v>ابو بكر</v>
      </c>
    </row>
    <row r="430" spans="1:13" x14ac:dyDescent="0.25">
      <c r="A430" t="s">
        <v>1055</v>
      </c>
      <c r="B430" t="s">
        <v>318</v>
      </c>
      <c r="C430" s="27" t="str">
        <f>IF($B430="","",IFERROR(INDEX('العقود'!$F:$F,MATCH($B430,'العقود'!$A:$A,0)),""))</f>
        <v>شركة الأمل للخدمات الطبية</v>
      </c>
      <c r="D430" s="27" t="str">
        <f>IF($B430="","",IFERROR(INDEX('العقود'!$E:$E,MATCH($B430,'العقود'!$A:$A,0)),""))</f>
        <v>401</v>
      </c>
      <c r="E430" s="38" t="s">
        <v>1020</v>
      </c>
      <c r="F430" s="39">
        <v>12100</v>
      </c>
      <c r="G430" s="33"/>
      <c r="H430" t="s">
        <v>620</v>
      </c>
      <c r="I430" t="s">
        <v>35</v>
      </c>
      <c r="J430" t="s">
        <v>35</v>
      </c>
      <c r="K430" t="s">
        <v>621</v>
      </c>
      <c r="L430" s="33">
        <v>46305</v>
      </c>
      <c r="M430" s="27" t="str">
        <f>IF($B430="","",IFERROR(INDEX('العقود'!$D:$D,MATCH($B430,'العقود'!$A:$A,0)),""))</f>
        <v>ابو بكر</v>
      </c>
    </row>
    <row r="431" spans="1:13" x14ac:dyDescent="0.25">
      <c r="A431" t="s">
        <v>1056</v>
      </c>
      <c r="B431" t="s">
        <v>325</v>
      </c>
      <c r="C431" s="27" t="str">
        <f>IF($B431="","",IFERROR(INDEX('العقود'!$F:$F,MATCH($B431,'العقود'!$A:$A,0)),""))</f>
        <v>شركة البركة للتدريب</v>
      </c>
      <c r="D431" s="27" t="str">
        <f>IF($B431="","",IFERROR(INDEX('العقود'!$E:$E,MATCH($B431,'العقود'!$A:$A,0)),""))</f>
        <v>403</v>
      </c>
      <c r="E431" s="38" t="s">
        <v>1020</v>
      </c>
      <c r="F431" s="39">
        <v>16335</v>
      </c>
      <c r="G431" s="33"/>
      <c r="H431" t="s">
        <v>620</v>
      </c>
      <c r="I431" t="s">
        <v>35</v>
      </c>
      <c r="J431" t="s">
        <v>35</v>
      </c>
      <c r="K431" t="s">
        <v>621</v>
      </c>
      <c r="L431" s="33">
        <v>46305</v>
      </c>
      <c r="M431" s="27" t="str">
        <f>IF($B431="","",IFERROR(INDEX('العقود'!$D:$D,MATCH($B431,'العقود'!$A:$A,0)),""))</f>
        <v>ابو بكر</v>
      </c>
    </row>
    <row r="432" spans="1:13" x14ac:dyDescent="0.25">
      <c r="A432" t="s">
        <v>1057</v>
      </c>
      <c r="B432" t="s">
        <v>333</v>
      </c>
      <c r="C432" s="27" t="str">
        <f>IF($B432="","",IFERROR(INDEX('العقود'!$F:$F,MATCH($B432,'العقود'!$A:$A,0)),""))</f>
        <v>آية محمود بدوي</v>
      </c>
      <c r="D432" s="27" t="str">
        <f>IF($B432="","",IFERROR(INDEX('العقود'!$E:$E,MATCH($B432,'العقود'!$A:$A,0)),""))</f>
        <v>404</v>
      </c>
      <c r="E432" s="38" t="s">
        <v>1020</v>
      </c>
      <c r="F432" s="39">
        <v>13500</v>
      </c>
      <c r="G432" s="33"/>
      <c r="H432" t="s">
        <v>620</v>
      </c>
      <c r="I432" t="s">
        <v>35</v>
      </c>
      <c r="J432" t="s">
        <v>35</v>
      </c>
      <c r="K432" t="s">
        <v>621</v>
      </c>
      <c r="L432" s="33">
        <v>46305</v>
      </c>
      <c r="M432" s="27" t="str">
        <f>IF($B432="","",IFERROR(INDEX('العقود'!$D:$D,MATCH($B432,'العقود'!$A:$A,0)),""))</f>
        <v>ابو بكر</v>
      </c>
    </row>
    <row r="433" spans="1:13" x14ac:dyDescent="0.25">
      <c r="A433" t="s">
        <v>1058</v>
      </c>
      <c r="B433" t="s">
        <v>341</v>
      </c>
      <c r="C433" s="27" t="str">
        <f>IF($B433="","",IFERROR(INDEX('العقود'!$F:$F,MATCH($B433,'العقود'!$A:$A,0)),""))</f>
        <v>شركة الأصيل للإنتاج الفني</v>
      </c>
      <c r="D433" s="27" t="str">
        <f>IF($B433="","",IFERROR(INDEX('العقود'!$E:$E,MATCH($B433,'العقود'!$A:$A,0)),""))</f>
        <v>405</v>
      </c>
      <c r="E433" s="38" t="s">
        <v>1020</v>
      </c>
      <c r="F433" s="39">
        <v>14000</v>
      </c>
      <c r="G433" s="33"/>
      <c r="H433" t="s">
        <v>620</v>
      </c>
      <c r="I433" t="s">
        <v>35</v>
      </c>
      <c r="J433" t="s">
        <v>35</v>
      </c>
      <c r="K433" t="s">
        <v>621</v>
      </c>
      <c r="L433" s="33">
        <v>46305</v>
      </c>
      <c r="M433" s="27" t="str">
        <f>IF($B433="","",IFERROR(INDEX('العقود'!$D:$D,MATCH($B433,'العقود'!$A:$A,0)),""))</f>
        <v>ابو بكر</v>
      </c>
    </row>
    <row r="434" spans="1:13" x14ac:dyDescent="0.25">
      <c r="A434" t="s">
        <v>1059</v>
      </c>
      <c r="B434" t="s">
        <v>346</v>
      </c>
      <c r="C434" s="27" t="str">
        <f>IF($B434="","",IFERROR(INDEX('العقود'!$F:$F,MATCH($B434,'العقود'!$A:$A,0)),""))</f>
        <v>شركة البركة للاستشارات الهندسية</v>
      </c>
      <c r="D434" s="27" t="str">
        <f>IF($B434="","",IFERROR(INDEX('العقود'!$E:$E,MATCH($B434,'العقود'!$A:$A,0)),""))</f>
        <v>406</v>
      </c>
      <c r="E434" s="38" t="s">
        <v>1020</v>
      </c>
      <c r="F434" s="39">
        <v>16035</v>
      </c>
      <c r="G434" s="33"/>
      <c r="H434" t="s">
        <v>620</v>
      </c>
      <c r="I434" t="s">
        <v>35</v>
      </c>
      <c r="J434" t="s">
        <v>35</v>
      </c>
      <c r="K434" t="s">
        <v>621</v>
      </c>
      <c r="L434" s="33">
        <v>46305</v>
      </c>
      <c r="M434" s="27" t="str">
        <f>IF($B434="","",IFERROR(INDEX('العقود'!$D:$D,MATCH($B434,'العقود'!$A:$A,0)),""))</f>
        <v>ابو بكر</v>
      </c>
    </row>
    <row r="435" spans="1:13" x14ac:dyDescent="0.25">
      <c r="A435" t="s">
        <v>1060</v>
      </c>
      <c r="B435" t="s">
        <v>353</v>
      </c>
      <c r="C435" s="27" t="str">
        <f>IF($B435="","",IFERROR(INDEX('العقود'!$F:$F,MATCH($B435,'العقود'!$A:$A,0)),""))</f>
        <v>شركة الهرم لتكنولوجيا المعلومات</v>
      </c>
      <c r="D435" s="27" t="str">
        <f>IF($B435="","",IFERROR(INDEX('العقود'!$E:$E,MATCH($B435,'العقود'!$A:$A,0)),""))</f>
        <v>407</v>
      </c>
      <c r="E435" s="38" t="s">
        <v>1020</v>
      </c>
      <c r="F435" s="39">
        <v>16500</v>
      </c>
      <c r="G435" s="33"/>
      <c r="H435" t="s">
        <v>620</v>
      </c>
      <c r="I435" t="s">
        <v>35</v>
      </c>
      <c r="J435" t="s">
        <v>35</v>
      </c>
      <c r="K435" t="s">
        <v>621</v>
      </c>
      <c r="L435" s="33">
        <v>46305</v>
      </c>
      <c r="M435" s="27" t="str">
        <f>IF($B435="","",IFERROR(INDEX('العقود'!$D:$D,MATCH($B435,'العقود'!$A:$A,0)),""))</f>
        <v>ابو بكر</v>
      </c>
    </row>
    <row r="436" spans="1:13" x14ac:dyDescent="0.25">
      <c r="A436" t="s">
        <v>1061</v>
      </c>
      <c r="B436" t="s">
        <v>359</v>
      </c>
      <c r="C436" s="27" t="str">
        <f>IF($B436="","",IFERROR(INDEX('العقود'!$F:$F,MATCH($B436,'العقود'!$A:$A,0)),""))</f>
        <v>مصطفى وليد الجندي</v>
      </c>
      <c r="D436" s="27" t="str">
        <f>IF($B436="","",IFERROR(INDEX('العقود'!$E:$E,MATCH($B436,'العقود'!$A:$A,0)),""))</f>
        <v>408</v>
      </c>
      <c r="E436" s="38" t="s">
        <v>1020</v>
      </c>
      <c r="F436" s="39">
        <v>18500</v>
      </c>
      <c r="G436" s="33"/>
      <c r="H436" t="s">
        <v>620</v>
      </c>
      <c r="I436" t="s">
        <v>35</v>
      </c>
      <c r="J436" t="s">
        <v>35</v>
      </c>
      <c r="K436" t="s">
        <v>621</v>
      </c>
      <c r="L436" s="33">
        <v>46305</v>
      </c>
      <c r="M436" s="27" t="str">
        <f>IF($B436="","",IFERROR(INDEX('العقود'!$D:$D,MATCH($B436,'العقود'!$A:$A,0)),""))</f>
        <v>ابو بكر</v>
      </c>
    </row>
    <row r="437" spans="1:13" x14ac:dyDescent="0.25">
      <c r="A437" t="s">
        <v>1062</v>
      </c>
      <c r="B437" t="s">
        <v>366</v>
      </c>
      <c r="C437" s="27" t="str">
        <f>IF($B437="","",IFERROR(INDEX('العقود'!$F:$F,MATCH($B437,'العقود'!$A:$A,0)),""))</f>
        <v>شركة الياسمين للتسويق</v>
      </c>
      <c r="D437" s="27" t="str">
        <f>IF($B437="","",IFERROR(INDEX('العقود'!$E:$E,MATCH($B437,'العقود'!$A:$A,0)),""))</f>
        <v>501</v>
      </c>
      <c r="E437" s="38" t="s">
        <v>1020</v>
      </c>
      <c r="F437" s="39">
        <v>15000</v>
      </c>
      <c r="G437" s="33"/>
      <c r="H437" t="s">
        <v>620</v>
      </c>
      <c r="I437" t="s">
        <v>35</v>
      </c>
      <c r="J437" t="s">
        <v>35</v>
      </c>
      <c r="K437" t="s">
        <v>621</v>
      </c>
      <c r="L437" s="33">
        <v>46305</v>
      </c>
      <c r="M437" s="27" t="str">
        <f>IF($B437="","",IFERROR(INDEX('العقود'!$D:$D,MATCH($B437,'العقود'!$A:$A,0)),""))</f>
        <v>ابو بكر</v>
      </c>
    </row>
    <row r="438" spans="1:13" x14ac:dyDescent="0.25">
      <c r="A438" t="s">
        <v>1063</v>
      </c>
      <c r="B438" t="s">
        <v>369</v>
      </c>
      <c r="C438" s="27" t="str">
        <f>IF($B438="","",IFERROR(INDEX('العقود'!$F:$F,MATCH($B438,'العقود'!$A:$A,0)),""))</f>
        <v>شركة الياسمين للتسويق</v>
      </c>
      <c r="D438" s="27" t="str">
        <f>IF($B438="","",IFERROR(INDEX('العقود'!$E:$E,MATCH($B438,'العقود'!$A:$A,0)),""))</f>
        <v>502</v>
      </c>
      <c r="E438" s="38" t="s">
        <v>1020</v>
      </c>
      <c r="F438" s="39">
        <v>15000</v>
      </c>
      <c r="G438" s="33"/>
      <c r="H438" t="s">
        <v>620</v>
      </c>
      <c r="I438" t="s">
        <v>35</v>
      </c>
      <c r="J438" t="s">
        <v>35</v>
      </c>
      <c r="K438" t="s">
        <v>621</v>
      </c>
      <c r="L438" s="33">
        <v>46305</v>
      </c>
      <c r="M438" s="27" t="str">
        <f>IF($B438="","",IFERROR(INDEX('العقود'!$D:$D,MATCH($B438,'العقود'!$A:$A,0)),""))</f>
        <v>ابو بكر</v>
      </c>
    </row>
    <row r="439" spans="1:13" x14ac:dyDescent="0.25">
      <c r="A439" t="s">
        <v>1064</v>
      </c>
      <c r="B439" t="s">
        <v>374</v>
      </c>
      <c r="C439" s="27" t="str">
        <f>IF($B439="","",IFERROR(INDEX('العقود'!$F:$F,MATCH($B439,'العقود'!$A:$A,0)),""))</f>
        <v>إبراهيم أحمد البنا</v>
      </c>
      <c r="D439" s="27" t="str">
        <f>IF($B439="","",IFERROR(INDEX('العقود'!$E:$E,MATCH($B439,'العقود'!$A:$A,0)),""))</f>
        <v>503</v>
      </c>
      <c r="E439" s="38" t="s">
        <v>1020</v>
      </c>
      <c r="F439" s="39">
        <v>11135</v>
      </c>
      <c r="G439" s="33"/>
      <c r="H439" t="s">
        <v>620</v>
      </c>
      <c r="I439" t="s">
        <v>35</v>
      </c>
      <c r="J439" t="s">
        <v>35</v>
      </c>
      <c r="K439" t="s">
        <v>621</v>
      </c>
      <c r="L439" s="33">
        <v>46305</v>
      </c>
      <c r="M439" s="27" t="str">
        <f>IF($B439="","",IFERROR(INDEX('العقود'!$D:$D,MATCH($B439,'العقود'!$A:$A,0)),""))</f>
        <v>ابو بكر</v>
      </c>
    </row>
    <row r="440" spans="1:13" x14ac:dyDescent="0.25">
      <c r="A440" t="s">
        <v>1065</v>
      </c>
      <c r="B440" t="s">
        <v>380</v>
      </c>
      <c r="C440" s="27" t="str">
        <f>IF($B440="","",IFERROR(INDEX('العقود'!$F:$F,MATCH($B440,'العقود'!$A:$A,0)),""))</f>
        <v>شركة المستقبل للخدمات الطبية</v>
      </c>
      <c r="D440" s="27" t="str">
        <f>IF($B440="","",IFERROR(INDEX('العقود'!$E:$E,MATCH($B440,'العقود'!$A:$A,0)),""))</f>
        <v>504</v>
      </c>
      <c r="E440" s="38" t="s">
        <v>1020</v>
      </c>
      <c r="F440" s="39">
        <v>10000</v>
      </c>
      <c r="G440" s="33"/>
      <c r="H440" t="s">
        <v>620</v>
      </c>
      <c r="I440" t="s">
        <v>35</v>
      </c>
      <c r="J440" t="s">
        <v>35</v>
      </c>
      <c r="K440" t="s">
        <v>621</v>
      </c>
      <c r="L440" s="33">
        <v>46305</v>
      </c>
      <c r="M440" s="27" t="str">
        <f>IF($B440="","",IFERROR(INDEX('العقود'!$D:$D,MATCH($B440,'العقود'!$A:$A,0)),""))</f>
        <v>ابو بكر</v>
      </c>
    </row>
    <row r="441" spans="1:13" x14ac:dyDescent="0.25">
      <c r="A441" t="s">
        <v>1066</v>
      </c>
      <c r="B441" t="s">
        <v>386</v>
      </c>
      <c r="C441" s="27" t="str">
        <f>IF($B441="","",IFERROR(INDEX('العقود'!$F:$F,MATCH($B441,'العقود'!$A:$A,0)),""))</f>
        <v>حسين أمير بدوي</v>
      </c>
      <c r="D441" s="27" t="str">
        <f>IF($B441="","",IFERROR(INDEX('العقود'!$E:$E,MATCH($B441,'العقود'!$A:$A,0)),""))</f>
        <v>505</v>
      </c>
      <c r="E441" s="38" t="s">
        <v>1020</v>
      </c>
      <c r="F441" s="39">
        <v>13000</v>
      </c>
      <c r="G441" s="33"/>
      <c r="H441" t="s">
        <v>620</v>
      </c>
      <c r="I441" t="s">
        <v>35</v>
      </c>
      <c r="J441" t="s">
        <v>35</v>
      </c>
      <c r="K441" t="s">
        <v>621</v>
      </c>
      <c r="L441" s="33">
        <v>46305</v>
      </c>
      <c r="M441" s="27" t="str">
        <f>IF($B441="","",IFERROR(INDEX('العقود'!$D:$D,MATCH($B441,'العقود'!$A:$A,0)),""))</f>
        <v>ابو بكر</v>
      </c>
    </row>
    <row r="442" spans="1:13" x14ac:dyDescent="0.25">
      <c r="A442" t="s">
        <v>1067</v>
      </c>
      <c r="B442" t="s">
        <v>394</v>
      </c>
      <c r="C442" s="27" t="str">
        <f>IF($B442="","",IFERROR(INDEX('العقود'!$F:$F,MATCH($B442,'العقود'!$A:$A,0)),""))</f>
        <v>د/ آية هشام رشاد</v>
      </c>
      <c r="D442" s="27" t="str">
        <f>IF($B442="","",IFERROR(INDEX('العقود'!$E:$E,MATCH($B442,'العقود'!$A:$A,0)),""))</f>
        <v>506</v>
      </c>
      <c r="E442" s="38" t="s">
        <v>1020</v>
      </c>
      <c r="F442" s="39">
        <v>19000</v>
      </c>
      <c r="G442" s="33"/>
      <c r="H442" t="s">
        <v>620</v>
      </c>
      <c r="I442" t="s">
        <v>35</v>
      </c>
      <c r="J442" t="s">
        <v>35</v>
      </c>
      <c r="K442" t="s">
        <v>621</v>
      </c>
      <c r="L442" s="33">
        <v>46305</v>
      </c>
      <c r="M442" s="27" t="str">
        <f>IF($B442="","",IFERROR(INDEX('العقود'!$D:$D,MATCH($B442,'العقود'!$A:$A,0)),""))</f>
        <v>ابو بكر</v>
      </c>
    </row>
    <row r="443" spans="1:13" x14ac:dyDescent="0.25">
      <c r="A443" t="s">
        <v>1068</v>
      </c>
      <c r="B443" t="s">
        <v>400</v>
      </c>
      <c r="C443" s="27" t="str">
        <f>IF($B443="","",IFERROR(INDEX('العقود'!$F:$F,MATCH($B443,'العقود'!$A:$A,0)),""))</f>
        <v>شركة الأصيل للاستشارات الهندسية</v>
      </c>
      <c r="D443" s="27" t="str">
        <f>IF($B443="","",IFERROR(INDEX('العقود'!$E:$E,MATCH($B443,'العقود'!$A:$A,0)),""))</f>
        <v>508</v>
      </c>
      <c r="E443" s="38" t="s">
        <v>1020</v>
      </c>
      <c r="F443" s="39">
        <v>18000</v>
      </c>
      <c r="G443" s="33"/>
      <c r="H443" t="s">
        <v>620</v>
      </c>
      <c r="I443" t="s">
        <v>35</v>
      </c>
      <c r="J443" t="s">
        <v>35</v>
      </c>
      <c r="K443" t="s">
        <v>621</v>
      </c>
      <c r="L443" s="33">
        <v>46305</v>
      </c>
      <c r="M443" s="27" t="str">
        <f>IF($B443="","",IFERROR(INDEX('العقود'!$D:$D,MATCH($B443,'العقود'!$A:$A,0)),""))</f>
        <v>ابو بكر</v>
      </c>
    </row>
    <row r="444" spans="1:13" x14ac:dyDescent="0.25">
      <c r="A444" t="s">
        <v>1069</v>
      </c>
      <c r="B444" t="s">
        <v>407</v>
      </c>
      <c r="C444" s="27" t="str">
        <f>IF($B444="","",IFERROR(INDEX('العقود'!$F:$F,MATCH($B444,'العقود'!$A:$A,0)),""))</f>
        <v>شركة الوادي للتنمية</v>
      </c>
      <c r="D444" s="27" t="str">
        <f>IF($B444="","",IFERROR(INDEX('العقود'!$E:$E,MATCH($B444,'العقود'!$A:$A,0)),""))</f>
        <v>601</v>
      </c>
      <c r="E444" s="38" t="s">
        <v>1020</v>
      </c>
      <c r="F444" s="39">
        <v>9680</v>
      </c>
      <c r="G444" s="33"/>
      <c r="H444" t="s">
        <v>620</v>
      </c>
      <c r="I444" t="s">
        <v>35</v>
      </c>
      <c r="J444" t="s">
        <v>35</v>
      </c>
      <c r="K444" t="s">
        <v>621</v>
      </c>
      <c r="L444" s="33">
        <v>46305</v>
      </c>
      <c r="M444" s="27" t="str">
        <f>IF($B444="","",IFERROR(INDEX('العقود'!$D:$D,MATCH($B444,'العقود'!$A:$A,0)),""))</f>
        <v>ابو بكر</v>
      </c>
    </row>
    <row r="445" spans="1:13" x14ac:dyDescent="0.25">
      <c r="A445" t="s">
        <v>1070</v>
      </c>
      <c r="B445" t="s">
        <v>415</v>
      </c>
      <c r="C445" s="27" t="str">
        <f>IF($B445="","",IFERROR(INDEX('العقود'!$F:$F,MATCH($B445,'العقود'!$A:$A,0)),""))</f>
        <v>شركة الوفاء للاستشارات الهندسية</v>
      </c>
      <c r="D445" s="27" t="str">
        <f>IF($B445="","",IFERROR(INDEX('العقود'!$E:$E,MATCH($B445,'العقود'!$A:$A,0)),""))</f>
        <v>602</v>
      </c>
      <c r="E445" s="38" t="s">
        <v>1020</v>
      </c>
      <c r="F445" s="39">
        <v>19000</v>
      </c>
      <c r="G445" s="33"/>
      <c r="H445" t="s">
        <v>620</v>
      </c>
      <c r="I445" t="s">
        <v>35</v>
      </c>
      <c r="J445" t="s">
        <v>35</v>
      </c>
      <c r="K445" t="s">
        <v>621</v>
      </c>
      <c r="L445" s="33">
        <v>46305</v>
      </c>
      <c r="M445" s="27" t="str">
        <f>IF($B445="","",IFERROR(INDEX('العقود'!$D:$D,MATCH($B445,'العقود'!$A:$A,0)),""))</f>
        <v>ابو بكر</v>
      </c>
    </row>
    <row r="446" spans="1:13" x14ac:dyDescent="0.25">
      <c r="A446" t="s">
        <v>1071</v>
      </c>
      <c r="B446" t="s">
        <v>421</v>
      </c>
      <c r="C446" s="27" t="str">
        <f>IF($B446="","",IFERROR(INDEX('العقود'!$F:$F,MATCH($B446,'العقود'!$A:$A,0)),""))</f>
        <v>عادل باسم حسنين</v>
      </c>
      <c r="D446" s="27" t="str">
        <f>IF($B446="","",IFERROR(INDEX('العقود'!$E:$E,MATCH($B446,'العقود'!$A:$A,0)),""))</f>
        <v>603</v>
      </c>
      <c r="E446" s="38" t="s">
        <v>1020</v>
      </c>
      <c r="F446" s="39">
        <v>11495</v>
      </c>
      <c r="G446" s="33"/>
      <c r="H446" t="s">
        <v>620</v>
      </c>
      <c r="I446" t="s">
        <v>35</v>
      </c>
      <c r="J446" t="s">
        <v>35</v>
      </c>
      <c r="K446" t="s">
        <v>621</v>
      </c>
      <c r="L446" s="33">
        <v>46305</v>
      </c>
      <c r="M446" s="27" t="str">
        <f>IF($B446="","",IFERROR(INDEX('العقود'!$D:$D,MATCH($B446,'العقود'!$A:$A,0)),""))</f>
        <v>ابو بكر</v>
      </c>
    </row>
    <row r="447" spans="1:13" x14ac:dyDescent="0.25">
      <c r="A447" t="s">
        <v>1072</v>
      </c>
      <c r="B447" t="s">
        <v>427</v>
      </c>
      <c r="C447" s="27" t="str">
        <f>IF($B447="","",IFERROR(INDEX('العقود'!$F:$F,MATCH($B447,'العقود'!$A:$A,0)),""))</f>
        <v>ندى وليد حسنين</v>
      </c>
      <c r="D447" s="27" t="str">
        <f>IF($B447="","",IFERROR(INDEX('العقود'!$E:$E,MATCH($B447,'العقود'!$A:$A,0)),""))</f>
        <v>604</v>
      </c>
      <c r="E447" s="38" t="s">
        <v>1020</v>
      </c>
      <c r="F447" s="39">
        <v>11000</v>
      </c>
      <c r="G447" s="33"/>
      <c r="H447" t="s">
        <v>620</v>
      </c>
      <c r="I447" t="s">
        <v>35</v>
      </c>
      <c r="J447" t="s">
        <v>35</v>
      </c>
      <c r="K447" t="s">
        <v>621</v>
      </c>
      <c r="L447" s="33">
        <v>46305</v>
      </c>
      <c r="M447" s="27" t="str">
        <f>IF($B447="","",IFERROR(INDEX('العقود'!$D:$D,MATCH($B447,'العقود'!$A:$A,0)),""))</f>
        <v>ابو بكر</v>
      </c>
    </row>
    <row r="448" spans="1:13" x14ac:dyDescent="0.25">
      <c r="A448" t="s">
        <v>1073</v>
      </c>
      <c r="B448" t="s">
        <v>438</v>
      </c>
      <c r="C448" s="27" t="str">
        <f>IF($B448="","",IFERROR(INDEX('العقود'!$F:$F,MATCH($B448,'العقود'!$A:$A,0)),""))</f>
        <v>شريف هاني فهمي</v>
      </c>
      <c r="D448" s="27" t="str">
        <f>IF($B448="","",IFERROR(INDEX('العقود'!$E:$E,MATCH($B448,'العقود'!$A:$A,0)),""))</f>
        <v>605</v>
      </c>
      <c r="E448" s="38" t="s">
        <v>1020</v>
      </c>
      <c r="F448" s="39">
        <v>11390</v>
      </c>
      <c r="G448" s="33"/>
      <c r="H448" t="s">
        <v>620</v>
      </c>
      <c r="I448" t="s">
        <v>35</v>
      </c>
      <c r="J448" t="s">
        <v>35</v>
      </c>
      <c r="K448" t="s">
        <v>621</v>
      </c>
      <c r="L448" s="33">
        <v>46305</v>
      </c>
      <c r="M448" s="27" t="str">
        <f>IF($B448="","",IFERROR(INDEX('العقود'!$D:$D,MATCH($B448,'العقود'!$A:$A,0)),""))</f>
        <v>ابو بكر</v>
      </c>
    </row>
    <row r="449" spans="1:13" x14ac:dyDescent="0.25">
      <c r="A449" t="s">
        <v>1074</v>
      </c>
      <c r="B449" t="s">
        <v>446</v>
      </c>
      <c r="C449" s="27" t="str">
        <f>IF($B449="","",IFERROR(INDEX('العقود'!$F:$F,MATCH($B449,'العقود'!$A:$A,0)),""))</f>
        <v>شركة الياسمين للاستشارات الهندسية</v>
      </c>
      <c r="D449" s="27" t="str">
        <f>IF($B449="","",IFERROR(INDEX('العقود'!$E:$E,MATCH($B449,'العقود'!$A:$A,0)),""))</f>
        <v>606</v>
      </c>
      <c r="E449" s="38" t="s">
        <v>1020</v>
      </c>
      <c r="F449" s="39">
        <v>17000</v>
      </c>
      <c r="G449" s="33"/>
      <c r="H449" t="s">
        <v>620</v>
      </c>
      <c r="I449" t="s">
        <v>35</v>
      </c>
      <c r="J449" t="s">
        <v>35</v>
      </c>
      <c r="K449" t="s">
        <v>621</v>
      </c>
      <c r="L449" s="33">
        <v>46305</v>
      </c>
      <c r="M449" s="27" t="str">
        <f>IF($B449="","",IFERROR(INDEX('العقود'!$D:$D,MATCH($B449,'العقود'!$A:$A,0)),""))</f>
        <v>ابو بكر</v>
      </c>
    </row>
    <row r="450" spans="1:13" x14ac:dyDescent="0.25">
      <c r="A450" t="s">
        <v>1075</v>
      </c>
      <c r="B450" t="s">
        <v>467</v>
      </c>
      <c r="C450" s="27" t="str">
        <f>IF($B450="","",IFERROR(INDEX('العقود'!$F:$F,MATCH($B450,'العقود'!$A:$A,0)),""))</f>
        <v>شركة المستقبل للتنمية</v>
      </c>
      <c r="D450" s="27" t="str">
        <f>IF($B450="","",IFERROR(INDEX('العقود'!$E:$E,MATCH($B450,'العقود'!$A:$A,0)),""))</f>
        <v>701</v>
      </c>
      <c r="E450" s="38" t="s">
        <v>1020</v>
      </c>
      <c r="F450" s="39">
        <v>17000</v>
      </c>
      <c r="G450" s="33"/>
      <c r="H450" t="s">
        <v>620</v>
      </c>
      <c r="I450" t="s">
        <v>35</v>
      </c>
      <c r="J450" t="s">
        <v>35</v>
      </c>
      <c r="K450" t="s">
        <v>621</v>
      </c>
      <c r="L450" s="33">
        <v>46305</v>
      </c>
      <c r="M450" s="27" t="str">
        <f>IF($B450="","",IFERROR(INDEX('العقود'!$D:$D,MATCH($B450,'العقود'!$A:$A,0)),""))</f>
        <v>ابو بكر</v>
      </c>
    </row>
    <row r="451" spans="1:13" x14ac:dyDescent="0.25">
      <c r="A451" t="s">
        <v>1076</v>
      </c>
      <c r="B451" t="s">
        <v>474</v>
      </c>
      <c r="C451" s="27" t="str">
        <f>IF($B451="","",IFERROR(INDEX('العقود'!$F:$F,MATCH($B451,'العقود'!$A:$A,0)),""))</f>
        <v>شركة النخبة للتنمية</v>
      </c>
      <c r="D451" s="27" t="str">
        <f>IF($B451="","",IFERROR(INDEX('العقود'!$E:$E,MATCH($B451,'العقود'!$A:$A,0)),""))</f>
        <v>703</v>
      </c>
      <c r="E451" s="38" t="s">
        <v>1020</v>
      </c>
      <c r="F451" s="39">
        <v>20000</v>
      </c>
      <c r="G451" s="33"/>
      <c r="H451" t="s">
        <v>620</v>
      </c>
      <c r="I451" t="s">
        <v>35</v>
      </c>
      <c r="J451" t="s">
        <v>35</v>
      </c>
      <c r="K451" t="s">
        <v>621</v>
      </c>
      <c r="L451" s="33">
        <v>46305</v>
      </c>
      <c r="M451" s="27" t="str">
        <f>IF($B451="","",IFERROR(INDEX('العقود'!$D:$D,MATCH($B451,'العقود'!$A:$A,0)),""))</f>
        <v>ابو بكر</v>
      </c>
    </row>
    <row r="452" spans="1:13" x14ac:dyDescent="0.25">
      <c r="A452" t="s">
        <v>1077</v>
      </c>
      <c r="B452" t="s">
        <v>481</v>
      </c>
      <c r="C452" s="27" t="str">
        <f>IF($B452="","",IFERROR(INDEX('العقود'!$F:$F,MATCH($B452,'العقود'!$A:$A,0)),""))</f>
        <v>شركة البركة للتسويق</v>
      </c>
      <c r="D452" s="27" t="str">
        <f>IF($B452="","",IFERROR(INDEX('العقود'!$E:$E,MATCH($B452,'العقود'!$A:$A,0)),""))</f>
        <v>704</v>
      </c>
      <c r="E452" s="38" t="s">
        <v>1020</v>
      </c>
      <c r="F452" s="39">
        <v>11000</v>
      </c>
      <c r="G452" s="33"/>
      <c r="H452" t="s">
        <v>620</v>
      </c>
      <c r="I452" t="s">
        <v>35</v>
      </c>
      <c r="J452" t="s">
        <v>35</v>
      </c>
      <c r="K452" t="s">
        <v>621</v>
      </c>
      <c r="L452" s="33">
        <v>46305</v>
      </c>
      <c r="M452" s="27" t="str">
        <f>IF($B452="","",IFERROR(INDEX('العقود'!$D:$D,MATCH($B452,'العقود'!$A:$A,0)),""))</f>
        <v>ابو بكر</v>
      </c>
    </row>
    <row r="453" spans="1:13" x14ac:dyDescent="0.25">
      <c r="A453" t="s">
        <v>1078</v>
      </c>
      <c r="B453" t="s">
        <v>502</v>
      </c>
      <c r="C453" s="27" t="str">
        <f>IF($B453="","",IFERROR(INDEX('العقود'!$F:$F,MATCH($B453,'العقود'!$A:$A,0)),""))</f>
        <v>شركة الأفق للخدمات الطبية</v>
      </c>
      <c r="D453" s="27" t="str">
        <f>IF($B453="","",IFERROR(INDEX('العقود'!$E:$E,MATCH($B453,'العقود'!$A:$A,0)),""))</f>
        <v>707</v>
      </c>
      <c r="E453" s="38" t="s">
        <v>1020</v>
      </c>
      <c r="F453" s="39">
        <v>13000</v>
      </c>
      <c r="G453" s="33"/>
      <c r="H453" t="s">
        <v>620</v>
      </c>
      <c r="I453" t="s">
        <v>35</v>
      </c>
      <c r="J453" t="s">
        <v>35</v>
      </c>
      <c r="K453" t="s">
        <v>621</v>
      </c>
      <c r="L453" s="33">
        <v>46305</v>
      </c>
      <c r="M453" s="27" t="str">
        <f>IF($B453="","",IFERROR(INDEX('العقود'!$D:$D,MATCH($B453,'العقود'!$A:$A,0)),""))</f>
        <v>ابو بكر</v>
      </c>
    </row>
    <row r="454" spans="1:13" x14ac:dyDescent="0.25">
      <c r="A454" t="s">
        <v>1079</v>
      </c>
      <c r="B454" t="s">
        <v>506</v>
      </c>
      <c r="C454" s="27" t="str">
        <f>IF($B454="","",IFERROR(INDEX('العقود'!$F:$F,MATCH($B454,'العقود'!$A:$A,0)),""))</f>
        <v>شركة الأفق للخدمات الطبية</v>
      </c>
      <c r="D454" s="27" t="str">
        <f>IF($B454="","",IFERROR(INDEX('العقود'!$E:$E,MATCH($B454,'العقود'!$A:$A,0)),""))</f>
        <v>708</v>
      </c>
      <c r="E454" s="38" t="s">
        <v>1020</v>
      </c>
      <c r="F454" s="39">
        <v>13000</v>
      </c>
      <c r="G454" s="33"/>
      <c r="H454" t="s">
        <v>620</v>
      </c>
      <c r="I454" t="s">
        <v>35</v>
      </c>
      <c r="J454" t="s">
        <v>35</v>
      </c>
      <c r="K454" t="s">
        <v>621</v>
      </c>
      <c r="L454" s="33">
        <v>46305</v>
      </c>
      <c r="M454" s="27" t="str">
        <f>IF($B454="","",IFERROR(INDEX('العقود'!$D:$D,MATCH($B454,'العقود'!$A:$A,0)),""))</f>
        <v>ابو بكر</v>
      </c>
    </row>
    <row r="455" spans="1:13" x14ac:dyDescent="0.25">
      <c r="A455" t="s">
        <v>1080</v>
      </c>
      <c r="B455" t="s">
        <v>52</v>
      </c>
      <c r="C455" s="27" t="str">
        <f>IF($B455="","",IFERROR(INDEX('العقود'!$F:$F,MATCH($B455,'العقود'!$A:$A,0)),""))</f>
        <v>شركة الأفق لتكنولوجيا المعلومات</v>
      </c>
      <c r="D455" s="27" t="str">
        <f>IF($B455="","",IFERROR(INDEX('العقود'!$E:$E,MATCH($B455,'العقود'!$A:$A,0)),""))</f>
        <v>ميزان 1/2</v>
      </c>
      <c r="E455" s="38" t="s">
        <v>1081</v>
      </c>
      <c r="F455" s="39">
        <v>49610</v>
      </c>
      <c r="G455" s="33"/>
      <c r="H455" t="s">
        <v>620</v>
      </c>
      <c r="I455" t="s">
        <v>35</v>
      </c>
      <c r="J455" t="s">
        <v>35</v>
      </c>
      <c r="K455" t="s">
        <v>621</v>
      </c>
      <c r="L455" s="33">
        <v>46305</v>
      </c>
      <c r="M455" s="27" t="str">
        <f>IF($B455="","",IFERROR(INDEX('العقود'!$D:$D,MATCH($B455,'العقود'!$A:$A,0)),""))</f>
        <v>بابل</v>
      </c>
    </row>
    <row r="456" spans="1:13" x14ac:dyDescent="0.25">
      <c r="A456" t="s">
        <v>1082</v>
      </c>
      <c r="B456" t="s">
        <v>63</v>
      </c>
      <c r="C456" s="27" t="str">
        <f>IF($B456="","",IFERROR(INDEX('العقود'!$F:$F,MATCH($B456,'العقود'!$A:$A,0)),""))</f>
        <v>شركة الأفق لتكنولوجيا المعلومات</v>
      </c>
      <c r="D456" s="27" t="str">
        <f>IF($B456="","",IFERROR(INDEX('العقود'!$E:$E,MATCH($B456,'العقود'!$A:$A,0)),""))</f>
        <v>الدور الثاني</v>
      </c>
      <c r="E456" s="38" t="s">
        <v>1081</v>
      </c>
      <c r="F456" s="39">
        <v>91960</v>
      </c>
      <c r="G456" s="33"/>
      <c r="H456" t="s">
        <v>620</v>
      </c>
      <c r="I456" t="s">
        <v>35</v>
      </c>
      <c r="J456" t="s">
        <v>35</v>
      </c>
      <c r="K456" t="s">
        <v>621</v>
      </c>
      <c r="L456" s="33">
        <v>46305</v>
      </c>
      <c r="M456" s="27" t="str">
        <f>IF($B456="","",IFERROR(INDEX('العقود'!$D:$D,MATCH($B456,'العقود'!$A:$A,0)),""))</f>
        <v>بابل</v>
      </c>
    </row>
    <row r="457" spans="1:13" x14ac:dyDescent="0.25">
      <c r="A457" t="s">
        <v>1083</v>
      </c>
      <c r="B457" t="s">
        <v>70</v>
      </c>
      <c r="C457" s="27" t="str">
        <f>IF($B457="","",IFERROR(INDEX('العقود'!$F:$F,MATCH($B457,'العقود'!$A:$A,0)),""))</f>
        <v>شركة الأمل للاستشارات الهندسية</v>
      </c>
      <c r="D457" s="27" t="str">
        <f>IF($B457="","",IFERROR(INDEX('العقود'!$E:$E,MATCH($B457,'العقود'!$A:$A,0)),""))</f>
        <v>مكتب 42</v>
      </c>
      <c r="E457" s="38" t="s">
        <v>1081</v>
      </c>
      <c r="F457" s="39">
        <v>44090</v>
      </c>
      <c r="G457" s="33"/>
      <c r="H457" t="s">
        <v>620</v>
      </c>
      <c r="I457" t="s">
        <v>35</v>
      </c>
      <c r="J457" t="s">
        <v>35</v>
      </c>
      <c r="K457" t="s">
        <v>621</v>
      </c>
      <c r="L457" s="33">
        <v>46305</v>
      </c>
      <c r="M457" s="27" t="str">
        <f>IF($B457="","",IFERROR(INDEX('العقود'!$D:$D,MATCH($B457,'العقود'!$A:$A,0)),""))</f>
        <v>بابل</v>
      </c>
    </row>
    <row r="458" spans="1:13" x14ac:dyDescent="0.25">
      <c r="A458" t="s">
        <v>1084</v>
      </c>
      <c r="B458" t="s">
        <v>86</v>
      </c>
      <c r="C458" s="27" t="str">
        <f>IF($B458="","",IFERROR(INDEX('العقود'!$F:$F,MATCH($B458,'العقود'!$A:$A,0)),""))</f>
        <v>شركة المستقبل للتدريب</v>
      </c>
      <c r="D458" s="27" t="str">
        <f>IF($B458="","",IFERROR(INDEX('العقود'!$E:$E,MATCH($B458,'العقود'!$A:$A,0)),""))</f>
        <v>ميزان 1</v>
      </c>
      <c r="E458" s="38" t="s">
        <v>1081</v>
      </c>
      <c r="F458" s="39">
        <v>46585</v>
      </c>
      <c r="G458" s="33"/>
      <c r="H458" t="s">
        <v>620</v>
      </c>
      <c r="I458" t="s">
        <v>35</v>
      </c>
      <c r="J458" t="s">
        <v>35</v>
      </c>
      <c r="K458" t="s">
        <v>621</v>
      </c>
      <c r="L458" s="33">
        <v>46305</v>
      </c>
      <c r="M458" s="27" t="str">
        <f>IF($B458="","",IFERROR(INDEX('العقود'!$D:$D,MATCH($B458,'العقود'!$A:$A,0)),""))</f>
        <v>محيي الدين</v>
      </c>
    </row>
    <row r="459" spans="1:13" x14ac:dyDescent="0.25">
      <c r="A459" t="s">
        <v>1085</v>
      </c>
      <c r="B459" t="s">
        <v>95</v>
      </c>
      <c r="C459" s="27" t="str">
        <f>IF($B459="","",IFERROR(INDEX('العقود'!$F:$F,MATCH($B459,'العقود'!$A:$A,0)),""))</f>
        <v>شركة الياسمين للتجارة</v>
      </c>
      <c r="D459" s="27" t="str">
        <f>IF($B459="","",IFERROR(INDEX('العقود'!$E:$E,MATCH($B459,'العقود'!$A:$A,0)),""))</f>
        <v>ميزان 2</v>
      </c>
      <c r="E459" s="38" t="s">
        <v>1081</v>
      </c>
      <c r="F459" s="39">
        <v>25410</v>
      </c>
      <c r="G459" s="33"/>
      <c r="H459" t="s">
        <v>620</v>
      </c>
      <c r="I459" t="s">
        <v>35</v>
      </c>
      <c r="J459" t="s">
        <v>35</v>
      </c>
      <c r="K459" t="s">
        <v>621</v>
      </c>
      <c r="L459" s="33">
        <v>46305</v>
      </c>
      <c r="M459" s="27" t="str">
        <f>IF($B459="","",IFERROR(INDEX('العقود'!$D:$D,MATCH($B459,'العقود'!$A:$A,0)),""))</f>
        <v>محيي الدين</v>
      </c>
    </row>
    <row r="460" spans="1:13" x14ac:dyDescent="0.25">
      <c r="A460" t="s">
        <v>1086</v>
      </c>
      <c r="B460" t="s">
        <v>103</v>
      </c>
      <c r="C460" s="27" t="str">
        <f>IF($B460="","",IFERROR(INDEX('العقود'!$F:$F,MATCH($B460,'العقود'!$A:$A,0)),""))</f>
        <v>شركة الأفق للاستيراد والتصدير</v>
      </c>
      <c r="D460" s="27" t="str">
        <f>IF($B460="","",IFERROR(INDEX('العقود'!$E:$E,MATCH($B460,'العقود'!$A:$A,0)),""))</f>
        <v>202</v>
      </c>
      <c r="E460" s="38" t="s">
        <v>1081</v>
      </c>
      <c r="F460" s="39">
        <v>46585</v>
      </c>
      <c r="G460" s="33"/>
      <c r="H460" t="s">
        <v>620</v>
      </c>
      <c r="I460" t="s">
        <v>35</v>
      </c>
      <c r="J460" t="s">
        <v>35</v>
      </c>
      <c r="K460" t="s">
        <v>621</v>
      </c>
      <c r="L460" s="33">
        <v>46305</v>
      </c>
      <c r="M460" s="27" t="str">
        <f>IF($B460="","",IFERROR(INDEX('العقود'!$D:$D,MATCH($B460,'العقود'!$A:$A,0)),""))</f>
        <v>محيي الدين</v>
      </c>
    </row>
    <row r="461" spans="1:13" x14ac:dyDescent="0.25">
      <c r="A461" t="s">
        <v>1087</v>
      </c>
      <c r="B461" t="s">
        <v>113</v>
      </c>
      <c r="C461" s="27" t="str">
        <f>IF($B461="","",IFERROR(INDEX('العقود'!$F:$F,MATCH($B461,'العقود'!$A:$A,0)),""))</f>
        <v>شريف هشام فوزي</v>
      </c>
      <c r="D461" s="27" t="str">
        <f>IF($B461="","",IFERROR(INDEX('العقود'!$E:$E,MATCH($B461,'العقود'!$A:$A,0)),""))</f>
        <v>301</v>
      </c>
      <c r="E461" s="38" t="s">
        <v>1081</v>
      </c>
      <c r="F461" s="39">
        <v>37000</v>
      </c>
      <c r="G461" s="33"/>
      <c r="H461" t="s">
        <v>620</v>
      </c>
      <c r="I461" t="s">
        <v>35</v>
      </c>
      <c r="J461" t="s">
        <v>35</v>
      </c>
      <c r="K461" t="s">
        <v>621</v>
      </c>
      <c r="L461" s="33">
        <v>46305</v>
      </c>
      <c r="M461" s="27" t="str">
        <f>IF($B461="","",IFERROR(INDEX('العقود'!$D:$D,MATCH($B461,'العقود'!$A:$A,0)),""))</f>
        <v>محيي الدين</v>
      </c>
    </row>
    <row r="462" spans="1:13" x14ac:dyDescent="0.25">
      <c r="A462" t="s">
        <v>1088</v>
      </c>
      <c r="B462" t="s">
        <v>120</v>
      </c>
      <c r="C462" s="27" t="str">
        <f>IF($B462="","",IFERROR(INDEX('العقود'!$F:$F,MATCH($B462,'العقود'!$A:$A,0)),""))</f>
        <v>د/ باسم أمير سليم</v>
      </c>
      <c r="D462" s="27" t="str">
        <f>IF($B462="","",IFERROR(INDEX('العقود'!$E:$E,MATCH($B462,'العقود'!$A:$A,0)),""))</f>
        <v>302</v>
      </c>
      <c r="E462" s="38" t="s">
        <v>1081</v>
      </c>
      <c r="F462" s="39">
        <v>37500</v>
      </c>
      <c r="G462" s="33"/>
      <c r="H462" t="s">
        <v>620</v>
      </c>
      <c r="I462" t="s">
        <v>35</v>
      </c>
      <c r="J462" t="s">
        <v>35</v>
      </c>
      <c r="K462" t="s">
        <v>621</v>
      </c>
      <c r="L462" s="33">
        <v>46305</v>
      </c>
      <c r="M462" s="27" t="str">
        <f>IF($B462="","",IFERROR(INDEX('العقود'!$D:$D,MATCH($B462,'العقود'!$A:$A,0)),""))</f>
        <v>محيي الدين</v>
      </c>
    </row>
    <row r="463" spans="1:13" x14ac:dyDescent="0.25">
      <c r="A463" t="s">
        <v>1089</v>
      </c>
      <c r="B463" t="s">
        <v>126</v>
      </c>
      <c r="C463" s="27" t="str">
        <f>IF($B463="","",IFERROR(INDEX('العقود'!$F:$F,MATCH($B463,'العقود'!$A:$A,0)),""))</f>
        <v>شركة الصفوة للإنتاج الفني</v>
      </c>
      <c r="D463" s="27" t="str">
        <f>IF($B463="","",IFERROR(INDEX('العقود'!$E:$E,MATCH($B463,'العقود'!$A:$A,0)),""))</f>
        <v>303</v>
      </c>
      <c r="E463" s="38" t="s">
        <v>1081</v>
      </c>
      <c r="F463" s="39">
        <v>49450</v>
      </c>
      <c r="G463" s="33"/>
      <c r="H463" t="s">
        <v>620</v>
      </c>
      <c r="I463" t="s">
        <v>35</v>
      </c>
      <c r="J463" t="s">
        <v>35</v>
      </c>
      <c r="K463" t="s">
        <v>621</v>
      </c>
      <c r="L463" s="33">
        <v>46305</v>
      </c>
      <c r="M463" s="27" t="str">
        <f>IF($B463="","",IFERROR(INDEX('العقود'!$D:$D,MATCH($B463,'العقود'!$A:$A,0)),""))</f>
        <v>محيي الدين</v>
      </c>
    </row>
    <row r="464" spans="1:13" x14ac:dyDescent="0.25">
      <c r="A464" t="s">
        <v>1090</v>
      </c>
      <c r="B464" t="s">
        <v>130</v>
      </c>
      <c r="C464" s="27" t="str">
        <f>IF($B464="","",IFERROR(INDEX('العقود'!$F:$F,MATCH($B464,'العقود'!$A:$A,0)),""))</f>
        <v>شركة الصفوة للإنتاج الفني</v>
      </c>
      <c r="D464" s="27" t="str">
        <f>IF($B464="","",IFERROR(INDEX('العقود'!$E:$E,MATCH($B464,'العقود'!$A:$A,0)),""))</f>
        <v>304</v>
      </c>
      <c r="E464" s="38" t="s">
        <v>1081</v>
      </c>
      <c r="F464" s="39">
        <v>27830</v>
      </c>
      <c r="G464" s="33"/>
      <c r="H464" t="s">
        <v>620</v>
      </c>
      <c r="I464" t="s">
        <v>35</v>
      </c>
      <c r="J464" t="s">
        <v>35</v>
      </c>
      <c r="K464" t="s">
        <v>621</v>
      </c>
      <c r="L464" s="33">
        <v>46305</v>
      </c>
      <c r="M464" s="27" t="str">
        <f>IF($B464="","",IFERROR(INDEX('العقود'!$D:$D,MATCH($B464,'العقود'!$A:$A,0)),""))</f>
        <v>محيي الدين</v>
      </c>
    </row>
    <row r="465" spans="1:13" x14ac:dyDescent="0.25">
      <c r="A465" t="s">
        <v>1091</v>
      </c>
      <c r="B465" t="s">
        <v>136</v>
      </c>
      <c r="C465" s="27" t="str">
        <f>IF($B465="","",IFERROR(INDEX('العقود'!$F:$F,MATCH($B465,'العقود'!$A:$A,0)),""))</f>
        <v>د/ يوسف حسن مكرم</v>
      </c>
      <c r="D465" s="27" t="str">
        <f>IF($B465="","",IFERROR(INDEX('العقود'!$E:$E,MATCH($B465,'العقود'!$A:$A,0)),""))</f>
        <v>401</v>
      </c>
      <c r="E465" s="38" t="s">
        <v>1081</v>
      </c>
      <c r="F465" s="39">
        <v>37665</v>
      </c>
      <c r="G465" s="33"/>
      <c r="H465" t="s">
        <v>620</v>
      </c>
      <c r="I465" t="s">
        <v>35</v>
      </c>
      <c r="J465" t="s">
        <v>35</v>
      </c>
      <c r="K465" t="s">
        <v>621</v>
      </c>
      <c r="L465" s="33">
        <v>46305</v>
      </c>
      <c r="M465" s="27" t="str">
        <f>IF($B465="","",IFERROR(INDEX('العقود'!$D:$D,MATCH($B465,'العقود'!$A:$A,0)),""))</f>
        <v>محيي الدين</v>
      </c>
    </row>
    <row r="466" spans="1:13" x14ac:dyDescent="0.25">
      <c r="A466" t="s">
        <v>1092</v>
      </c>
      <c r="B466" t="s">
        <v>143</v>
      </c>
      <c r="C466" s="27" t="str">
        <f>IF($B466="","",IFERROR(INDEX('العقود'!$F:$F,MATCH($B466,'العقود'!$A:$A,0)),""))</f>
        <v>د/ فادي سعيد منصور</v>
      </c>
      <c r="D466" s="27" t="str">
        <f>IF($B466="","",IFERROR(INDEX('العقود'!$E:$E,MATCH($B466,'العقود'!$A:$A,0)),""))</f>
        <v>404</v>
      </c>
      <c r="E466" s="38" t="s">
        <v>1081</v>
      </c>
      <c r="F466" s="39">
        <v>30250</v>
      </c>
      <c r="G466" s="33"/>
      <c r="H466" t="s">
        <v>620</v>
      </c>
      <c r="I466" t="s">
        <v>35</v>
      </c>
      <c r="J466" t="s">
        <v>35</v>
      </c>
      <c r="K466" t="s">
        <v>621</v>
      </c>
      <c r="L466" s="33">
        <v>46305</v>
      </c>
      <c r="M466" s="27" t="str">
        <f>IF($B466="","",IFERROR(INDEX('العقود'!$D:$D,MATCH($B466,'العقود'!$A:$A,0)),""))</f>
        <v>محيي الدين</v>
      </c>
    </row>
    <row r="467" spans="1:13" x14ac:dyDescent="0.25">
      <c r="A467" t="s">
        <v>1093</v>
      </c>
      <c r="B467" t="s">
        <v>149</v>
      </c>
      <c r="C467" s="27" t="str">
        <f>IF($B467="","",IFERROR(INDEX('العقود'!$F:$F,MATCH($B467,'العقود'!$A:$A,0)),""))</f>
        <v>د/ رضوى خالد عبد الرحمن</v>
      </c>
      <c r="D467" s="27" t="str">
        <f>IF($B467="","",IFERROR(INDEX('العقود'!$E:$E,MATCH($B467,'العقود'!$A:$A,0)),""))</f>
        <v>502</v>
      </c>
      <c r="E467" s="38" t="s">
        <v>1081</v>
      </c>
      <c r="F467" s="39">
        <v>19060</v>
      </c>
      <c r="G467" s="33"/>
      <c r="H467" t="s">
        <v>620</v>
      </c>
      <c r="I467" t="s">
        <v>35</v>
      </c>
      <c r="J467" t="s">
        <v>35</v>
      </c>
      <c r="K467" t="s">
        <v>621</v>
      </c>
      <c r="L467" s="33">
        <v>46305</v>
      </c>
      <c r="M467" s="27" t="str">
        <f>IF($B467="","",IFERROR(INDEX('العقود'!$D:$D,MATCH($B467,'العقود'!$A:$A,0)),""))</f>
        <v>محيي الدين</v>
      </c>
    </row>
    <row r="468" spans="1:13" x14ac:dyDescent="0.25">
      <c r="A468" t="s">
        <v>1094</v>
      </c>
      <c r="B468" t="s">
        <v>156</v>
      </c>
      <c r="C468" s="27" t="str">
        <f>IF($B468="","",IFERROR(INDEX('العقود'!$F:$F,MATCH($B468,'العقود'!$A:$A,0)),""))</f>
        <v>د/ آية أيمن بدوي</v>
      </c>
      <c r="D468" s="27" t="str">
        <f>IF($B468="","",IFERROR(INDEX('العقود'!$E:$E,MATCH($B468,'العقود'!$A:$A,0)),""))</f>
        <v>503</v>
      </c>
      <c r="E468" s="38" t="s">
        <v>1081</v>
      </c>
      <c r="F468" s="39">
        <v>20570</v>
      </c>
      <c r="G468" s="33"/>
      <c r="H468" t="s">
        <v>620</v>
      </c>
      <c r="I468" t="s">
        <v>35</v>
      </c>
      <c r="J468" t="s">
        <v>35</v>
      </c>
      <c r="K468" t="s">
        <v>621</v>
      </c>
      <c r="L468" s="33">
        <v>46305</v>
      </c>
      <c r="M468" s="27" t="str">
        <f>IF($B468="","",IFERROR(INDEX('العقود'!$D:$D,MATCH($B468,'العقود'!$A:$A,0)),""))</f>
        <v>محيي الدين</v>
      </c>
    </row>
    <row r="469" spans="1:13" x14ac:dyDescent="0.25">
      <c r="A469" t="s">
        <v>1095</v>
      </c>
      <c r="B469" t="s">
        <v>162</v>
      </c>
      <c r="C469" s="27" t="str">
        <f>IF($B469="","",IFERROR(INDEX('العقود'!$F:$F,MATCH($B469,'العقود'!$A:$A,0)),""))</f>
        <v>محمد سعيد عبد الرحمن</v>
      </c>
      <c r="D469" s="27" t="str">
        <f>IF($B469="","",IFERROR(INDEX('العقود'!$E:$E,MATCH($B469,'العقود'!$A:$A,0)),""))</f>
        <v>504</v>
      </c>
      <c r="E469" s="38" t="s">
        <v>1081</v>
      </c>
      <c r="F469" s="39">
        <v>25410</v>
      </c>
      <c r="G469" s="33"/>
      <c r="H469" t="s">
        <v>620</v>
      </c>
      <c r="I469" t="s">
        <v>35</v>
      </c>
      <c r="J469" t="s">
        <v>35</v>
      </c>
      <c r="K469" t="s">
        <v>621</v>
      </c>
      <c r="L469" s="33">
        <v>46305</v>
      </c>
      <c r="M469" s="27" t="str">
        <f>IF($B469="","",IFERROR(INDEX('العقود'!$D:$D,MATCH($B469,'العقود'!$A:$A,0)),""))</f>
        <v>محيي الدين</v>
      </c>
    </row>
    <row r="470" spans="1:13" x14ac:dyDescent="0.25">
      <c r="A470" t="s">
        <v>1096</v>
      </c>
      <c r="B470" t="s">
        <v>171</v>
      </c>
      <c r="C470" s="27" t="str">
        <f>IF($B470="","",IFERROR(INDEX('العقود'!$F:$F,MATCH($B470,'العقود'!$A:$A,0)),""))</f>
        <v>شركة الأمل للإنتاج الفني</v>
      </c>
      <c r="D470" s="27" t="str">
        <f>IF($B470="","",IFERROR(INDEX('العقود'!$E:$E,MATCH($B470,'العقود'!$A:$A,0)),""))</f>
        <v>ميزان 1</v>
      </c>
      <c r="E470" s="38" t="s">
        <v>1081</v>
      </c>
      <c r="F470" s="39">
        <v>44770</v>
      </c>
      <c r="G470" s="33"/>
      <c r="H470" t="s">
        <v>620</v>
      </c>
      <c r="I470" t="s">
        <v>35</v>
      </c>
      <c r="J470" t="s">
        <v>35</v>
      </c>
      <c r="K470" t="s">
        <v>621</v>
      </c>
      <c r="L470" s="33">
        <v>46305</v>
      </c>
      <c r="M470" s="27" t="str">
        <f>IF($B470="","",IFERROR(INDEX('العقود'!$D:$D,MATCH($B470,'العقود'!$A:$A,0)),""))</f>
        <v>ابو بكر</v>
      </c>
    </row>
    <row r="471" spans="1:13" x14ac:dyDescent="0.25">
      <c r="A471" t="s">
        <v>1097</v>
      </c>
      <c r="B471" t="s">
        <v>177</v>
      </c>
      <c r="C471" s="27" t="str">
        <f>IF($B471="","",IFERROR(INDEX('العقود'!$F:$F,MATCH($B471,'العقود'!$A:$A,0)),""))</f>
        <v>شركة النور للاستشارات الهندسية</v>
      </c>
      <c r="D471" s="27" t="str">
        <f>IF($B471="","",IFERROR(INDEX('العقود'!$E:$E,MATCH($B471,'العقود'!$A:$A,0)),""))</f>
        <v>ميزان 2</v>
      </c>
      <c r="E471" s="38" t="s">
        <v>1081</v>
      </c>
      <c r="F471" s="39">
        <v>44770</v>
      </c>
      <c r="G471" s="33"/>
      <c r="H471" t="s">
        <v>620</v>
      </c>
      <c r="I471" t="s">
        <v>35</v>
      </c>
      <c r="J471" t="s">
        <v>35</v>
      </c>
      <c r="K471" t="s">
        <v>621</v>
      </c>
      <c r="L471" s="33">
        <v>46305</v>
      </c>
      <c r="M471" s="27" t="str">
        <f>IF($B471="","",IFERROR(INDEX('العقود'!$D:$D,MATCH($B471,'العقود'!$A:$A,0)),""))</f>
        <v>ابو بكر</v>
      </c>
    </row>
    <row r="472" spans="1:13" x14ac:dyDescent="0.25">
      <c r="A472" t="s">
        <v>1098</v>
      </c>
      <c r="B472" t="s">
        <v>186</v>
      </c>
      <c r="C472" s="27" t="str">
        <f>IF($B472="","",IFERROR(INDEX('العقود'!$F:$F,MATCH($B472,'العقود'!$A:$A,0)),""))</f>
        <v>عادل عمر مكرم</v>
      </c>
      <c r="D472" s="27" t="str">
        <f>IF($B472="","",IFERROR(INDEX('العقود'!$E:$E,MATCH($B472,'العقود'!$A:$A,0)),""))</f>
        <v>102</v>
      </c>
      <c r="E472" s="38" t="s">
        <v>1081</v>
      </c>
      <c r="F472" s="39">
        <v>20000</v>
      </c>
      <c r="G472" s="33"/>
      <c r="H472" t="s">
        <v>620</v>
      </c>
      <c r="I472" t="s">
        <v>35</v>
      </c>
      <c r="J472" t="s">
        <v>35</v>
      </c>
      <c r="K472" t="s">
        <v>621</v>
      </c>
      <c r="L472" s="33">
        <v>46305</v>
      </c>
      <c r="M472" s="27" t="str">
        <f>IF($B472="","",IFERROR(INDEX('العقود'!$D:$D,MATCH($B472,'العقود'!$A:$A,0)),""))</f>
        <v>ابو بكر</v>
      </c>
    </row>
    <row r="473" spans="1:13" x14ac:dyDescent="0.25">
      <c r="A473" t="s">
        <v>1099</v>
      </c>
      <c r="B473" t="s">
        <v>190</v>
      </c>
      <c r="C473" s="27" t="str">
        <f>IF($B473="","",IFERROR(INDEX('العقود'!$F:$F,MATCH($B473,'العقود'!$A:$A,0)),""))</f>
        <v>تامر علي بدوي</v>
      </c>
      <c r="D473" s="27" t="str">
        <f>IF($B473="","",IFERROR(INDEX('العقود'!$E:$E,MATCH($B473,'العقود'!$A:$A,0)),""))</f>
        <v>103</v>
      </c>
      <c r="E473" s="38" t="s">
        <v>1081</v>
      </c>
      <c r="F473" s="39">
        <v>7000</v>
      </c>
      <c r="G473" s="33"/>
      <c r="H473" t="s">
        <v>620</v>
      </c>
      <c r="I473" t="s">
        <v>35</v>
      </c>
      <c r="J473" t="s">
        <v>35</v>
      </c>
      <c r="K473" t="s">
        <v>621</v>
      </c>
      <c r="L473" s="33">
        <v>46305</v>
      </c>
      <c r="M473" s="27" t="str">
        <f>IF($B473="","",IFERROR(INDEX('العقود'!$D:$D,MATCH($B473,'العقود'!$A:$A,0)),""))</f>
        <v>ابو بكر</v>
      </c>
    </row>
    <row r="474" spans="1:13" x14ac:dyDescent="0.25">
      <c r="A474" t="s">
        <v>1100</v>
      </c>
      <c r="B474" t="s">
        <v>199</v>
      </c>
      <c r="C474" s="27" t="str">
        <f>IF($B474="","",IFERROR(INDEX('العقود'!$F:$F,MATCH($B474,'العقود'!$A:$A,0)),""))</f>
        <v>مروان محمود حسنين</v>
      </c>
      <c r="D474" s="27" t="str">
        <f>IF($B474="","",IFERROR(INDEX('العقود'!$E:$E,MATCH($B474,'العقود'!$A:$A,0)),""))</f>
        <v>104</v>
      </c>
      <c r="E474" s="38" t="s">
        <v>1081</v>
      </c>
      <c r="F474" s="39">
        <v>15000</v>
      </c>
      <c r="G474" s="33"/>
      <c r="H474" t="s">
        <v>620</v>
      </c>
      <c r="I474" t="s">
        <v>35</v>
      </c>
      <c r="J474" t="s">
        <v>35</v>
      </c>
      <c r="K474" t="s">
        <v>621</v>
      </c>
      <c r="L474" s="33">
        <v>46305</v>
      </c>
      <c r="M474" s="27" t="str">
        <f>IF($B474="","",IFERROR(INDEX('العقود'!$D:$D,MATCH($B474,'العقود'!$A:$A,0)),""))</f>
        <v>ابو بكر</v>
      </c>
    </row>
    <row r="475" spans="1:13" x14ac:dyDescent="0.25">
      <c r="A475" t="s">
        <v>1101</v>
      </c>
      <c r="B475" t="s">
        <v>203</v>
      </c>
      <c r="C475" s="27" t="str">
        <f>IF($B475="","",IFERROR(INDEX('العقود'!$F:$F,MATCH($B475,'العقود'!$A:$A,0)),""))</f>
        <v>عادل عمر مكرم</v>
      </c>
      <c r="D475" s="27" t="str">
        <f>IF($B475="","",IFERROR(INDEX('العقود'!$E:$E,MATCH($B475,'العقود'!$A:$A,0)),""))</f>
        <v>105</v>
      </c>
      <c r="E475" s="38" t="s">
        <v>1081</v>
      </c>
      <c r="F475" s="39">
        <v>1000</v>
      </c>
      <c r="G475" s="33"/>
      <c r="H475" t="s">
        <v>620</v>
      </c>
      <c r="I475" t="s">
        <v>35</v>
      </c>
      <c r="J475" t="s">
        <v>35</v>
      </c>
      <c r="K475" t="s">
        <v>621</v>
      </c>
      <c r="L475" s="33">
        <v>46305</v>
      </c>
      <c r="M475" s="27" t="str">
        <f>IF($B475="","",IFERROR(INDEX('العقود'!$D:$D,MATCH($B475,'العقود'!$A:$A,0)),""))</f>
        <v>ابو بكر</v>
      </c>
    </row>
    <row r="476" spans="1:13" x14ac:dyDescent="0.25">
      <c r="A476" t="s">
        <v>1102</v>
      </c>
      <c r="B476" t="s">
        <v>207</v>
      </c>
      <c r="C476" s="27" t="str">
        <f>IF($B476="","",IFERROR(INDEX('العقود'!$F:$F,MATCH($B476,'العقود'!$A:$A,0)),""))</f>
        <v>حسين أمير بدوي</v>
      </c>
      <c r="D476" s="27" t="str">
        <f>IF($B476="","",IFERROR(INDEX('العقود'!$E:$E,MATCH($B476,'العقود'!$A:$A,0)),""))</f>
        <v>106</v>
      </c>
      <c r="E476" s="38" t="s">
        <v>1081</v>
      </c>
      <c r="F476" s="39">
        <v>7000</v>
      </c>
      <c r="G476" s="33"/>
      <c r="H476" t="s">
        <v>620</v>
      </c>
      <c r="I476" t="s">
        <v>35</v>
      </c>
      <c r="J476" t="s">
        <v>35</v>
      </c>
      <c r="K476" t="s">
        <v>621</v>
      </c>
      <c r="L476" s="33">
        <v>46305</v>
      </c>
      <c r="M476" s="27" t="str">
        <f>IF($B476="","",IFERROR(INDEX('العقود'!$D:$D,MATCH($B476,'العقود'!$A:$A,0)),""))</f>
        <v>ابو بكر</v>
      </c>
    </row>
    <row r="477" spans="1:13" x14ac:dyDescent="0.25">
      <c r="A477" t="s">
        <v>1103</v>
      </c>
      <c r="B477" t="s">
        <v>213</v>
      </c>
      <c r="C477" s="27" t="str">
        <f>IF($B477="","",IFERROR(INDEX('العقود'!$F:$F,MATCH($B477,'العقود'!$A:$A,0)),""))</f>
        <v>حسين أمير بدوي</v>
      </c>
      <c r="D477" s="27" t="str">
        <f>IF($B477="","",IFERROR(INDEX('العقود'!$E:$E,MATCH($B477,'العقود'!$A:$A,0)),""))</f>
        <v>107</v>
      </c>
      <c r="E477" s="38" t="s">
        <v>1081</v>
      </c>
      <c r="F477" s="39">
        <v>8000</v>
      </c>
      <c r="G477" s="33"/>
      <c r="H477" t="s">
        <v>620</v>
      </c>
      <c r="I477" t="s">
        <v>35</v>
      </c>
      <c r="J477" t="s">
        <v>35</v>
      </c>
      <c r="K477" t="s">
        <v>621</v>
      </c>
      <c r="L477" s="33">
        <v>46305</v>
      </c>
      <c r="M477" s="27" t="str">
        <f>IF($B477="","",IFERROR(INDEX('العقود'!$D:$D,MATCH($B477,'العقود'!$A:$A,0)),""))</f>
        <v>ابو بكر</v>
      </c>
    </row>
    <row r="478" spans="1:13" x14ac:dyDescent="0.25">
      <c r="A478" t="s">
        <v>1104</v>
      </c>
      <c r="B478" t="s">
        <v>217</v>
      </c>
      <c r="C478" s="27" t="str">
        <f>IF($B478="","",IFERROR(INDEX('العقود'!$F:$F,MATCH($B478,'العقود'!$A:$A,0)),""))</f>
        <v>حسين أمير بدوي</v>
      </c>
      <c r="D478" s="27" t="str">
        <f>IF($B478="","",IFERROR(INDEX('العقود'!$E:$E,MATCH($B478,'العقود'!$A:$A,0)),""))</f>
        <v>108</v>
      </c>
      <c r="E478" s="38" t="s">
        <v>1081</v>
      </c>
      <c r="F478" s="39">
        <v>8000</v>
      </c>
      <c r="G478" s="33"/>
      <c r="H478" t="s">
        <v>620</v>
      </c>
      <c r="I478" t="s">
        <v>35</v>
      </c>
      <c r="J478" t="s">
        <v>35</v>
      </c>
      <c r="K478" t="s">
        <v>621</v>
      </c>
      <c r="L478" s="33">
        <v>46305</v>
      </c>
      <c r="M478" s="27" t="str">
        <f>IF($B478="","",IFERROR(INDEX('العقود'!$D:$D,MATCH($B478,'العقود'!$A:$A,0)),""))</f>
        <v>ابو بكر</v>
      </c>
    </row>
    <row r="479" spans="1:13" x14ac:dyDescent="0.25">
      <c r="A479" t="s">
        <v>1105</v>
      </c>
      <c r="B479" t="s">
        <v>228</v>
      </c>
      <c r="C479" s="27" t="str">
        <f>IF($B479="","",IFERROR(INDEX('العقود'!$F:$F,MATCH($B479,'العقود'!$A:$A,0)),""))</f>
        <v>د/ نادر شريف شاكر</v>
      </c>
      <c r="D479" s="27" t="str">
        <f>IF($B479="","",IFERROR(INDEX('العقود'!$E:$E,MATCH($B479,'العقود'!$A:$A,0)),""))</f>
        <v>202</v>
      </c>
      <c r="E479" s="38" t="s">
        <v>1081</v>
      </c>
      <c r="F479" s="39">
        <v>16500</v>
      </c>
      <c r="G479" s="33"/>
      <c r="H479" t="s">
        <v>620</v>
      </c>
      <c r="I479" t="s">
        <v>35</v>
      </c>
      <c r="J479" t="s">
        <v>35</v>
      </c>
      <c r="K479" t="s">
        <v>621</v>
      </c>
      <c r="L479" s="33">
        <v>46305</v>
      </c>
      <c r="M479" s="27" t="str">
        <f>IF($B479="","",IFERROR(INDEX('العقود'!$D:$D,MATCH($B479,'العقود'!$A:$A,0)),""))</f>
        <v>ابو بكر</v>
      </c>
    </row>
    <row r="480" spans="1:13" x14ac:dyDescent="0.25">
      <c r="A480" t="s">
        <v>1106</v>
      </c>
      <c r="B480" t="s">
        <v>241</v>
      </c>
      <c r="C480" s="27" t="str">
        <f>IF($B480="","",IFERROR(INDEX('العقود'!$F:$F,MATCH($B480,'العقود'!$A:$A,0)),""))</f>
        <v>د/ عمر باسم رزق</v>
      </c>
      <c r="D480" s="27" t="str">
        <f>IF($B480="","",IFERROR(INDEX('العقود'!$E:$E,MATCH($B480,'العقود'!$A:$A,0)),""))</f>
        <v>204</v>
      </c>
      <c r="E480" s="38" t="s">
        <v>1081</v>
      </c>
      <c r="F480" s="39">
        <v>14500</v>
      </c>
      <c r="G480" s="33"/>
      <c r="H480" t="s">
        <v>620</v>
      </c>
      <c r="I480" t="s">
        <v>35</v>
      </c>
      <c r="J480" t="s">
        <v>35</v>
      </c>
      <c r="K480" t="s">
        <v>621</v>
      </c>
      <c r="L480" s="33">
        <v>46305</v>
      </c>
      <c r="M480" s="27" t="str">
        <f>IF($B480="","",IFERROR(INDEX('العقود'!$D:$D,MATCH($B480,'العقود'!$A:$A,0)),""))</f>
        <v>ابو بكر</v>
      </c>
    </row>
    <row r="481" spans="1:13" x14ac:dyDescent="0.25">
      <c r="A481" t="s">
        <v>1107</v>
      </c>
      <c r="B481" t="s">
        <v>246</v>
      </c>
      <c r="C481" s="27" t="str">
        <f>IF($B481="","",IFERROR(INDEX('العقود'!$F:$F,MATCH($B481,'العقود'!$A:$A,0)),""))</f>
        <v>أحمد عمرو سليم</v>
      </c>
      <c r="D481" s="27" t="str">
        <f>IF($B481="","",IFERROR(INDEX('العقود'!$E:$E,MATCH($B481,'العقود'!$A:$A,0)),""))</f>
        <v>205</v>
      </c>
      <c r="E481" s="38" t="s">
        <v>1081</v>
      </c>
      <c r="F481" s="39">
        <v>14000</v>
      </c>
      <c r="G481" s="33"/>
      <c r="H481" t="s">
        <v>620</v>
      </c>
      <c r="I481" t="s">
        <v>35</v>
      </c>
      <c r="J481" t="s">
        <v>35</v>
      </c>
      <c r="K481" t="s">
        <v>621</v>
      </c>
      <c r="L481" s="33">
        <v>46305</v>
      </c>
      <c r="M481" s="27" t="str">
        <f>IF($B481="","",IFERROR(INDEX('العقود'!$D:$D,MATCH($B481,'العقود'!$A:$A,0)),""))</f>
        <v>ابو بكر</v>
      </c>
    </row>
    <row r="482" spans="1:13" x14ac:dyDescent="0.25">
      <c r="A482" t="s">
        <v>1108</v>
      </c>
      <c r="B482" t="s">
        <v>253</v>
      </c>
      <c r="C482" s="27" t="str">
        <f>IF($B482="","",IFERROR(INDEX('العقود'!$F:$F,MATCH($B482,'العقود'!$A:$A,0)),""))</f>
        <v>شركة النخبة للتجارة</v>
      </c>
      <c r="D482" s="27" t="str">
        <f>IF($B482="","",IFERROR(INDEX('العقود'!$E:$E,MATCH($B482,'العقود'!$A:$A,0)),""))</f>
        <v>206</v>
      </c>
      <c r="E482" s="38" t="s">
        <v>1081</v>
      </c>
      <c r="F482" s="39">
        <v>16500</v>
      </c>
      <c r="G482" s="33"/>
      <c r="H482" t="s">
        <v>620</v>
      </c>
      <c r="I482" t="s">
        <v>35</v>
      </c>
      <c r="J482" t="s">
        <v>35</v>
      </c>
      <c r="K482" t="s">
        <v>621</v>
      </c>
      <c r="L482" s="33">
        <v>46305</v>
      </c>
      <c r="M482" s="27" t="str">
        <f>IF($B482="","",IFERROR(INDEX('العقود'!$D:$D,MATCH($B482,'العقود'!$A:$A,0)),""))</f>
        <v>ابو بكر</v>
      </c>
    </row>
    <row r="483" spans="1:13" x14ac:dyDescent="0.25">
      <c r="A483" t="s">
        <v>1109</v>
      </c>
      <c r="B483" t="s">
        <v>260</v>
      </c>
      <c r="C483" s="27" t="str">
        <f>IF($B483="","",IFERROR(INDEX('العقود'!$F:$F,MATCH($B483,'العقود'!$A:$A,0)),""))</f>
        <v>د/ رنا هشام رزق</v>
      </c>
      <c r="D483" s="27" t="str">
        <f>IF($B483="","",IFERROR(INDEX('العقود'!$E:$E,MATCH($B483,'العقود'!$A:$A,0)),""))</f>
        <v>207</v>
      </c>
      <c r="E483" s="38" t="s">
        <v>1081</v>
      </c>
      <c r="F483" s="39">
        <v>20000</v>
      </c>
      <c r="G483" s="33"/>
      <c r="H483" t="s">
        <v>620</v>
      </c>
      <c r="I483" t="s">
        <v>35</v>
      </c>
      <c r="J483" t="s">
        <v>35</v>
      </c>
      <c r="K483" t="s">
        <v>621</v>
      </c>
      <c r="L483" s="33">
        <v>46305</v>
      </c>
      <c r="M483" s="27" t="str">
        <f>IF($B483="","",IFERROR(INDEX('العقود'!$D:$D,MATCH($B483,'العقود'!$A:$A,0)),""))</f>
        <v>ابو بكر</v>
      </c>
    </row>
    <row r="484" spans="1:13" x14ac:dyDescent="0.25">
      <c r="A484" t="s">
        <v>1110</v>
      </c>
      <c r="B484" t="s">
        <v>268</v>
      </c>
      <c r="C484" s="27" t="str">
        <f>IF($B484="","",IFERROR(INDEX('العقود'!$F:$F,MATCH($B484,'العقود'!$A:$A,0)),""))</f>
        <v>شركة النخبة للإنتاج الفني</v>
      </c>
      <c r="D484" s="27" t="str">
        <f>IF($B484="","",IFERROR(INDEX('العقود'!$E:$E,MATCH($B484,'العقود'!$A:$A,0)),""))</f>
        <v>208</v>
      </c>
      <c r="E484" s="38" t="s">
        <v>1081</v>
      </c>
      <c r="F484" s="39">
        <v>21175</v>
      </c>
      <c r="G484" s="33"/>
      <c r="H484" t="s">
        <v>620</v>
      </c>
      <c r="I484" t="s">
        <v>35</v>
      </c>
      <c r="J484" t="s">
        <v>35</v>
      </c>
      <c r="K484" t="s">
        <v>621</v>
      </c>
      <c r="L484" s="33">
        <v>46305</v>
      </c>
      <c r="M484" s="27" t="str">
        <f>IF($B484="","",IFERROR(INDEX('العقود'!$D:$D,MATCH($B484,'العقود'!$A:$A,0)),""))</f>
        <v>ابو بكر</v>
      </c>
    </row>
    <row r="485" spans="1:13" x14ac:dyDescent="0.25">
      <c r="A485" t="s">
        <v>1111</v>
      </c>
      <c r="B485" t="s">
        <v>279</v>
      </c>
      <c r="C485" s="27" t="str">
        <f>IF($B485="","",IFERROR(INDEX('العقود'!$F:$F,MATCH($B485,'العقود'!$A:$A,0)),""))</f>
        <v>خالد شريف زكي</v>
      </c>
      <c r="D485" s="27" t="str">
        <f>IF($B485="","",IFERROR(INDEX('العقود'!$E:$E,MATCH($B485,'العقود'!$A:$A,0)),""))</f>
        <v>302</v>
      </c>
      <c r="E485" s="38" t="s">
        <v>1081</v>
      </c>
      <c r="F485" s="39">
        <v>17000</v>
      </c>
      <c r="G485" s="33"/>
      <c r="H485" t="s">
        <v>620</v>
      </c>
      <c r="I485" t="s">
        <v>35</v>
      </c>
      <c r="J485" t="s">
        <v>35</v>
      </c>
      <c r="K485" t="s">
        <v>621</v>
      </c>
      <c r="L485" s="33">
        <v>46305</v>
      </c>
      <c r="M485" s="27" t="str">
        <f>IF($B485="","",IFERROR(INDEX('العقود'!$D:$D,MATCH($B485,'العقود'!$A:$A,0)),""))</f>
        <v>ابو بكر</v>
      </c>
    </row>
    <row r="486" spans="1:13" x14ac:dyDescent="0.25">
      <c r="A486" t="s">
        <v>1112</v>
      </c>
      <c r="B486" t="s">
        <v>282</v>
      </c>
      <c r="C486" s="27" t="str">
        <f>IF($B486="","",IFERROR(INDEX('العقود'!$F:$F,MATCH($B486,'العقود'!$A:$A,0)),""))</f>
        <v>عادل عمر مكرم</v>
      </c>
      <c r="D486" s="27" t="str">
        <f>IF($B486="","",IFERROR(INDEX('العقود'!$E:$E,MATCH($B486,'العقود'!$A:$A,0)),""))</f>
        <v>303</v>
      </c>
      <c r="E486" s="38" t="s">
        <v>1081</v>
      </c>
      <c r="F486" s="39">
        <v>19000</v>
      </c>
      <c r="G486" s="33"/>
      <c r="H486" t="s">
        <v>620</v>
      </c>
      <c r="I486" t="s">
        <v>35</v>
      </c>
      <c r="J486" t="s">
        <v>35</v>
      </c>
      <c r="K486" t="s">
        <v>621</v>
      </c>
      <c r="L486" s="33">
        <v>46305</v>
      </c>
      <c r="M486" s="27" t="str">
        <f>IF($B486="","",IFERROR(INDEX('العقود'!$D:$D,MATCH($B486,'العقود'!$A:$A,0)),""))</f>
        <v>ابو بكر</v>
      </c>
    </row>
    <row r="487" spans="1:13" x14ac:dyDescent="0.25">
      <c r="A487" t="s">
        <v>1113</v>
      </c>
      <c r="B487" t="s">
        <v>291</v>
      </c>
      <c r="C487" s="27" t="str">
        <f>IF($B487="","",IFERROR(INDEX('العقود'!$F:$F,MATCH($B487,'العقود'!$A:$A,0)),""))</f>
        <v>ندى محمد البنا</v>
      </c>
      <c r="D487" s="27" t="str">
        <f>IF($B487="","",IFERROR(INDEX('العقود'!$E:$E,MATCH($B487,'العقود'!$A:$A,0)),""))</f>
        <v>304</v>
      </c>
      <c r="E487" s="38" t="s">
        <v>1081</v>
      </c>
      <c r="F487" s="39">
        <v>14000</v>
      </c>
      <c r="G487" s="33"/>
      <c r="H487" t="s">
        <v>620</v>
      </c>
      <c r="I487" t="s">
        <v>35</v>
      </c>
      <c r="J487" t="s">
        <v>35</v>
      </c>
      <c r="K487" t="s">
        <v>621</v>
      </c>
      <c r="L487" s="33">
        <v>46305</v>
      </c>
      <c r="M487" s="27" t="str">
        <f>IF($B487="","",IFERROR(INDEX('العقود'!$D:$D,MATCH($B487,'العقود'!$A:$A,0)),""))</f>
        <v>ابو بكر</v>
      </c>
    </row>
    <row r="488" spans="1:13" x14ac:dyDescent="0.25">
      <c r="A488" t="s">
        <v>1114</v>
      </c>
      <c r="B488" t="s">
        <v>298</v>
      </c>
      <c r="C488" s="27" t="str">
        <f>IF($B488="","",IFERROR(INDEX('العقود'!$F:$F,MATCH($B488,'العقود'!$A:$A,0)),""))</f>
        <v>شركة النور للخدمات الطبية</v>
      </c>
      <c r="D488" s="27" t="str">
        <f>IF($B488="","",IFERROR(INDEX('العقود'!$E:$E,MATCH($B488,'العقود'!$A:$A,0)),""))</f>
        <v>305</v>
      </c>
      <c r="E488" s="38" t="s">
        <v>1081</v>
      </c>
      <c r="F488" s="39">
        <v>11500</v>
      </c>
      <c r="G488" s="33"/>
      <c r="H488" t="s">
        <v>620</v>
      </c>
      <c r="I488" t="s">
        <v>35</v>
      </c>
      <c r="J488" t="s">
        <v>35</v>
      </c>
      <c r="K488" t="s">
        <v>621</v>
      </c>
      <c r="L488" s="33">
        <v>46305</v>
      </c>
      <c r="M488" s="27" t="str">
        <f>IF($B488="","",IFERROR(INDEX('العقود'!$D:$D,MATCH($B488,'العقود'!$A:$A,0)),""))</f>
        <v>ابو بكر</v>
      </c>
    </row>
    <row r="489" spans="1:13" x14ac:dyDescent="0.25">
      <c r="A489" t="s">
        <v>1115</v>
      </c>
      <c r="B489" t="s">
        <v>304</v>
      </c>
      <c r="C489" s="27" t="str">
        <f>IF($B489="","",IFERROR(INDEX('العقود'!$F:$F,MATCH($B489,'العقود'!$A:$A,0)),""))</f>
        <v>سامح إبراهيم منصور</v>
      </c>
      <c r="D489" s="27" t="str">
        <f>IF($B489="","",IFERROR(INDEX('العقود'!$E:$E,MATCH($B489,'العقود'!$A:$A,0)),""))</f>
        <v>306</v>
      </c>
      <c r="E489" s="38" t="s">
        <v>1081</v>
      </c>
      <c r="F489" s="39">
        <v>11195</v>
      </c>
      <c r="G489" s="33"/>
      <c r="H489" t="s">
        <v>620</v>
      </c>
      <c r="I489" t="s">
        <v>35</v>
      </c>
      <c r="J489" t="s">
        <v>35</v>
      </c>
      <c r="K489" t="s">
        <v>621</v>
      </c>
      <c r="L489" s="33">
        <v>46305</v>
      </c>
      <c r="M489" s="27" t="str">
        <f>IF($B489="","",IFERROR(INDEX('العقود'!$D:$D,MATCH($B489,'العقود'!$A:$A,0)),""))</f>
        <v>ابو بكر</v>
      </c>
    </row>
    <row r="490" spans="1:13" x14ac:dyDescent="0.25">
      <c r="A490" t="s">
        <v>1116</v>
      </c>
      <c r="B490" t="s">
        <v>311</v>
      </c>
      <c r="C490" s="27" t="str">
        <f>IF($B490="","",IFERROR(INDEX('العقود'!$F:$F,MATCH($B490,'العقود'!$A:$A,0)),""))</f>
        <v>د/ منى أمير الشريف</v>
      </c>
      <c r="D490" s="27" t="str">
        <f>IF($B490="","",IFERROR(INDEX('العقود'!$E:$E,MATCH($B490,'العقود'!$A:$A,0)),""))</f>
        <v>307</v>
      </c>
      <c r="E490" s="38" t="s">
        <v>1081</v>
      </c>
      <c r="F490" s="39">
        <v>12100</v>
      </c>
      <c r="G490" s="33"/>
      <c r="H490" t="s">
        <v>620</v>
      </c>
      <c r="I490" t="s">
        <v>35</v>
      </c>
      <c r="J490" t="s">
        <v>35</v>
      </c>
      <c r="K490" t="s">
        <v>621</v>
      </c>
      <c r="L490" s="33">
        <v>46305</v>
      </c>
      <c r="M490" s="27" t="str">
        <f>IF($B490="","",IFERROR(INDEX('العقود'!$D:$D,MATCH($B490,'العقود'!$A:$A,0)),""))</f>
        <v>ابو بكر</v>
      </c>
    </row>
    <row r="491" spans="1:13" x14ac:dyDescent="0.25">
      <c r="A491" t="s">
        <v>1117</v>
      </c>
      <c r="B491" t="s">
        <v>318</v>
      </c>
      <c r="C491" s="27" t="str">
        <f>IF($B491="","",IFERROR(INDEX('العقود'!$F:$F,MATCH($B491,'العقود'!$A:$A,0)),""))</f>
        <v>شركة الأمل للخدمات الطبية</v>
      </c>
      <c r="D491" s="27" t="str">
        <f>IF($B491="","",IFERROR(INDEX('العقود'!$E:$E,MATCH($B491,'العقود'!$A:$A,0)),""))</f>
        <v>401</v>
      </c>
      <c r="E491" s="38" t="s">
        <v>1081</v>
      </c>
      <c r="F491" s="39">
        <v>12100</v>
      </c>
      <c r="G491" s="33"/>
      <c r="H491" t="s">
        <v>620</v>
      </c>
      <c r="I491" t="s">
        <v>35</v>
      </c>
      <c r="J491" t="s">
        <v>35</v>
      </c>
      <c r="K491" t="s">
        <v>621</v>
      </c>
      <c r="L491" s="33">
        <v>46305</v>
      </c>
      <c r="M491" s="27" t="str">
        <f>IF($B491="","",IFERROR(INDEX('العقود'!$D:$D,MATCH($B491,'العقود'!$A:$A,0)),""))</f>
        <v>ابو بكر</v>
      </c>
    </row>
    <row r="492" spans="1:13" x14ac:dyDescent="0.25">
      <c r="A492" t="s">
        <v>1118</v>
      </c>
      <c r="B492" t="s">
        <v>325</v>
      </c>
      <c r="C492" s="27" t="str">
        <f>IF($B492="","",IFERROR(INDEX('العقود'!$F:$F,MATCH($B492,'العقود'!$A:$A,0)),""))</f>
        <v>شركة البركة للتدريب</v>
      </c>
      <c r="D492" s="27" t="str">
        <f>IF($B492="","",IFERROR(INDEX('العقود'!$E:$E,MATCH($B492,'العقود'!$A:$A,0)),""))</f>
        <v>403</v>
      </c>
      <c r="E492" s="38" t="s">
        <v>1081</v>
      </c>
      <c r="F492" s="39">
        <v>16335</v>
      </c>
      <c r="G492" s="33"/>
      <c r="H492" t="s">
        <v>620</v>
      </c>
      <c r="I492" t="s">
        <v>35</v>
      </c>
      <c r="J492" t="s">
        <v>35</v>
      </c>
      <c r="K492" t="s">
        <v>621</v>
      </c>
      <c r="L492" s="33">
        <v>46305</v>
      </c>
      <c r="M492" s="27" t="str">
        <f>IF($B492="","",IFERROR(INDEX('العقود'!$D:$D,MATCH($B492,'العقود'!$A:$A,0)),""))</f>
        <v>ابو بكر</v>
      </c>
    </row>
    <row r="493" spans="1:13" x14ac:dyDescent="0.25">
      <c r="A493" t="s">
        <v>1119</v>
      </c>
      <c r="B493" t="s">
        <v>333</v>
      </c>
      <c r="C493" s="27" t="str">
        <f>IF($B493="","",IFERROR(INDEX('العقود'!$F:$F,MATCH($B493,'العقود'!$A:$A,0)),""))</f>
        <v>آية محمود بدوي</v>
      </c>
      <c r="D493" s="27" t="str">
        <f>IF($B493="","",IFERROR(INDEX('العقود'!$E:$E,MATCH($B493,'العقود'!$A:$A,0)),""))</f>
        <v>404</v>
      </c>
      <c r="E493" s="38" t="s">
        <v>1081</v>
      </c>
      <c r="F493" s="39">
        <v>13500</v>
      </c>
      <c r="G493" s="33"/>
      <c r="H493" t="s">
        <v>620</v>
      </c>
      <c r="I493" t="s">
        <v>35</v>
      </c>
      <c r="J493" t="s">
        <v>35</v>
      </c>
      <c r="K493" t="s">
        <v>621</v>
      </c>
      <c r="L493" s="33">
        <v>46305</v>
      </c>
      <c r="M493" s="27" t="str">
        <f>IF($B493="","",IFERROR(INDEX('العقود'!$D:$D,MATCH($B493,'العقود'!$A:$A,0)),""))</f>
        <v>ابو بكر</v>
      </c>
    </row>
    <row r="494" spans="1:13" x14ac:dyDescent="0.25">
      <c r="A494" t="s">
        <v>1120</v>
      </c>
      <c r="B494" t="s">
        <v>341</v>
      </c>
      <c r="C494" s="27" t="str">
        <f>IF($B494="","",IFERROR(INDEX('العقود'!$F:$F,MATCH($B494,'العقود'!$A:$A,0)),""))</f>
        <v>شركة الأصيل للإنتاج الفني</v>
      </c>
      <c r="D494" s="27" t="str">
        <f>IF($B494="","",IFERROR(INDEX('العقود'!$E:$E,MATCH($B494,'العقود'!$A:$A,0)),""))</f>
        <v>405</v>
      </c>
      <c r="E494" s="38" t="s">
        <v>1081</v>
      </c>
      <c r="F494" s="39">
        <v>14000</v>
      </c>
      <c r="G494" s="33"/>
      <c r="H494" t="s">
        <v>620</v>
      </c>
      <c r="I494" t="s">
        <v>35</v>
      </c>
      <c r="J494" t="s">
        <v>35</v>
      </c>
      <c r="K494" t="s">
        <v>621</v>
      </c>
      <c r="L494" s="33">
        <v>46305</v>
      </c>
      <c r="M494" s="27" t="str">
        <f>IF($B494="","",IFERROR(INDEX('العقود'!$D:$D,MATCH($B494,'العقود'!$A:$A,0)),""))</f>
        <v>ابو بكر</v>
      </c>
    </row>
    <row r="495" spans="1:13" x14ac:dyDescent="0.25">
      <c r="A495" t="s">
        <v>1121</v>
      </c>
      <c r="B495" t="s">
        <v>346</v>
      </c>
      <c r="C495" s="27" t="str">
        <f>IF($B495="","",IFERROR(INDEX('العقود'!$F:$F,MATCH($B495,'العقود'!$A:$A,0)),""))</f>
        <v>شركة البركة للاستشارات الهندسية</v>
      </c>
      <c r="D495" s="27" t="str">
        <f>IF($B495="","",IFERROR(INDEX('العقود'!$E:$E,MATCH($B495,'العقود'!$A:$A,0)),""))</f>
        <v>406</v>
      </c>
      <c r="E495" s="38" t="s">
        <v>1081</v>
      </c>
      <c r="F495" s="39">
        <v>16035</v>
      </c>
      <c r="G495" s="33"/>
      <c r="H495" t="s">
        <v>620</v>
      </c>
      <c r="I495" t="s">
        <v>35</v>
      </c>
      <c r="J495" t="s">
        <v>35</v>
      </c>
      <c r="K495" t="s">
        <v>621</v>
      </c>
      <c r="L495" s="33">
        <v>46305</v>
      </c>
      <c r="M495" s="27" t="str">
        <f>IF($B495="","",IFERROR(INDEX('العقود'!$D:$D,MATCH($B495,'العقود'!$A:$A,0)),""))</f>
        <v>ابو بكر</v>
      </c>
    </row>
    <row r="496" spans="1:13" x14ac:dyDescent="0.25">
      <c r="A496" t="s">
        <v>1122</v>
      </c>
      <c r="B496" t="s">
        <v>353</v>
      </c>
      <c r="C496" s="27" t="str">
        <f>IF($B496="","",IFERROR(INDEX('العقود'!$F:$F,MATCH($B496,'العقود'!$A:$A,0)),""))</f>
        <v>شركة الهرم لتكنولوجيا المعلومات</v>
      </c>
      <c r="D496" s="27" t="str">
        <f>IF($B496="","",IFERROR(INDEX('العقود'!$E:$E,MATCH($B496,'العقود'!$A:$A,0)),""))</f>
        <v>407</v>
      </c>
      <c r="E496" s="38" t="s">
        <v>1081</v>
      </c>
      <c r="F496" s="39">
        <v>16500</v>
      </c>
      <c r="G496" s="33"/>
      <c r="H496" t="s">
        <v>620</v>
      </c>
      <c r="I496" t="s">
        <v>35</v>
      </c>
      <c r="J496" t="s">
        <v>35</v>
      </c>
      <c r="K496" t="s">
        <v>621</v>
      </c>
      <c r="L496" s="33">
        <v>46305</v>
      </c>
      <c r="M496" s="27" t="str">
        <f>IF($B496="","",IFERROR(INDEX('العقود'!$D:$D,MATCH($B496,'العقود'!$A:$A,0)),""))</f>
        <v>ابو بكر</v>
      </c>
    </row>
    <row r="497" spans="1:13" x14ac:dyDescent="0.25">
      <c r="A497" t="s">
        <v>1123</v>
      </c>
      <c r="B497" t="s">
        <v>359</v>
      </c>
      <c r="C497" s="27" t="str">
        <f>IF($B497="","",IFERROR(INDEX('العقود'!$F:$F,MATCH($B497,'العقود'!$A:$A,0)),""))</f>
        <v>مصطفى وليد الجندي</v>
      </c>
      <c r="D497" s="27" t="str">
        <f>IF($B497="","",IFERROR(INDEX('العقود'!$E:$E,MATCH($B497,'العقود'!$A:$A,0)),""))</f>
        <v>408</v>
      </c>
      <c r="E497" s="38" t="s">
        <v>1081</v>
      </c>
      <c r="F497" s="39">
        <v>18500</v>
      </c>
      <c r="G497" s="33"/>
      <c r="H497" t="s">
        <v>620</v>
      </c>
      <c r="I497" t="s">
        <v>35</v>
      </c>
      <c r="J497" t="s">
        <v>35</v>
      </c>
      <c r="K497" t="s">
        <v>621</v>
      </c>
      <c r="L497" s="33">
        <v>46305</v>
      </c>
      <c r="M497" s="27" t="str">
        <f>IF($B497="","",IFERROR(INDEX('العقود'!$D:$D,MATCH($B497,'العقود'!$A:$A,0)),""))</f>
        <v>ابو بكر</v>
      </c>
    </row>
    <row r="498" spans="1:13" x14ac:dyDescent="0.25">
      <c r="A498" t="s">
        <v>1124</v>
      </c>
      <c r="B498" t="s">
        <v>380</v>
      </c>
      <c r="C498" s="27" t="str">
        <f>IF($B498="","",IFERROR(INDEX('العقود'!$F:$F,MATCH($B498,'العقود'!$A:$A,0)),""))</f>
        <v>شركة المستقبل للخدمات الطبية</v>
      </c>
      <c r="D498" s="27" t="str">
        <f>IF($B498="","",IFERROR(INDEX('العقود'!$E:$E,MATCH($B498,'العقود'!$A:$A,0)),""))</f>
        <v>504</v>
      </c>
      <c r="E498" s="38" t="s">
        <v>1081</v>
      </c>
      <c r="F498" s="39">
        <v>10000</v>
      </c>
      <c r="G498" s="33"/>
      <c r="H498" t="s">
        <v>620</v>
      </c>
      <c r="I498" t="s">
        <v>35</v>
      </c>
      <c r="J498" t="s">
        <v>35</v>
      </c>
      <c r="K498" t="s">
        <v>621</v>
      </c>
      <c r="L498" s="33">
        <v>46305</v>
      </c>
      <c r="M498" s="27" t="str">
        <f>IF($B498="","",IFERROR(INDEX('العقود'!$D:$D,MATCH($B498,'العقود'!$A:$A,0)),""))</f>
        <v>ابو بكر</v>
      </c>
    </row>
    <row r="499" spans="1:13" x14ac:dyDescent="0.25">
      <c r="A499" t="s">
        <v>1125</v>
      </c>
      <c r="B499" t="s">
        <v>386</v>
      </c>
      <c r="C499" s="27" t="str">
        <f>IF($B499="","",IFERROR(INDEX('العقود'!$F:$F,MATCH($B499,'العقود'!$A:$A,0)),""))</f>
        <v>حسين أمير بدوي</v>
      </c>
      <c r="D499" s="27" t="str">
        <f>IF($B499="","",IFERROR(INDEX('العقود'!$E:$E,MATCH($B499,'العقود'!$A:$A,0)),""))</f>
        <v>505</v>
      </c>
      <c r="E499" s="38" t="s">
        <v>1081</v>
      </c>
      <c r="F499" s="39">
        <v>13000</v>
      </c>
      <c r="G499" s="33"/>
      <c r="H499" t="s">
        <v>620</v>
      </c>
      <c r="I499" t="s">
        <v>35</v>
      </c>
      <c r="J499" t="s">
        <v>35</v>
      </c>
      <c r="K499" t="s">
        <v>621</v>
      </c>
      <c r="L499" s="33">
        <v>46305</v>
      </c>
      <c r="M499" s="27" t="str">
        <f>IF($B499="","",IFERROR(INDEX('العقود'!$D:$D,MATCH($B499,'العقود'!$A:$A,0)),""))</f>
        <v>ابو بكر</v>
      </c>
    </row>
    <row r="500" spans="1:13" x14ac:dyDescent="0.25">
      <c r="A500" t="s">
        <v>1126</v>
      </c>
      <c r="B500" t="s">
        <v>394</v>
      </c>
      <c r="C500" s="27" t="str">
        <f>IF($B500="","",IFERROR(INDEX('العقود'!$F:$F,MATCH($B500,'العقود'!$A:$A,0)),""))</f>
        <v>د/ آية هشام رشاد</v>
      </c>
      <c r="D500" s="27" t="str">
        <f>IF($B500="","",IFERROR(INDEX('العقود'!$E:$E,MATCH($B500,'العقود'!$A:$A,0)),""))</f>
        <v>506</v>
      </c>
      <c r="E500" s="38" t="s">
        <v>1081</v>
      </c>
      <c r="F500" s="39">
        <v>19000</v>
      </c>
      <c r="G500" s="33"/>
      <c r="H500" t="s">
        <v>620</v>
      </c>
      <c r="I500" t="s">
        <v>35</v>
      </c>
      <c r="J500" t="s">
        <v>35</v>
      </c>
      <c r="K500" t="s">
        <v>621</v>
      </c>
      <c r="L500" s="33">
        <v>46305</v>
      </c>
      <c r="M500" s="27" t="str">
        <f>IF($B500="","",IFERROR(INDEX('العقود'!$D:$D,MATCH($B500,'العقود'!$A:$A,0)),""))</f>
        <v>ابو بكر</v>
      </c>
    </row>
    <row r="501" spans="1:13" x14ac:dyDescent="0.25">
      <c r="A501" t="s">
        <v>1127</v>
      </c>
      <c r="B501" t="s">
        <v>400</v>
      </c>
      <c r="C501" s="27" t="str">
        <f>IF($B501="","",IFERROR(INDEX('العقود'!$F:$F,MATCH($B501,'العقود'!$A:$A,0)),""))</f>
        <v>شركة الأصيل للاستشارات الهندسية</v>
      </c>
      <c r="D501" s="27" t="str">
        <f>IF($B501="","",IFERROR(INDEX('العقود'!$E:$E,MATCH($B501,'العقود'!$A:$A,0)),""))</f>
        <v>508</v>
      </c>
      <c r="E501" s="38" t="s">
        <v>1081</v>
      </c>
      <c r="F501" s="39">
        <v>18000</v>
      </c>
      <c r="G501" s="33"/>
      <c r="H501" t="s">
        <v>620</v>
      </c>
      <c r="I501" t="s">
        <v>35</v>
      </c>
      <c r="J501" t="s">
        <v>35</v>
      </c>
      <c r="K501" t="s">
        <v>621</v>
      </c>
      <c r="L501" s="33">
        <v>46305</v>
      </c>
      <c r="M501" s="27" t="str">
        <f>IF($B501="","",IFERROR(INDEX('العقود'!$D:$D,MATCH($B501,'العقود'!$A:$A,0)),""))</f>
        <v>ابو بكر</v>
      </c>
    </row>
    <row r="502" spans="1:13" x14ac:dyDescent="0.25">
      <c r="A502" t="s">
        <v>1128</v>
      </c>
      <c r="B502" t="s">
        <v>407</v>
      </c>
      <c r="C502" s="27" t="str">
        <f>IF($B502="","",IFERROR(INDEX('العقود'!$F:$F,MATCH($B502,'العقود'!$A:$A,0)),""))</f>
        <v>شركة الوادي للتنمية</v>
      </c>
      <c r="D502" s="27" t="str">
        <f>IF($B502="","",IFERROR(INDEX('العقود'!$E:$E,MATCH($B502,'العقود'!$A:$A,0)),""))</f>
        <v>601</v>
      </c>
      <c r="E502" s="38" t="s">
        <v>1081</v>
      </c>
      <c r="F502" s="39">
        <v>9680</v>
      </c>
      <c r="G502" s="33"/>
      <c r="H502" t="s">
        <v>620</v>
      </c>
      <c r="I502" t="s">
        <v>35</v>
      </c>
      <c r="J502" t="s">
        <v>35</v>
      </c>
      <c r="K502" t="s">
        <v>621</v>
      </c>
      <c r="L502" s="33">
        <v>46305</v>
      </c>
      <c r="M502" s="27" t="str">
        <f>IF($B502="","",IFERROR(INDEX('العقود'!$D:$D,MATCH($B502,'العقود'!$A:$A,0)),""))</f>
        <v>ابو بكر</v>
      </c>
    </row>
    <row r="503" spans="1:13" x14ac:dyDescent="0.25">
      <c r="A503" t="s">
        <v>1129</v>
      </c>
      <c r="B503" t="s">
        <v>415</v>
      </c>
      <c r="C503" s="27" t="str">
        <f>IF($B503="","",IFERROR(INDEX('العقود'!$F:$F,MATCH($B503,'العقود'!$A:$A,0)),""))</f>
        <v>شركة الوفاء للاستشارات الهندسية</v>
      </c>
      <c r="D503" s="27" t="str">
        <f>IF($B503="","",IFERROR(INDEX('العقود'!$E:$E,MATCH($B503,'العقود'!$A:$A,0)),""))</f>
        <v>602</v>
      </c>
      <c r="E503" s="38" t="s">
        <v>1081</v>
      </c>
      <c r="F503" s="39">
        <v>19000</v>
      </c>
      <c r="G503" s="33"/>
      <c r="H503" t="s">
        <v>620</v>
      </c>
      <c r="I503" t="s">
        <v>35</v>
      </c>
      <c r="J503" t="s">
        <v>35</v>
      </c>
      <c r="K503" t="s">
        <v>621</v>
      </c>
      <c r="L503" s="33">
        <v>46305</v>
      </c>
      <c r="M503" s="27" t="str">
        <f>IF($B503="","",IFERROR(INDEX('العقود'!$D:$D,MATCH($B503,'العقود'!$A:$A,0)),""))</f>
        <v>ابو بكر</v>
      </c>
    </row>
    <row r="504" spans="1:13" x14ac:dyDescent="0.25">
      <c r="A504" t="s">
        <v>1130</v>
      </c>
      <c r="B504" t="s">
        <v>421</v>
      </c>
      <c r="C504" s="27" t="str">
        <f>IF($B504="","",IFERROR(INDEX('العقود'!$F:$F,MATCH($B504,'العقود'!$A:$A,0)),""))</f>
        <v>عادل باسم حسنين</v>
      </c>
      <c r="D504" s="27" t="str">
        <f>IF($B504="","",IFERROR(INDEX('العقود'!$E:$E,MATCH($B504,'العقود'!$A:$A,0)),""))</f>
        <v>603</v>
      </c>
      <c r="E504" s="38" t="s">
        <v>1081</v>
      </c>
      <c r="F504" s="39">
        <v>11495</v>
      </c>
      <c r="G504" s="33"/>
      <c r="H504" t="s">
        <v>620</v>
      </c>
      <c r="I504" t="s">
        <v>35</v>
      </c>
      <c r="J504" t="s">
        <v>35</v>
      </c>
      <c r="K504" t="s">
        <v>621</v>
      </c>
      <c r="L504" s="33">
        <v>46305</v>
      </c>
      <c r="M504" s="27" t="str">
        <f>IF($B504="","",IFERROR(INDEX('العقود'!$D:$D,MATCH($B504,'العقود'!$A:$A,0)),""))</f>
        <v>ابو بكر</v>
      </c>
    </row>
    <row r="505" spans="1:13" x14ac:dyDescent="0.25">
      <c r="A505" t="s">
        <v>1131</v>
      </c>
      <c r="B505" t="s">
        <v>427</v>
      </c>
      <c r="C505" s="27" t="str">
        <f>IF($B505="","",IFERROR(INDEX('العقود'!$F:$F,MATCH($B505,'العقود'!$A:$A,0)),""))</f>
        <v>ندى وليد حسنين</v>
      </c>
      <c r="D505" s="27" t="str">
        <f>IF($B505="","",IFERROR(INDEX('العقود'!$E:$E,MATCH($B505,'العقود'!$A:$A,0)),""))</f>
        <v>604</v>
      </c>
      <c r="E505" s="38" t="s">
        <v>1081</v>
      </c>
      <c r="F505" s="39">
        <v>11000</v>
      </c>
      <c r="G505" s="33"/>
      <c r="H505" t="s">
        <v>620</v>
      </c>
      <c r="I505" t="s">
        <v>35</v>
      </c>
      <c r="J505" t="s">
        <v>35</v>
      </c>
      <c r="K505" t="s">
        <v>621</v>
      </c>
      <c r="L505" s="33">
        <v>46305</v>
      </c>
      <c r="M505" s="27" t="str">
        <f>IF($B505="","",IFERROR(INDEX('العقود'!$D:$D,MATCH($B505,'العقود'!$A:$A,0)),""))</f>
        <v>ابو بكر</v>
      </c>
    </row>
    <row r="506" spans="1:13" x14ac:dyDescent="0.25">
      <c r="A506" t="s">
        <v>1132</v>
      </c>
      <c r="B506" t="s">
        <v>446</v>
      </c>
      <c r="C506" s="27" t="str">
        <f>IF($B506="","",IFERROR(INDEX('العقود'!$F:$F,MATCH($B506,'العقود'!$A:$A,0)),""))</f>
        <v>شركة الياسمين للاستشارات الهندسية</v>
      </c>
      <c r="D506" s="27" t="str">
        <f>IF($B506="","",IFERROR(INDEX('العقود'!$E:$E,MATCH($B506,'العقود'!$A:$A,0)),""))</f>
        <v>606</v>
      </c>
      <c r="E506" s="38" t="s">
        <v>1081</v>
      </c>
      <c r="F506" s="39">
        <v>19000</v>
      </c>
      <c r="G506" s="33"/>
      <c r="H506" t="s">
        <v>620</v>
      </c>
      <c r="I506" t="s">
        <v>35</v>
      </c>
      <c r="J506" t="s">
        <v>35</v>
      </c>
      <c r="K506" t="s">
        <v>621</v>
      </c>
      <c r="L506" s="33">
        <v>46305</v>
      </c>
      <c r="M506" s="27" t="str">
        <f>IF($B506="","",IFERROR(INDEX('العقود'!$D:$D,MATCH($B506,'العقود'!$A:$A,0)),""))</f>
        <v>ابو بكر</v>
      </c>
    </row>
    <row r="507" spans="1:13" x14ac:dyDescent="0.25">
      <c r="A507" t="s">
        <v>1133</v>
      </c>
      <c r="B507" t="s">
        <v>467</v>
      </c>
      <c r="C507" s="27" t="str">
        <f>IF($B507="","",IFERROR(INDEX('العقود'!$F:$F,MATCH($B507,'العقود'!$A:$A,0)),""))</f>
        <v>شركة المستقبل للتنمية</v>
      </c>
      <c r="D507" s="27" t="str">
        <f>IF($B507="","",IFERROR(INDEX('العقود'!$E:$E,MATCH($B507,'العقود'!$A:$A,0)),""))</f>
        <v>701</v>
      </c>
      <c r="E507" s="38" t="s">
        <v>1081</v>
      </c>
      <c r="F507" s="39">
        <v>17000</v>
      </c>
      <c r="G507" s="33"/>
      <c r="H507" t="s">
        <v>620</v>
      </c>
      <c r="I507" t="s">
        <v>35</v>
      </c>
      <c r="J507" t="s">
        <v>35</v>
      </c>
      <c r="K507" t="s">
        <v>621</v>
      </c>
      <c r="L507" s="33">
        <v>46305</v>
      </c>
      <c r="M507" s="27" t="str">
        <f>IF($B507="","",IFERROR(INDEX('العقود'!$D:$D,MATCH($B507,'العقود'!$A:$A,0)),""))</f>
        <v>ابو بكر</v>
      </c>
    </row>
    <row r="508" spans="1:13" x14ac:dyDescent="0.25">
      <c r="A508" t="s">
        <v>1134</v>
      </c>
      <c r="B508" t="s">
        <v>474</v>
      </c>
      <c r="C508" s="27" t="str">
        <f>IF($B508="","",IFERROR(INDEX('العقود'!$F:$F,MATCH($B508,'العقود'!$A:$A,0)),""))</f>
        <v>شركة النخبة للتنمية</v>
      </c>
      <c r="D508" s="27" t="str">
        <f>IF($B508="","",IFERROR(INDEX('العقود'!$E:$E,MATCH($B508,'العقود'!$A:$A,0)),""))</f>
        <v>703</v>
      </c>
      <c r="E508" s="38" t="s">
        <v>1081</v>
      </c>
      <c r="F508" s="39">
        <v>20000</v>
      </c>
      <c r="G508" s="33"/>
      <c r="H508" t="s">
        <v>620</v>
      </c>
      <c r="I508" t="s">
        <v>35</v>
      </c>
      <c r="J508" t="s">
        <v>35</v>
      </c>
      <c r="K508" t="s">
        <v>621</v>
      </c>
      <c r="L508" s="33">
        <v>46305</v>
      </c>
      <c r="M508" s="27" t="str">
        <f>IF($B508="","",IFERROR(INDEX('العقود'!$D:$D,MATCH($B508,'العقود'!$A:$A,0)),""))</f>
        <v>ابو بكر</v>
      </c>
    </row>
    <row r="509" spans="1:13" x14ac:dyDescent="0.25">
      <c r="A509" t="s">
        <v>1135</v>
      </c>
      <c r="B509" t="s">
        <v>502</v>
      </c>
      <c r="C509" s="27" t="str">
        <f>IF($B509="","",IFERROR(INDEX('العقود'!$F:$F,MATCH($B509,'العقود'!$A:$A,0)),""))</f>
        <v>شركة الأفق للخدمات الطبية</v>
      </c>
      <c r="D509" s="27" t="str">
        <f>IF($B509="","",IFERROR(INDEX('العقود'!$E:$E,MATCH($B509,'العقود'!$A:$A,0)),""))</f>
        <v>707</v>
      </c>
      <c r="E509" s="38" t="s">
        <v>1081</v>
      </c>
      <c r="F509" s="39">
        <v>13000</v>
      </c>
      <c r="G509" s="33"/>
      <c r="H509" t="s">
        <v>620</v>
      </c>
      <c r="I509" t="s">
        <v>35</v>
      </c>
      <c r="J509" t="s">
        <v>35</v>
      </c>
      <c r="K509" t="s">
        <v>621</v>
      </c>
      <c r="L509" s="33">
        <v>46305</v>
      </c>
      <c r="M509" s="27" t="str">
        <f>IF($B509="","",IFERROR(INDEX('العقود'!$D:$D,MATCH($B509,'العقود'!$A:$A,0)),""))</f>
        <v>ابو بكر</v>
      </c>
    </row>
    <row r="510" spans="1:13" x14ac:dyDescent="0.25">
      <c r="A510" t="s">
        <v>1136</v>
      </c>
      <c r="B510" t="s">
        <v>506</v>
      </c>
      <c r="C510" s="27" t="str">
        <f>IF($B510="","",IFERROR(INDEX('العقود'!$F:$F,MATCH($B510,'العقود'!$A:$A,0)),""))</f>
        <v>شركة الأفق للخدمات الطبية</v>
      </c>
      <c r="D510" s="27" t="str">
        <f>IF($B510="","",IFERROR(INDEX('العقود'!$E:$E,MATCH($B510,'العقود'!$A:$A,0)),""))</f>
        <v>708</v>
      </c>
      <c r="E510" s="38" t="s">
        <v>1081</v>
      </c>
      <c r="F510" s="39">
        <v>13000</v>
      </c>
      <c r="G510" s="33"/>
      <c r="H510" t="s">
        <v>620</v>
      </c>
      <c r="I510" t="s">
        <v>35</v>
      </c>
      <c r="J510" t="s">
        <v>35</v>
      </c>
      <c r="K510" t="s">
        <v>621</v>
      </c>
      <c r="L510" s="33">
        <v>46305</v>
      </c>
      <c r="M510" s="27" t="str">
        <f>IF($B510="","",IFERROR(INDEX('العقود'!$D:$D,MATCH($B510,'العقود'!$A:$A,0)),""))</f>
        <v>ابو بكر</v>
      </c>
    </row>
  </sheetData>
  <autoFilter ref="A1:M510"/>
  <dataValidations count="4">
    <dataValidation type="list" allowBlank="1" showErrorMessage="1" errorTitle="قيمة غير مسموحة" error="اختر من القائمة: غير محدد / نقدي / تحويل بنكي / شيك / إنستاباي / أخرى" sqref="H10:H510">
      <formula1>"غير محدد,نقدي,تحويل بنكي,شيك,إنستاباي,أخرى"</formula1>
    </dataValidation>
    <dataValidation type="list" allowBlank="1" showErrorMessage="1" errorTitle="قيمة غير مسموحة" error="اختر من القائمة: غير محدد / نقدي / تحويل بنكي / شيك / إنستاباي / أخرى" sqref="H2:H510">
      <formula1>"غير محدد,نقدي,تحويل بنكي,شيك,إنستاباي,أخرى"</formula1>
    </dataValidation>
    <dataValidation type="list" allowBlank="1" showErrorMessage="1" errorTitle="قيمة غير مسموحة" error="اختر من القائمة: الموقع / الإكسيل" sqref="K10:K510">
      <formula1>"الموقع,الإكسيل"</formula1>
    </dataValidation>
    <dataValidation type="list" allowBlank="1" showErrorMessage="1" errorTitle="قيمة غير مسموحة" error="اختر من القائمة: الموقع / الإكسيل" sqref="K2:K510">
      <formula1>"الموقع,الإكسيل"</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00"/>
  <sheetViews>
    <sheetView workbookViewId="0" rightToLeft="1">
      <pane xSplit="1" ySplit="1" topLeftCell="B2" activePane="bottomRight" state="frozen"/>
      <selection pane="bottomRight"/>
    </sheetView>
  </sheetViews>
  <sheetFormatPr defaultRowHeight="15" outlineLevelRow="0" outlineLevelCol="0" x14ac:dyDescent="55"/>
  <cols>
    <col min="1" max="1" width="10" customWidth="1"/>
    <col min="2" max="2" width="12" customWidth="1"/>
    <col min="3" max="3" width="14" customWidth="1"/>
    <col min="4" max="6" width="12" customWidth="1"/>
    <col min="7" max="7" width="40" customWidth="1"/>
    <col min="8" max="9" width="12" customWidth="1"/>
    <col min="10" max="10" width="10" customWidth="1"/>
    <col min="11" max="11" width="12" customWidth="1"/>
    <col min="12" max="12" width="30" customWidth="1"/>
    <col min="13" max="14" width="12" customWidth="1"/>
    <col min="15" max="16" width="26" customWidth="1"/>
    <col min="17" max="17" width="14" customWidth="1"/>
  </cols>
  <sheetData>
    <row r="1" ht="28" customHeight="1" spans="1:17" x14ac:dyDescent="0.25">
      <c r="A1" s="3" t="s">
        <v>1137</v>
      </c>
      <c r="B1" s="3" t="s">
        <v>27</v>
      </c>
      <c r="C1" s="4" t="s">
        <v>3</v>
      </c>
      <c r="D1" s="4" t="s">
        <v>6</v>
      </c>
      <c r="E1" s="3" t="s">
        <v>1138</v>
      </c>
      <c r="F1" s="3" t="s">
        <v>520</v>
      </c>
      <c r="G1" s="3" t="s">
        <v>1139</v>
      </c>
      <c r="H1" s="3" t="s">
        <v>1140</v>
      </c>
      <c r="I1" s="3" t="s">
        <v>1141</v>
      </c>
      <c r="J1" s="3" t="s">
        <v>1142</v>
      </c>
      <c r="K1" s="3" t="s">
        <v>1143</v>
      </c>
      <c r="L1" s="3" t="s">
        <v>25</v>
      </c>
      <c r="M1" s="3" t="s">
        <v>518</v>
      </c>
      <c r="N1" s="3" t="s">
        <v>1144</v>
      </c>
      <c r="O1" s="3" t="s">
        <v>1145</v>
      </c>
      <c r="P1" s="4" t="s">
        <v>1146</v>
      </c>
      <c r="Q1" s="4" t="s">
        <v>1147</v>
      </c>
    </row>
    <row r="2" spans="6:10" x14ac:dyDescent="0.25"/>
    <row r="3" spans="6:10" x14ac:dyDescent="0.25"/>
    <row r="4" spans="6:10" x14ac:dyDescent="0.25"/>
    <row r="5" spans="6:10" x14ac:dyDescent="0.25"/>
    <row r="6" spans="6:10" x14ac:dyDescent="0.25"/>
    <row r="7" spans="6:10" x14ac:dyDescent="0.25"/>
    <row r="8" spans="6:10" x14ac:dyDescent="0.25"/>
    <row r="9" spans="6:10" x14ac:dyDescent="0.25"/>
    <row r="10" spans="6:10" x14ac:dyDescent="0.25"/>
    <row r="11" spans="6:10" x14ac:dyDescent="0.25"/>
    <row r="12" spans="6:10" x14ac:dyDescent="0.25"/>
    <row r="13" spans="6:10" x14ac:dyDescent="0.25"/>
    <row r="14" spans="6:10" x14ac:dyDescent="0.25"/>
    <row r="15" spans="6:10" x14ac:dyDescent="0.25"/>
    <row r="16" spans="6:10" x14ac:dyDescent="0.25"/>
    <row r="17" spans="6:10" x14ac:dyDescent="0.25"/>
    <row r="18" spans="6:10" x14ac:dyDescent="0.25"/>
    <row r="19" spans="6:10" x14ac:dyDescent="0.25"/>
    <row r="20" spans="6:10" x14ac:dyDescent="0.25"/>
    <row r="21" spans="6:10" x14ac:dyDescent="0.25"/>
    <row r="22" spans="6:10" x14ac:dyDescent="0.25"/>
    <row r="23" spans="6:10" x14ac:dyDescent="0.25"/>
    <row r="24" spans="6:10" x14ac:dyDescent="0.25"/>
    <row r="25" spans="6:10" x14ac:dyDescent="0.25"/>
    <row r="26" spans="6:10" x14ac:dyDescent="0.25"/>
    <row r="27" spans="6:10" x14ac:dyDescent="0.25"/>
    <row r="28" spans="6:10" x14ac:dyDescent="0.25"/>
    <row r="29" spans="6:10" x14ac:dyDescent="0.25"/>
    <row r="30" spans="6:10" x14ac:dyDescent="0.25"/>
    <row r="31" spans="6:10" x14ac:dyDescent="0.25"/>
    <row r="32" spans="6:10" x14ac:dyDescent="0.25"/>
    <row r="33" spans="6:10" x14ac:dyDescent="0.25"/>
    <row r="34" spans="6:10" x14ac:dyDescent="0.25"/>
    <row r="35" spans="6:10" x14ac:dyDescent="0.25"/>
    <row r="36" spans="6:10" x14ac:dyDescent="0.25"/>
    <row r="37" spans="6:10" x14ac:dyDescent="0.25"/>
    <row r="38" spans="6:10" x14ac:dyDescent="0.25"/>
    <row r="39" spans="6:10" x14ac:dyDescent="0.25"/>
    <row r="40" spans="6:10" x14ac:dyDescent="0.25"/>
    <row r="41" spans="6:10" x14ac:dyDescent="0.25"/>
    <row r="42" spans="6:10" x14ac:dyDescent="0.25"/>
    <row r="43" spans="6:10" x14ac:dyDescent="0.25"/>
    <row r="44" spans="6:10" x14ac:dyDescent="0.25"/>
    <row r="45" spans="6:10" x14ac:dyDescent="0.25"/>
    <row r="46" spans="6:10" x14ac:dyDescent="0.25"/>
    <row r="47" spans="6:10" x14ac:dyDescent="0.25"/>
    <row r="48" spans="6:10" x14ac:dyDescent="0.25"/>
    <row r="49" spans="6:10" x14ac:dyDescent="0.25"/>
    <row r="50" spans="6:10" x14ac:dyDescent="0.25"/>
    <row r="51" spans="6:10" x14ac:dyDescent="0.25"/>
    <row r="52" spans="6:10" x14ac:dyDescent="0.25"/>
    <row r="53" spans="6:10" x14ac:dyDescent="0.25"/>
    <row r="54" spans="6:10" x14ac:dyDescent="0.25"/>
    <row r="55" spans="6:10" x14ac:dyDescent="0.25"/>
    <row r="56" spans="6:10" x14ac:dyDescent="0.25"/>
    <row r="57" spans="6:10" x14ac:dyDescent="0.25"/>
    <row r="58" spans="6:10" x14ac:dyDescent="0.25"/>
    <row r="59" spans="6:10" x14ac:dyDescent="0.25"/>
    <row r="60" spans="6:10" x14ac:dyDescent="0.25"/>
    <row r="61" spans="6:10" x14ac:dyDescent="0.25"/>
    <row r="62" spans="6:10" x14ac:dyDescent="0.25"/>
    <row r="63" spans="6:10" x14ac:dyDescent="0.25"/>
    <row r="64" spans="6:10" x14ac:dyDescent="0.25"/>
    <row r="65" spans="6:10" x14ac:dyDescent="0.25"/>
    <row r="66" spans="6:10" x14ac:dyDescent="0.25"/>
    <row r="67" spans="6:10" x14ac:dyDescent="0.25"/>
    <row r="68" spans="6:10" x14ac:dyDescent="0.25"/>
    <row r="69" spans="6:10" x14ac:dyDescent="0.25"/>
    <row r="70" spans="6:10" x14ac:dyDescent="0.25"/>
    <row r="71" spans="6:10" x14ac:dyDescent="0.25"/>
    <row r="72" spans="6:10" x14ac:dyDescent="0.25"/>
    <row r="73" spans="6:10" x14ac:dyDescent="0.25"/>
    <row r="74" spans="6:10" x14ac:dyDescent="0.25"/>
    <row r="75" spans="6:10" x14ac:dyDescent="0.25"/>
    <row r="76" spans="6:10" x14ac:dyDescent="0.25"/>
    <row r="77" spans="6:10" x14ac:dyDescent="0.25"/>
    <row r="78" spans="6:10" x14ac:dyDescent="0.25"/>
    <row r="79" spans="6:10" x14ac:dyDescent="0.25"/>
    <row r="80" spans="6:10" x14ac:dyDescent="0.25"/>
    <row r="81" spans="6:10" x14ac:dyDescent="0.25"/>
    <row r="82" spans="6:10" x14ac:dyDescent="0.25"/>
    <row r="83" spans="6:10" x14ac:dyDescent="0.25"/>
    <row r="84" spans="6:10" x14ac:dyDescent="0.25"/>
    <row r="85" spans="6:10" x14ac:dyDescent="0.25"/>
    <row r="86" spans="6:10" x14ac:dyDescent="0.25"/>
    <row r="87" spans="6:10" x14ac:dyDescent="0.25"/>
    <row r="88" spans="6:10" x14ac:dyDescent="0.25"/>
    <row r="89" spans="6:10" x14ac:dyDescent="0.25"/>
    <row r="90" spans="6:10" x14ac:dyDescent="0.25"/>
    <row r="91" spans="6:10" x14ac:dyDescent="0.25"/>
    <row r="92" spans="6:10" x14ac:dyDescent="0.25"/>
    <row r="93" spans="6:10" x14ac:dyDescent="0.25"/>
    <row r="94" spans="6:10" x14ac:dyDescent="0.25"/>
    <row r="95" spans="6:10" x14ac:dyDescent="0.25"/>
    <row r="96" spans="6:10" x14ac:dyDescent="0.25"/>
    <row r="97" spans="6:10" x14ac:dyDescent="0.25"/>
    <row r="98" spans="6:10" x14ac:dyDescent="0.25"/>
    <row r="99" spans="6:10" x14ac:dyDescent="0.25"/>
    <row r="100" spans="6:10" x14ac:dyDescent="0.25"/>
    <row r="101" spans="6:10" x14ac:dyDescent="0.25"/>
    <row r="102" spans="6:10" x14ac:dyDescent="0.25"/>
    <row r="103" spans="6:10" x14ac:dyDescent="0.25"/>
    <row r="104" spans="6:10" x14ac:dyDescent="0.25"/>
    <row r="105" spans="6:10" x14ac:dyDescent="0.25"/>
    <row r="106" spans="6:10" x14ac:dyDescent="0.25"/>
    <row r="107" spans="6:10" x14ac:dyDescent="0.25"/>
    <row r="108" spans="6:10" x14ac:dyDescent="0.25"/>
    <row r="109" spans="6:10" x14ac:dyDescent="0.25"/>
    <row r="110" spans="6:10" x14ac:dyDescent="0.25"/>
    <row r="111" spans="6:10" x14ac:dyDescent="0.25"/>
    <row r="112" spans="6:10" x14ac:dyDescent="0.25"/>
    <row r="113" spans="6:10" x14ac:dyDescent="0.25"/>
    <row r="114" spans="6:10" x14ac:dyDescent="0.25"/>
    <row r="115" spans="6:10" x14ac:dyDescent="0.25"/>
    <row r="116" spans="6:10" x14ac:dyDescent="0.25"/>
    <row r="117" spans="6:10" x14ac:dyDescent="0.25"/>
    <row r="118" spans="6:10" x14ac:dyDescent="0.25"/>
    <row r="119" spans="6:10" x14ac:dyDescent="0.25"/>
    <row r="120" spans="6:10" x14ac:dyDescent="0.25"/>
    <row r="121" spans="6:10" x14ac:dyDescent="0.25"/>
    <row r="122" spans="6:10" x14ac:dyDescent="0.25"/>
    <row r="123" spans="6:10" x14ac:dyDescent="0.25"/>
    <row r="124" spans="6:10" x14ac:dyDescent="0.25"/>
    <row r="125" spans="6:10" x14ac:dyDescent="0.25"/>
    <row r="126" spans="6:10" x14ac:dyDescent="0.25"/>
    <row r="127" spans="6:10" x14ac:dyDescent="0.25"/>
    <row r="128" spans="6:10" x14ac:dyDescent="0.25"/>
    <row r="129" spans="6:10" x14ac:dyDescent="0.25"/>
    <row r="130" spans="6:10" x14ac:dyDescent="0.25"/>
    <row r="131" spans="6:10" x14ac:dyDescent="0.25"/>
    <row r="132" spans="6:10" x14ac:dyDescent="0.25"/>
    <row r="133" spans="6:10" x14ac:dyDescent="0.25"/>
    <row r="134" spans="6:10" x14ac:dyDescent="0.25"/>
    <row r="135" spans="6:10" x14ac:dyDescent="0.25"/>
    <row r="136" spans="6:10" x14ac:dyDescent="0.25"/>
    <row r="137" spans="6:10" x14ac:dyDescent="0.25"/>
    <row r="138" spans="6:10" x14ac:dyDescent="0.25"/>
    <row r="139" spans="6:10" x14ac:dyDescent="0.25"/>
    <row r="140" spans="6:10" x14ac:dyDescent="0.25"/>
    <row r="141" spans="6:10" x14ac:dyDescent="0.25"/>
    <row r="142" spans="6:10" x14ac:dyDescent="0.25"/>
    <row r="143" spans="6:10" x14ac:dyDescent="0.25"/>
    <row r="144" spans="6:10" x14ac:dyDescent="0.25"/>
    <row r="145" spans="6:10" x14ac:dyDescent="0.25"/>
    <row r="146" spans="6:10" x14ac:dyDescent="0.25"/>
    <row r="147" spans="6:10" x14ac:dyDescent="0.25"/>
    <row r="148" spans="6:10" x14ac:dyDescent="0.25"/>
    <row r="149" spans="6:10" x14ac:dyDescent="0.25"/>
    <row r="150" spans="6:10" x14ac:dyDescent="0.25"/>
    <row r="151" spans="6:10" x14ac:dyDescent="0.25"/>
    <row r="152" spans="6:10" x14ac:dyDescent="0.25"/>
    <row r="153" spans="6:10" x14ac:dyDescent="0.25"/>
    <row r="154" spans="6:10" x14ac:dyDescent="0.25"/>
    <row r="155" spans="6:10" x14ac:dyDescent="0.25"/>
    <row r="156" spans="6:10" x14ac:dyDescent="0.25"/>
    <row r="157" spans="6:10" x14ac:dyDescent="0.25"/>
    <row r="158" spans="6:10" x14ac:dyDescent="0.25"/>
    <row r="159" spans="6:10" x14ac:dyDescent="0.25"/>
    <row r="160" spans="6:10" x14ac:dyDescent="0.25"/>
    <row r="161" spans="6:10" x14ac:dyDescent="0.25"/>
    <row r="162" spans="6:10" x14ac:dyDescent="0.25"/>
    <row r="163" spans="6:10" x14ac:dyDescent="0.25"/>
    <row r="164" spans="6:10" x14ac:dyDescent="0.25"/>
    <row r="165" spans="6:10" x14ac:dyDescent="0.25"/>
    <row r="166" spans="6:10" x14ac:dyDescent="0.25"/>
    <row r="167" spans="6:10" x14ac:dyDescent="0.25"/>
    <row r="168" spans="6:10" x14ac:dyDescent="0.25"/>
    <row r="169" spans="6:10" x14ac:dyDescent="0.25"/>
    <row r="170" spans="6:10" x14ac:dyDescent="0.25"/>
    <row r="171" spans="6:10" x14ac:dyDescent="0.25"/>
    <row r="172" spans="6:10" x14ac:dyDescent="0.25"/>
    <row r="173" spans="6:10" x14ac:dyDescent="0.25"/>
    <row r="174" spans="6:10" x14ac:dyDescent="0.25"/>
    <row r="175" spans="6:10" x14ac:dyDescent="0.25"/>
    <row r="176" spans="6:10" x14ac:dyDescent="0.25"/>
    <row r="177" spans="6:10" x14ac:dyDescent="0.25"/>
    <row r="178" spans="6:10" x14ac:dyDescent="0.25"/>
    <row r="179" spans="6:10" x14ac:dyDescent="0.25"/>
    <row r="180" spans="6:10" x14ac:dyDescent="0.25"/>
    <row r="181" spans="6:10" x14ac:dyDescent="0.25"/>
    <row r="182" spans="6:10" x14ac:dyDescent="0.25"/>
    <row r="183" spans="6:10" x14ac:dyDescent="0.25"/>
    <row r="184" spans="6:10" x14ac:dyDescent="0.25"/>
    <row r="185" spans="6:10" x14ac:dyDescent="0.25"/>
    <row r="186" spans="6:10" x14ac:dyDescent="0.25"/>
    <row r="187" spans="6:10" x14ac:dyDescent="0.25"/>
    <row r="188" spans="6:10" x14ac:dyDescent="0.25"/>
    <row r="189" spans="6:10" x14ac:dyDescent="0.25"/>
    <row r="190" spans="6:10" x14ac:dyDescent="0.25"/>
    <row r="191" spans="6:10" x14ac:dyDescent="0.25"/>
    <row r="192" spans="6:10" x14ac:dyDescent="0.25"/>
    <row r="193" spans="6:10" x14ac:dyDescent="0.25"/>
    <row r="194" spans="6:10" x14ac:dyDescent="0.25"/>
    <row r="195" spans="6:10" x14ac:dyDescent="0.25"/>
    <row r="196" spans="6:10" x14ac:dyDescent="0.25"/>
    <row r="197" spans="6:10" x14ac:dyDescent="0.25"/>
    <row r="198" spans="6:10" x14ac:dyDescent="0.25"/>
    <row r="199" spans="6:10" x14ac:dyDescent="0.25"/>
    <row r="200" spans="6:10" x14ac:dyDescent="0.25"/>
  </sheetData>
  <autoFilter ref="A1:Q2"/>
  <dataValidations count="6">
    <dataValidation type="list" allowBlank="1" showErrorMessage="1" errorTitle="قيمة غير مسموحة" error="اختر من القائمة: سباكة / كهرباء / تكييف / دهانات / نجارة / مصعد / نظافة / أخرى" sqref="F10:F200">
      <formula1>"سباكة,كهرباء,تكييف,دهانات,نجارة,مصعد,نظافة,أخرى"</formula1>
    </dataValidation>
    <dataValidation type="list" allowBlank="1" showErrorMessage="1" errorTitle="قيمة غير مسموحة" error="اختر من القائمة: سباكة / كهرباء / تكييف / دهانات / نجارة / مصعد / نظافة / أخرى" sqref="F2:F200">
      <formula1>"سباكة,كهرباء,تكييف,دهانات,نجارة,مصعد,نظافة,أخرى"</formula1>
    </dataValidation>
    <dataValidation type="list" allowBlank="1" showErrorMessage="1" errorTitle="قيمة غير مسموحة" error="اختر من القائمة: المالك / المستأجر / مناصفة" sqref="I10:I200">
      <formula1>"المالك,المستأجر,مناصفة"</formula1>
    </dataValidation>
    <dataValidation type="list" allowBlank="1" showErrorMessage="1" errorTitle="قيمة غير مسموحة" error="اختر من القائمة: المالك / المستأجر / مناصفة" sqref="I2:I200">
      <formula1>"المالك,المستأجر,مناصفة"</formula1>
    </dataValidation>
    <dataValidation type="list" allowBlank="1" showErrorMessage="1" errorTitle="قيمة غير مسموحة" error="اختر من القائمة: مفتوحة / مغلقة" sqref="J10:J200">
      <formula1>"مفتوحة,مغلقة"</formula1>
    </dataValidation>
    <dataValidation type="list" allowBlank="1" showErrorMessage="1" errorTitle="قيمة غير مسموحة" error="اختر من القائمة: مفتوحة / مغلقة" sqref="J2:J200">
      <formula1>"مفتوحة,مغلقة"</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6"/>
  <sheetViews>
    <sheetView workbookViewId="0" rightToLeft="1">
      <pane ySplit="1" topLeftCell="A2" activePane="bottomLeft" state="frozen"/>
      <selection pane="bottomLeft"/>
    </sheetView>
  </sheetViews>
  <sheetFormatPr defaultRowHeight="15" outlineLevelRow="0" outlineLevelCol="0" x14ac:dyDescent="55"/>
  <cols>
    <col min="1" max="1" width="36" customWidth="1"/>
    <col min="2" max="2" width="22" customWidth="1"/>
    <col min="3" max="3" width="70" customWidth="1"/>
  </cols>
  <sheetData>
    <row r="1" ht="28" customHeight="1" spans="1:3" x14ac:dyDescent="0.25">
      <c r="A1" s="3" t="s">
        <v>1148</v>
      </c>
      <c r="B1" s="3" t="s">
        <v>1149</v>
      </c>
      <c r="C1" s="3" t="s">
        <v>1150</v>
      </c>
    </row>
    <row r="2" spans="1:3" x14ac:dyDescent="0.25">
      <c r="A2" t="s">
        <v>1151</v>
      </c>
      <c r="B2" t="s">
        <v>0</v>
      </c>
      <c r="C2" t="s">
        <v>1152</v>
      </c>
    </row>
    <row r="3" spans="1:3" x14ac:dyDescent="0.25">
      <c r="A3" t="s">
        <v>1153</v>
      </c>
      <c r="B3">
        <v>5</v>
      </c>
      <c r="C3" t="s">
        <v>1154</v>
      </c>
    </row>
    <row r="4" spans="1:3" x14ac:dyDescent="0.25">
      <c r="A4" t="s">
        <v>1155</v>
      </c>
      <c r="B4">
        <v>1</v>
      </c>
      <c r="C4" t="s">
        <v>1156</v>
      </c>
    </row>
    <row r="5" spans="1:3" x14ac:dyDescent="0.25">
      <c r="A5" t="s">
        <v>1157</v>
      </c>
      <c r="B5">
        <v>3</v>
      </c>
      <c r="C5" t="s">
        <v>1158</v>
      </c>
    </row>
    <row r="6" spans="1:3" x14ac:dyDescent="0.25">
      <c r="A6" t="s">
        <v>1159</v>
      </c>
      <c r="B6" s="38" t="s">
        <v>619</v>
      </c>
      <c r="C6" t="s">
        <v>1160</v>
      </c>
    </row>
    <row r="7" spans="1:3" x14ac:dyDescent="0.25">
      <c r="A7" t="s">
        <v>1161</v>
      </c>
      <c r="B7">
        <v>10</v>
      </c>
      <c r="C7" t="s">
        <v>1162</v>
      </c>
    </row>
    <row r="8" spans="1:3" x14ac:dyDescent="0.25">
      <c r="A8" t="s">
        <v>1163</v>
      </c>
      <c r="B8" s="38" t="s">
        <v>1</v>
      </c>
      <c r="C8" t="s">
        <v>1164</v>
      </c>
    </row>
    <row r="9" spans="1:3" x14ac:dyDescent="0.25">
      <c r="A9" t="s">
        <v>1165</v>
      </c>
      <c r="B9" s="36" t="s">
        <v>1166</v>
      </c>
      <c r="C9" t="s">
        <v>1167</v>
      </c>
    </row>
    <row r="10" spans="1:3" x14ac:dyDescent="0.25">
      <c r="A10" t="s">
        <v>1168</v>
      </c>
      <c r="B10" t="s">
        <v>35</v>
      </c>
      <c r="C10" t="s">
        <v>1169</v>
      </c>
    </row>
    <row r="11" spans="1:3" x14ac:dyDescent="0.25">
      <c r="A11" t="s">
        <v>1170</v>
      </c>
      <c r="B11" t="s">
        <v>1171</v>
      </c>
      <c r="C11" t="s">
        <v>1172</v>
      </c>
    </row>
    <row r="12" spans="1:3" x14ac:dyDescent="0.25">
      <c r="A12" t="s">
        <v>1173</v>
      </c>
      <c r="B12" t="s">
        <v>1174</v>
      </c>
      <c r="C12" t="s">
        <v>1175</v>
      </c>
    </row>
    <row r="13" spans="1:3" x14ac:dyDescent="0.25">
      <c r="A13" t="s">
        <v>1176</v>
      </c>
      <c r="B13" s="38" t="s">
        <v>35</v>
      </c>
      <c r="C13" t="s">
        <v>1177</v>
      </c>
    </row>
    <row r="14" spans="1:3" x14ac:dyDescent="0.25">
      <c r="A14" t="s">
        <v>1178</v>
      </c>
      <c r="B14">
        <v>0.5</v>
      </c>
      <c r="C14" t="s">
        <v>1179</v>
      </c>
    </row>
    <row r="15" spans="1:3" x14ac:dyDescent="0.25">
      <c r="A15" t="s">
        <v>1180</v>
      </c>
      <c r="B15">
        <v>50</v>
      </c>
      <c r="C15" t="s">
        <v>1181</v>
      </c>
    </row>
    <row r="16" spans="1:3" x14ac:dyDescent="0.25">
      <c r="A16" t="s">
        <v>1182</v>
      </c>
      <c r="B16" t="s">
        <v>1183</v>
      </c>
      <c r="C16" t="s">
        <v>1184</v>
      </c>
    </row>
    <row r="18" spans="1:3" x14ac:dyDescent="0.25">
      <c r="A18" t="s">
        <v>1185</v>
      </c>
      <c r="B18" s="40" t="s">
        <v>1186</v>
      </c>
      <c r="C18" t="s">
        <v>1187</v>
      </c>
    </row>
    <row r="19" spans="1:3" x14ac:dyDescent="0.25">
      <c r="A19" t="s">
        <v>1188</v>
      </c>
      <c r="B19" t="s">
        <v>1189</v>
      </c>
      <c r="C19" t="s">
        <v>1190</v>
      </c>
    </row>
    <row r="20" spans="1:2" x14ac:dyDescent="0.25">
      <c r="A20" t="s">
        <v>1191</v>
      </c>
      <c r="B20">
        <v>3</v>
      </c>
    </row>
    <row r="22" spans="1:1" x14ac:dyDescent="0.25">
      <c r="A22" s="41" t="s">
        <v>1192</v>
      </c>
    </row>
    <row r="23" ht="48" customHeight="1" spans="1:3" x14ac:dyDescent="0.25">
      <c r="A23" s="42" t="s">
        <v>1193</v>
      </c>
      <c r="B23" t="s">
        <v>1194</v>
      </c>
      <c r="C23" s="43" t="s">
        <v>1195</v>
      </c>
    </row>
    <row r="24" ht="48" customHeight="1" spans="1:3" x14ac:dyDescent="0.25">
      <c r="A24" s="44" t="s">
        <v>1196</v>
      </c>
      <c r="B24" t="s">
        <v>1197</v>
      </c>
      <c r="C24" s="43" t="s">
        <v>1198</v>
      </c>
    </row>
    <row r="25" ht="48" customHeight="1" spans="1:3" x14ac:dyDescent="0.25">
      <c r="A25" s="45" t="s">
        <v>1199</v>
      </c>
      <c r="B25" t="s">
        <v>1200</v>
      </c>
      <c r="C25" s="43" t="s">
        <v>1201</v>
      </c>
    </row>
    <row r="26" ht="32" customHeight="1" spans="3:3" x14ac:dyDescent="0.25">
      <c r="C26" s="43" t="s">
        <v>1202</v>
      </c>
    </row>
  </sheetData>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rightToLeft="1">
      <pane ySplit="1" topLeftCell="A2" activePane="bottomLeft" state="frozen"/>
      <selection pane="bottomLeft"/>
    </sheetView>
  </sheetViews>
  <sheetFormatPr defaultRowHeight="15" outlineLevelRow="0" outlineLevelCol="0" x14ac:dyDescent="55"/>
  <cols>
    <col min="1" max="1" width="20" customWidth="1"/>
    <col min="2" max="3" width="10" customWidth="1"/>
    <col min="4" max="4" width="14" customWidth="1"/>
    <col min="5" max="5" width="60" customWidth="1"/>
    <col min="6" max="6" width="18" customWidth="1"/>
  </cols>
  <sheetData>
    <row r="1" ht="28" customHeight="1" spans="1:6" x14ac:dyDescent="0.25">
      <c r="A1" s="3" t="s">
        <v>1203</v>
      </c>
      <c r="B1" s="3" t="s">
        <v>1204</v>
      </c>
      <c r="C1" s="3" t="s">
        <v>1205</v>
      </c>
      <c r="D1" s="3" t="s">
        <v>1206</v>
      </c>
      <c r="E1" s="3" t="s">
        <v>545</v>
      </c>
      <c r="F1" s="3" t="s">
        <v>1207</v>
      </c>
    </row>
  </sheetData>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00"/>
  <sheetViews>
    <sheetView workbookViewId="0" rightToLeft="1">
      <pane xSplit="1" ySplit="1" topLeftCell="B2" activePane="bottomRight" state="frozen"/>
      <selection pane="bottomRight"/>
    </sheetView>
  </sheetViews>
  <sheetFormatPr defaultRowHeight="15" outlineLevelRow="0" outlineLevelCol="0" x14ac:dyDescent="55"/>
  <cols>
    <col min="1" max="1" width="18" customWidth="1"/>
    <col min="2" max="2" width="24" customWidth="1"/>
    <col min="3" max="3" width="14" customWidth="1"/>
    <col min="4" max="4" width="90" customWidth="1"/>
    <col min="5" max="5" width="10" customWidth="1"/>
    <col min="6" max="6" width="14" customWidth="1"/>
    <col min="7" max="7" width="20" customWidth="1"/>
  </cols>
  <sheetData>
    <row r="1" ht="28" customHeight="1" spans="1:7" x14ac:dyDescent="0.25">
      <c r="A1" s="3" t="s">
        <v>1208</v>
      </c>
      <c r="B1" s="3" t="s">
        <v>4</v>
      </c>
      <c r="C1" s="3" t="s">
        <v>521</v>
      </c>
      <c r="D1" s="3" t="s">
        <v>1209</v>
      </c>
      <c r="E1" s="3" t="s">
        <v>1210</v>
      </c>
      <c r="F1" s="3" t="s">
        <v>518</v>
      </c>
      <c r="G1" s="3" t="s">
        <v>1211</v>
      </c>
    </row>
    <row r="2" spans="1:7" x14ac:dyDescent="0.25">
      <c r="A2" t="s">
        <v>1212</v>
      </c>
      <c r="B2" t="s">
        <v>1213</v>
      </c>
      <c r="C2" t="s">
        <v>1214</v>
      </c>
      <c r="D2" s="38" t="s">
        <v>1215</v>
      </c>
      <c r="E2" t="s">
        <v>609</v>
      </c>
      <c r="F2" s="33">
        <v>46305</v>
      </c>
      <c r="G2" t="s">
        <v>35</v>
      </c>
    </row>
    <row r="3" spans="1:7" x14ac:dyDescent="0.25">
      <c r="A3" t="s">
        <v>1216</v>
      </c>
      <c r="B3" t="s">
        <v>1217</v>
      </c>
      <c r="C3" t="s">
        <v>1218</v>
      </c>
      <c r="D3" s="38" t="s">
        <v>1219</v>
      </c>
      <c r="E3" t="s">
        <v>609</v>
      </c>
      <c r="F3" s="33">
        <v>46305</v>
      </c>
      <c r="G3" t="s">
        <v>35</v>
      </c>
    </row>
    <row r="4" spans="1:7" x14ac:dyDescent="0.25">
      <c r="A4" t="s">
        <v>1220</v>
      </c>
      <c r="B4" t="s">
        <v>1221</v>
      </c>
      <c r="C4" t="s">
        <v>1222</v>
      </c>
      <c r="D4" s="38" t="s">
        <v>1223</v>
      </c>
      <c r="E4" t="s">
        <v>609</v>
      </c>
      <c r="F4" s="33">
        <v>46305</v>
      </c>
      <c r="G4" t="s">
        <v>35</v>
      </c>
    </row>
    <row r="5" spans="3:3" x14ac:dyDescent="0.25"/>
    <row r="6" spans="3:3" x14ac:dyDescent="0.25"/>
    <row r="7" spans="3:3" x14ac:dyDescent="0.25"/>
    <row r="8" spans="3:3" x14ac:dyDescent="0.25"/>
    <row r="9" spans="3:3" x14ac:dyDescent="0.25"/>
    <row r="10" spans="3:3" x14ac:dyDescent="0.25"/>
    <row r="11" spans="3:3" x14ac:dyDescent="0.25"/>
    <row r="12" spans="3:3" x14ac:dyDescent="0.25"/>
    <row r="13" spans="3:3" x14ac:dyDescent="0.25"/>
    <row r="14" spans="3:3" x14ac:dyDescent="0.25"/>
    <row r="15" spans="3:3" x14ac:dyDescent="0.25"/>
    <row r="16" spans="3:3" x14ac:dyDescent="0.25"/>
    <row r="17" spans="3:3" x14ac:dyDescent="0.25"/>
    <row r="18" spans="3:3" x14ac:dyDescent="0.25"/>
    <row r="19" spans="3:3" x14ac:dyDescent="0.25"/>
    <row r="20" spans="3:3" x14ac:dyDescent="0.25"/>
    <row r="21" spans="3:3" x14ac:dyDescent="0.25"/>
    <row r="22" spans="3:3" x14ac:dyDescent="0.25"/>
    <row r="23" spans="3:3" x14ac:dyDescent="0.25"/>
    <row r="24" spans="3:3" x14ac:dyDescent="0.25"/>
    <row r="25" spans="3:3" x14ac:dyDescent="0.25"/>
    <row r="26" spans="3:3" x14ac:dyDescent="0.25"/>
    <row r="27" spans="3:3" x14ac:dyDescent="0.25"/>
    <row r="28" spans="3:3" x14ac:dyDescent="0.25"/>
    <row r="29" spans="3:3" x14ac:dyDescent="0.25"/>
    <row r="30" spans="3:3" x14ac:dyDescent="0.25"/>
    <row r="31" spans="3:3" x14ac:dyDescent="0.25"/>
    <row r="32" spans="3:3" x14ac:dyDescent="0.25"/>
    <row r="33" spans="3:3" x14ac:dyDescent="0.25"/>
    <row r="34" spans="3:3" x14ac:dyDescent="0.25"/>
    <row r="35" spans="3:3" x14ac:dyDescent="0.25"/>
    <row r="36" spans="3:3" x14ac:dyDescent="0.25"/>
    <row r="37" spans="3:3" x14ac:dyDescent="0.25"/>
    <row r="38" spans="3:3" x14ac:dyDescent="0.25"/>
    <row r="39" spans="3:3" x14ac:dyDescent="0.25"/>
    <row r="40" spans="3:3" x14ac:dyDescent="0.25"/>
    <row r="41" spans="3:3" x14ac:dyDescent="0.25"/>
    <row r="42" spans="3:3" x14ac:dyDescent="0.25"/>
    <row r="43" spans="3:3" x14ac:dyDescent="0.25"/>
    <row r="44" spans="3:3" x14ac:dyDescent="0.25"/>
    <row r="45" spans="3:3" x14ac:dyDescent="0.25"/>
    <row r="46" spans="3:3" x14ac:dyDescent="0.25"/>
    <row r="47" spans="3:3" x14ac:dyDescent="0.25"/>
    <row r="48" spans="3:3" x14ac:dyDescent="0.25"/>
    <row r="49" spans="3:3" x14ac:dyDescent="0.25"/>
    <row r="50" spans="3:3" x14ac:dyDescent="0.25"/>
    <row r="51" spans="3:3" x14ac:dyDescent="0.25"/>
    <row r="52" spans="3:3" x14ac:dyDescent="0.25"/>
    <row r="53" spans="3:3" x14ac:dyDescent="0.25"/>
    <row r="54" spans="3:3" x14ac:dyDescent="0.25"/>
    <row r="55" spans="3:3" x14ac:dyDescent="0.25"/>
    <row r="56" spans="3:3" x14ac:dyDescent="0.25"/>
    <row r="57" spans="3:3" x14ac:dyDescent="0.25"/>
    <row r="58" spans="3:3" x14ac:dyDescent="0.25"/>
    <row r="59" spans="3:3" x14ac:dyDescent="0.25"/>
    <row r="60" spans="3:3" x14ac:dyDescent="0.25"/>
    <row r="61" spans="3:3" x14ac:dyDescent="0.25"/>
    <row r="62" spans="3:3" x14ac:dyDescent="0.25"/>
    <row r="63" spans="3:3" x14ac:dyDescent="0.25"/>
    <row r="64" spans="3:3" x14ac:dyDescent="0.25"/>
    <row r="65" spans="3:3" x14ac:dyDescent="0.25"/>
    <row r="66" spans="3:3" x14ac:dyDescent="0.25"/>
    <row r="67" spans="3:3" x14ac:dyDescent="0.25"/>
    <row r="68" spans="3:3" x14ac:dyDescent="0.25"/>
    <row r="69" spans="3:3" x14ac:dyDescent="0.25"/>
    <row r="70" spans="3:3" x14ac:dyDescent="0.25"/>
    <row r="71" spans="3:3" x14ac:dyDescent="0.25"/>
    <row r="72" spans="3:3" x14ac:dyDescent="0.25"/>
    <row r="73" spans="3:3" x14ac:dyDescent="0.25"/>
    <row r="74" spans="3:3" x14ac:dyDescent="0.25"/>
    <row r="75" spans="3:3" x14ac:dyDescent="0.25"/>
    <row r="76" spans="3:3" x14ac:dyDescent="0.25"/>
    <row r="77" spans="3:3" x14ac:dyDescent="0.25"/>
    <row r="78" spans="3:3" x14ac:dyDescent="0.25"/>
    <row r="79" spans="3:3" x14ac:dyDescent="0.25"/>
    <row r="80" spans="3:3" x14ac:dyDescent="0.25"/>
    <row r="81" spans="3:3" x14ac:dyDescent="0.25"/>
    <row r="82" spans="3:3" x14ac:dyDescent="0.25"/>
    <row r="83" spans="3:3" x14ac:dyDescent="0.25"/>
    <row r="84" spans="3:3" x14ac:dyDescent="0.25"/>
    <row r="85" spans="3:3" x14ac:dyDescent="0.25"/>
    <row r="86" spans="3:3" x14ac:dyDescent="0.25"/>
    <row r="87" spans="3:3" x14ac:dyDescent="0.25"/>
    <row r="88" spans="3:3" x14ac:dyDescent="0.25"/>
    <row r="89" spans="3:3" x14ac:dyDescent="0.25"/>
    <row r="90" spans="3:3" x14ac:dyDescent="0.25"/>
    <row r="91" spans="3:3" x14ac:dyDescent="0.25"/>
    <row r="92" spans="3:3" x14ac:dyDescent="0.25"/>
    <row r="93" spans="3:3" x14ac:dyDescent="0.25"/>
    <row r="94" spans="3:3" x14ac:dyDescent="0.25"/>
    <row r="95" spans="3:3" x14ac:dyDescent="0.25"/>
    <row r="96" spans="3:3" x14ac:dyDescent="0.25"/>
    <row r="97" spans="3:3" x14ac:dyDescent="0.25"/>
    <row r="98" spans="3:3" x14ac:dyDescent="0.25"/>
    <row r="99" spans="3:3" x14ac:dyDescent="0.25"/>
    <row r="100" spans="3:3" x14ac:dyDescent="0.25"/>
    <row r="101" spans="3:3" x14ac:dyDescent="0.25"/>
    <row r="102" spans="3:3" x14ac:dyDescent="0.25"/>
    <row r="103" spans="3:3" x14ac:dyDescent="0.25"/>
    <row r="104" spans="3:3" x14ac:dyDescent="0.25"/>
    <row r="105" spans="3:3" x14ac:dyDescent="0.25"/>
    <row r="106" spans="3:3" x14ac:dyDescent="0.25"/>
    <row r="107" spans="3:3" x14ac:dyDescent="0.25"/>
    <row r="108" spans="3:3" x14ac:dyDescent="0.25"/>
    <row r="109" spans="3:3" x14ac:dyDescent="0.25"/>
    <row r="110" spans="3:3" x14ac:dyDescent="0.25"/>
    <row r="111" spans="3:3" x14ac:dyDescent="0.25"/>
    <row r="112" spans="3:3" x14ac:dyDescent="0.25"/>
    <row r="113" spans="3:3" x14ac:dyDescent="0.25"/>
    <row r="114" spans="3:3" x14ac:dyDescent="0.25"/>
    <row r="115" spans="3:3" x14ac:dyDescent="0.25"/>
    <row r="116" spans="3:3" x14ac:dyDescent="0.25"/>
    <row r="117" spans="3:3" x14ac:dyDescent="0.25"/>
    <row r="118" spans="3:3" x14ac:dyDescent="0.25"/>
    <row r="119" spans="3:3" x14ac:dyDescent="0.25"/>
    <row r="120" spans="3:3" x14ac:dyDescent="0.25"/>
    <row r="121" spans="3:3" x14ac:dyDescent="0.25"/>
    <row r="122" spans="3:3" x14ac:dyDescent="0.25"/>
    <row r="123" spans="3:3" x14ac:dyDescent="0.25"/>
    <row r="124" spans="3:3" x14ac:dyDescent="0.25"/>
    <row r="125" spans="3:3" x14ac:dyDescent="0.25"/>
    <row r="126" spans="3:3" x14ac:dyDescent="0.25"/>
    <row r="127" spans="3:3" x14ac:dyDescent="0.25"/>
    <row r="128" spans="3:3" x14ac:dyDescent="0.25"/>
    <row r="129" spans="3:3" x14ac:dyDescent="0.25"/>
    <row r="130" spans="3:3" x14ac:dyDescent="0.25"/>
    <row r="131" spans="3:3" x14ac:dyDescent="0.25"/>
    <row r="132" spans="3:3" x14ac:dyDescent="0.25"/>
    <row r="133" spans="3:3" x14ac:dyDescent="0.25"/>
    <row r="134" spans="3:3" x14ac:dyDescent="0.25"/>
    <row r="135" spans="3:3" x14ac:dyDescent="0.25"/>
    <row r="136" spans="3:3" x14ac:dyDescent="0.25"/>
    <row r="137" spans="3:3" x14ac:dyDescent="0.25"/>
    <row r="138" spans="3:3" x14ac:dyDescent="0.25"/>
    <row r="139" spans="3:3" x14ac:dyDescent="0.25"/>
    <row r="140" spans="3:3" x14ac:dyDescent="0.25"/>
    <row r="141" spans="3:3" x14ac:dyDescent="0.25"/>
    <row r="142" spans="3:3" x14ac:dyDescent="0.25"/>
    <row r="143" spans="3:3" x14ac:dyDescent="0.25"/>
    <row r="144" spans="3:3" x14ac:dyDescent="0.25"/>
    <row r="145" spans="3:3" x14ac:dyDescent="0.25"/>
    <row r="146" spans="3:3" x14ac:dyDescent="0.25"/>
    <row r="147" spans="3:3" x14ac:dyDescent="0.25"/>
    <row r="148" spans="3:3" x14ac:dyDescent="0.25"/>
    <row r="149" spans="3:3" x14ac:dyDescent="0.25"/>
    <row r="150" spans="3:3" x14ac:dyDescent="0.25"/>
    <row r="151" spans="3:3" x14ac:dyDescent="0.25"/>
    <row r="152" spans="3:3" x14ac:dyDescent="0.25"/>
    <row r="153" spans="3:3" x14ac:dyDescent="0.25"/>
    <row r="154" spans="3:3" x14ac:dyDescent="0.25"/>
    <row r="155" spans="3:3" x14ac:dyDescent="0.25"/>
    <row r="156" spans="3:3" x14ac:dyDescent="0.25"/>
    <row r="157" spans="3:3" x14ac:dyDescent="0.25"/>
    <row r="158" spans="3:3" x14ac:dyDescent="0.25"/>
    <row r="159" spans="3:3" x14ac:dyDescent="0.25"/>
    <row r="160" spans="3:3" x14ac:dyDescent="0.25"/>
    <row r="161" spans="3:3" x14ac:dyDescent="0.25"/>
    <row r="162" spans="3:3" x14ac:dyDescent="0.25"/>
    <row r="163" spans="3:3" x14ac:dyDescent="0.25"/>
    <row r="164" spans="3:3" x14ac:dyDescent="0.25"/>
    <row r="165" spans="3:3" x14ac:dyDescent="0.25"/>
    <row r="166" spans="3:3" x14ac:dyDescent="0.25"/>
    <row r="167" spans="3:3" x14ac:dyDescent="0.25"/>
    <row r="168" spans="3:3" x14ac:dyDescent="0.25"/>
    <row r="169" spans="3:3" x14ac:dyDescent="0.25"/>
    <row r="170" spans="3:3" x14ac:dyDescent="0.25"/>
    <row r="171" spans="3:3" x14ac:dyDescent="0.25"/>
    <row r="172" spans="3:3" x14ac:dyDescent="0.25"/>
    <row r="173" spans="3:3" x14ac:dyDescent="0.25"/>
    <row r="174" spans="3:3" x14ac:dyDescent="0.25"/>
    <row r="175" spans="3:3" x14ac:dyDescent="0.25"/>
    <row r="176" spans="3:3" x14ac:dyDescent="0.25"/>
    <row r="177" spans="3:3" x14ac:dyDescent="0.25"/>
    <row r="178" spans="3:3" x14ac:dyDescent="0.25"/>
    <row r="179" spans="3:3" x14ac:dyDescent="0.25"/>
    <row r="180" spans="3:3" x14ac:dyDescent="0.25"/>
    <row r="181" spans="3:3" x14ac:dyDescent="0.25"/>
    <row r="182" spans="3:3" x14ac:dyDescent="0.25"/>
    <row r="183" spans="3:3" x14ac:dyDescent="0.25"/>
    <row r="184" spans="3:3" x14ac:dyDescent="0.25"/>
    <row r="185" spans="3:3" x14ac:dyDescent="0.25"/>
    <row r="186" spans="3:3" x14ac:dyDescent="0.25"/>
    <row r="187" spans="3:3" x14ac:dyDescent="0.25"/>
    <row r="188" spans="3:3" x14ac:dyDescent="0.25"/>
    <row r="189" spans="3:3" x14ac:dyDescent="0.25"/>
    <row r="190" spans="3:3" x14ac:dyDescent="0.25"/>
    <row r="191" spans="3:3" x14ac:dyDescent="0.25"/>
    <row r="192" spans="3:3" x14ac:dyDescent="0.25"/>
    <row r="193" spans="3:3" x14ac:dyDescent="0.25"/>
    <row r="194" spans="3:3" x14ac:dyDescent="0.25"/>
    <row r="195" spans="3:3" x14ac:dyDescent="0.25"/>
    <row r="196" spans="3:3" x14ac:dyDescent="0.25"/>
    <row r="197" spans="3:3" x14ac:dyDescent="0.25"/>
    <row r="198" spans="3:3" x14ac:dyDescent="0.25"/>
    <row r="199" spans="3:3" x14ac:dyDescent="0.25"/>
    <row r="200" spans="3:3" x14ac:dyDescent="0.25"/>
  </sheetData>
  <autoFilter ref="A1:G4"/>
  <dataValidations count="2">
    <dataValidation type="list" allowBlank="1" showErrorMessage="1" errorTitle="قيمة غير مسموحة" error="اختر من القائمة: مدير / موظف / مشاهدة فقط" sqref="C10:C200">
      <formula1>"مدير,موظف,مشاهدة فقط"</formula1>
    </dataValidation>
    <dataValidation type="list" allowBlank="1" showErrorMessage="1" errorTitle="قيمة غير مسموحة" error="اختر من القائمة: مدير / موظف / مشاهدة فقط" sqref="C2:C200">
      <formula1>"مدير,موظف,مشاهدة فقط"</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2026</vt:lpstr>
      <vt:lpstr>ملخص المشاريع</vt:lpstr>
      <vt:lpstr>المشاريع</vt:lpstr>
      <vt:lpstr>الوحدات</vt:lpstr>
      <vt:lpstr>أصول الوحدات</vt:lpstr>
      <vt:lpstr>العملاء</vt:lpstr>
      <vt:lpstr>العقود</vt:lpstr>
      <vt:lpstr>المدفوعات</vt:lpstr>
      <vt:lpstr>الصيانة</vt:lpstr>
      <vt:lpstr>الإعدادات</vt:lpstr>
      <vt:lpstr>سجل التعديلات</vt:lpstr>
      <vt:lpstr>المستخدمون</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Egary</dc:creator>
  <dc:title/>
  <dc:subject/>
  <dc:description/>
  <cp:keywords/>
  <cp:category/>
  <cp:lastModifiedBy>Unknown</cp:lastModifiedBy>
  <dcterms:created xsi:type="dcterms:W3CDTF">2026-10-10T19:09:16Z</dcterms:created>
  <dcterms:modified xsi:type="dcterms:W3CDTF">2026-10-10T19:09:16Z</dcterms:modified>
</cp:coreProperties>
</file>