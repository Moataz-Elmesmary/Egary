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2026" state="visible" r:id="rId4"/>
    <sheet sheetId="2" name="ملخص المشاريع" state="visible" r:id="rId5"/>
    <sheet sheetId="3" name="المشاريع" state="visible" r:id="rId6"/>
    <sheet sheetId="4" name="الوحدات" state="visible" r:id="rId7"/>
    <sheet sheetId="5" name="أصول الوحدات" state="visible" r:id="rId8"/>
    <sheet sheetId="6" name="العملاء" state="visible" r:id="rId9"/>
    <sheet sheetId="7" name="العقود" state="visible" r:id="rId10"/>
    <sheet sheetId="8" name="المدفوعات" state="visible" r:id="rId11"/>
    <sheet sheetId="9" name="الصيانة" state="visible" r:id="rId12"/>
    <sheet sheetId="10" name="الإعدادات" state="visible" r:id="rId13"/>
    <sheet sheetId="11" name="سجل التعديلات" state="visible" r:id="rId14"/>
  </sheets>
  <calcPr calcId="171027"/>
</workbook>
</file>

<file path=xl/sharedStrings.xml><?xml version="1.0" encoding="utf-8"?>
<sst xmlns="http://schemas.openxmlformats.org/spreadsheetml/2006/main" count="8104" uniqueCount="1230">
  <si>
    <t>إيجاري</t>
  </si>
  <si>
    <t>2026</t>
  </si>
  <si>
    <t>م</t>
  </si>
  <si>
    <t>المشروع</t>
  </si>
  <si>
    <t>الاسم</t>
  </si>
  <si>
    <t>الممثل القانوني</t>
  </si>
  <si>
    <t>الوحدة</t>
  </si>
  <si>
    <t>العنوان</t>
  </si>
  <si>
    <t>العقد من</t>
  </si>
  <si>
    <t>العقد الى</t>
  </si>
  <si>
    <t>تسجيل ضريبي</t>
  </si>
  <si>
    <t>الرقم القومي / الباسبور</t>
  </si>
  <si>
    <t>يناير</t>
  </si>
  <si>
    <t>فبراير</t>
  </si>
  <si>
    <t>مارس</t>
  </si>
  <si>
    <t>ابريل</t>
  </si>
  <si>
    <t>مايو</t>
  </si>
  <si>
    <t>يونيو</t>
  </si>
  <si>
    <t>يوليو</t>
  </si>
  <si>
    <t>اغسطس</t>
  </si>
  <si>
    <t>سبتمبر</t>
  </si>
  <si>
    <t>اكتوبر</t>
  </si>
  <si>
    <t>نوفمبر</t>
  </si>
  <si>
    <t>ديسمبر</t>
  </si>
  <si>
    <t>الاجمالي</t>
  </si>
  <si>
    <t>ملاحظات</t>
  </si>
  <si>
    <t>كود العقد</t>
  </si>
  <si>
    <t>كود الوحدة</t>
  </si>
  <si>
    <t>كود العميل</t>
  </si>
  <si>
    <t>كود المشروع</t>
  </si>
  <si>
    <t>بابل</t>
  </si>
  <si>
    <t>حسام حسن سنوسي</t>
  </si>
  <si>
    <t>يوسف حسن سنوسي</t>
  </si>
  <si>
    <t>محل</t>
  </si>
  <si>
    <t>شارع بابل الدقي 39</t>
  </si>
  <si>
    <t/>
  </si>
  <si>
    <t>29202162300777</t>
  </si>
  <si>
    <t>T0001</t>
  </si>
  <si>
    <t>P01-S1</t>
  </si>
  <si>
    <t>C001</t>
  </si>
  <si>
    <t>P01</t>
  </si>
  <si>
    <t>صالون ايه ام  Salon A M</t>
  </si>
  <si>
    <t>محمد ابراهيم موسى</t>
  </si>
  <si>
    <t>29206013100132</t>
  </si>
  <si>
    <t>T0002</t>
  </si>
  <si>
    <t>P01-S2</t>
  </si>
  <si>
    <t>C002</t>
  </si>
  <si>
    <t>شركة الدقة للاستشارات الهندسية</t>
  </si>
  <si>
    <t>محمد احمد فراج</t>
  </si>
  <si>
    <t>ميزان 1/2</t>
  </si>
  <si>
    <t>726-387-908</t>
  </si>
  <si>
    <t>28803262100597</t>
  </si>
  <si>
    <t>T0003</t>
  </si>
  <si>
    <t>P01-M1-2</t>
  </si>
  <si>
    <t>C003</t>
  </si>
  <si>
    <t>شركة العنوان للانتاج الفني</t>
  </si>
  <si>
    <t>نسرين احمد عثمان</t>
  </si>
  <si>
    <t>ميزان 3</t>
  </si>
  <si>
    <t>P10629999</t>
  </si>
  <si>
    <t>T0004</t>
  </si>
  <si>
    <t>P01-M3</t>
  </si>
  <si>
    <t>C004</t>
  </si>
  <si>
    <t>الدور الثاني</t>
  </si>
  <si>
    <t>T0005</t>
  </si>
  <si>
    <t>P01-F2</t>
  </si>
  <si>
    <t>شركة ديل اند بيك للتجارة الالكترونية</t>
  </si>
  <si>
    <t>وليد محمود مصطفى</t>
  </si>
  <si>
    <t>مكتب 42</t>
  </si>
  <si>
    <t>557-627-516</t>
  </si>
  <si>
    <t>28407140102651</t>
  </si>
  <si>
    <t>T0006</t>
  </si>
  <si>
    <t>P01-O42</t>
  </si>
  <si>
    <t>C005</t>
  </si>
  <si>
    <t>مصطفى عثمان ابراهيم</t>
  </si>
  <si>
    <t>مكتب 61</t>
  </si>
  <si>
    <t>27004050101531</t>
  </si>
  <si>
    <t>T0007</t>
  </si>
  <si>
    <t>P01-O61</t>
  </si>
  <si>
    <t>C006</t>
  </si>
  <si>
    <t>محيي الدين</t>
  </si>
  <si>
    <t>شركة مستر تايلور</t>
  </si>
  <si>
    <t>احمد رشد قاسم</t>
  </si>
  <si>
    <t>ميزان 1</t>
  </si>
  <si>
    <t>شارع محيي الدين ابو العز 30</t>
  </si>
  <si>
    <t>721-692-965</t>
  </si>
  <si>
    <t>27307022102338</t>
  </si>
  <si>
    <t>T0008</t>
  </si>
  <si>
    <t>P02-M1</t>
  </si>
  <si>
    <t>C007</t>
  </si>
  <si>
    <t>P02</t>
  </si>
  <si>
    <t>شركة صحة سكان</t>
  </si>
  <si>
    <t>اشرف صلاح محمد</t>
  </si>
  <si>
    <t>ميزان 2</t>
  </si>
  <si>
    <t>421-187-875</t>
  </si>
  <si>
    <t>25510030100193</t>
  </si>
  <si>
    <t>T0009</t>
  </si>
  <si>
    <t>P02-M2</t>
  </si>
  <si>
    <t>C008</t>
  </si>
  <si>
    <t>شركة ستاف ارابيا</t>
  </si>
  <si>
    <t>اياد صبحي حافظ</t>
  </si>
  <si>
    <t>202</t>
  </si>
  <si>
    <t>567-354-873</t>
  </si>
  <si>
    <t>N011661697</t>
  </si>
  <si>
    <t>T0010</t>
  </si>
  <si>
    <t>P02-202</t>
  </si>
  <si>
    <t>C009</t>
  </si>
  <si>
    <t>علي فرغلي علي</t>
  </si>
  <si>
    <t>301</t>
  </si>
  <si>
    <t>29705050200631</t>
  </si>
  <si>
    <t>T0011</t>
  </si>
  <si>
    <t>P02-301</t>
  </si>
  <si>
    <t>C010</t>
  </si>
  <si>
    <t>دكتور شريف عزت عبد الخالق</t>
  </si>
  <si>
    <t>302</t>
  </si>
  <si>
    <t>26211150101815</t>
  </si>
  <si>
    <t>T0012</t>
  </si>
  <si>
    <t>P02-302</t>
  </si>
  <si>
    <t>C011</t>
  </si>
  <si>
    <t>شركة ايجل اي ميدل ايست</t>
  </si>
  <si>
    <t>اسلام محمد عبد الفتاح</t>
  </si>
  <si>
    <t>303</t>
  </si>
  <si>
    <t>730-874-532</t>
  </si>
  <si>
    <t>28910220100539</t>
  </si>
  <si>
    <t>T0013</t>
  </si>
  <si>
    <t>P02-303</t>
  </si>
  <si>
    <t>C012</t>
  </si>
  <si>
    <t>304</t>
  </si>
  <si>
    <t>T0014</t>
  </si>
  <si>
    <t>P02-304</t>
  </si>
  <si>
    <t>دكتور ياسر خالد بادي محمد</t>
  </si>
  <si>
    <t>ياسر خالد بادي محمد</t>
  </si>
  <si>
    <t>401</t>
  </si>
  <si>
    <t>29010208800714</t>
  </si>
  <si>
    <t>T0015</t>
  </si>
  <si>
    <t>P02-401</t>
  </si>
  <si>
    <t>C013</t>
  </si>
  <si>
    <t>دكتور عمرو هشام محمد</t>
  </si>
  <si>
    <t>عمرو هشام محمد</t>
  </si>
  <si>
    <t>404</t>
  </si>
  <si>
    <t>29009011320232</t>
  </si>
  <si>
    <t>T0016</t>
  </si>
  <si>
    <t>P02-404</t>
  </si>
  <si>
    <t>C014</t>
  </si>
  <si>
    <t>د/ احمد محمد حسن - د/ دينا محمد سعيد</t>
  </si>
  <si>
    <t>502</t>
  </si>
  <si>
    <t>27404220102918</t>
  </si>
  <si>
    <t>T0017</t>
  </si>
  <si>
    <t>P02-502</t>
  </si>
  <si>
    <t>C015</t>
  </si>
  <si>
    <t>د/ ياسمين جمال - د/ محمد خطاب</t>
  </si>
  <si>
    <t>ياسمين محمد جمال الدين - محمد حمدي محمد</t>
  </si>
  <si>
    <t>503</t>
  </si>
  <si>
    <t>28607270103607</t>
  </si>
  <si>
    <t>T0018</t>
  </si>
  <si>
    <t>P02-503</t>
  </si>
  <si>
    <t>C016</t>
  </si>
  <si>
    <t>حمدي جمال حمدي</t>
  </si>
  <si>
    <t>504</t>
  </si>
  <si>
    <t>30109182600357</t>
  </si>
  <si>
    <t>T0019</t>
  </si>
  <si>
    <t>P02-504</t>
  </si>
  <si>
    <t>C017</t>
  </si>
  <si>
    <t>ابو بكر</t>
  </si>
  <si>
    <t>شركة موريشي للاستيراد والتصدير</t>
  </si>
  <si>
    <t>محمد مصطفى محمد</t>
  </si>
  <si>
    <t>شارع ابو بكر الصديق 3</t>
  </si>
  <si>
    <t>578-907-399</t>
  </si>
  <si>
    <t>28206128800771</t>
  </si>
  <si>
    <t>T0020</t>
  </si>
  <si>
    <t>P03-M1</t>
  </si>
  <si>
    <t>C018</t>
  </si>
  <si>
    <t>P03</t>
  </si>
  <si>
    <t>شركة تسفع لتطوير المهارات</t>
  </si>
  <si>
    <t>765-044-404</t>
  </si>
  <si>
    <t>T0021</t>
  </si>
  <si>
    <t>P03-M2</t>
  </si>
  <si>
    <t>C019</t>
  </si>
  <si>
    <t>احمد هاشم احمد</t>
  </si>
  <si>
    <t>102</t>
  </si>
  <si>
    <t>P12786398</t>
  </si>
  <si>
    <t>T0022</t>
  </si>
  <si>
    <t>P03-102</t>
  </si>
  <si>
    <t>C020</t>
  </si>
  <si>
    <t>عبد الرحمن هلال احمد</t>
  </si>
  <si>
    <t>103</t>
  </si>
  <si>
    <t>29108131301515</t>
  </si>
  <si>
    <t>T0023</t>
  </si>
  <si>
    <t>P03-103</t>
  </si>
  <si>
    <t>C021</t>
  </si>
  <si>
    <t>وليد عبد الرحمن عبد الكريم</t>
  </si>
  <si>
    <t>104</t>
  </si>
  <si>
    <t>X853069</t>
  </si>
  <si>
    <t>T0024</t>
  </si>
  <si>
    <t>P03-104</t>
  </si>
  <si>
    <t>C022</t>
  </si>
  <si>
    <t>105</t>
  </si>
  <si>
    <t>T0025</t>
  </si>
  <si>
    <t>P03-105</t>
  </si>
  <si>
    <t>محمد هلال احمد</t>
  </si>
  <si>
    <t>106</t>
  </si>
  <si>
    <t>28408191301751</t>
  </si>
  <si>
    <t>T0026</t>
  </si>
  <si>
    <t>P03-106</t>
  </si>
  <si>
    <t>C023</t>
  </si>
  <si>
    <t>107</t>
  </si>
  <si>
    <t>T0027</t>
  </si>
  <si>
    <t>P03-107</t>
  </si>
  <si>
    <t>108</t>
  </si>
  <si>
    <t>T0028</t>
  </si>
  <si>
    <t>P03-108</t>
  </si>
  <si>
    <t>ارابيك في اي بي</t>
  </si>
  <si>
    <t>ليلى جمال شعبان</t>
  </si>
  <si>
    <t>201</t>
  </si>
  <si>
    <t>29409202103248</t>
  </si>
  <si>
    <t>T0029</t>
  </si>
  <si>
    <t>P03-201</t>
  </si>
  <si>
    <t>C024</t>
  </si>
  <si>
    <t>د/ احمد وجدي عبد القادر</t>
  </si>
  <si>
    <t>احمد وجدي عبد القادر</t>
  </si>
  <si>
    <t>28509092104431</t>
  </si>
  <si>
    <t>T0030</t>
  </si>
  <si>
    <t>P03-202</t>
  </si>
  <si>
    <t>C025</t>
  </si>
  <si>
    <t>د/ مصطفى مجدي عوض</t>
  </si>
  <si>
    <t>مصطفى مجدي عوض</t>
  </si>
  <si>
    <t>204</t>
  </si>
  <si>
    <t>28910178800274</t>
  </si>
  <si>
    <t>T0031</t>
  </si>
  <si>
    <t>P03-204</t>
  </si>
  <si>
    <t>C026</t>
  </si>
  <si>
    <t>د/ محمد عبد الحليم محمود</t>
  </si>
  <si>
    <t>محمد عبد الحليم محمود</t>
  </si>
  <si>
    <t>28907122102999</t>
  </si>
  <si>
    <t>T0032</t>
  </si>
  <si>
    <t>C027</t>
  </si>
  <si>
    <t>عبدالله عصام شعبان</t>
  </si>
  <si>
    <t>205</t>
  </si>
  <si>
    <t>N589794681</t>
  </si>
  <si>
    <t>T0033</t>
  </si>
  <si>
    <t>P03-205</t>
  </si>
  <si>
    <t>C028</t>
  </si>
  <si>
    <t>شركة جي اس للمنتجات الجلدية والاكسسوار</t>
  </si>
  <si>
    <t>جيداء يسر محمد</t>
  </si>
  <si>
    <t>206</t>
  </si>
  <si>
    <t>26306292101365</t>
  </si>
  <si>
    <t>T0034</t>
  </si>
  <si>
    <t>P03-206</t>
  </si>
  <si>
    <t>C029</t>
  </si>
  <si>
    <t>د/ رامه هاشم ابو زيد</t>
  </si>
  <si>
    <t>رامه هاشم ابو زيد</t>
  </si>
  <si>
    <t>207</t>
  </si>
  <si>
    <t>P13199335</t>
  </si>
  <si>
    <t>T0035</t>
  </si>
  <si>
    <t>P03-207</t>
  </si>
  <si>
    <t>C030</t>
  </si>
  <si>
    <t>شركة لينيا ارت برودكشن</t>
  </si>
  <si>
    <t>احمد صبري عبد العزيز</t>
  </si>
  <si>
    <t>208</t>
  </si>
  <si>
    <t>337-707-162</t>
  </si>
  <si>
    <t>27310061501011</t>
  </si>
  <si>
    <t>T0036</t>
  </si>
  <si>
    <t>P03-208</t>
  </si>
  <si>
    <t>C031</t>
  </si>
  <si>
    <t>حسام عبد المحسن شحات</t>
  </si>
  <si>
    <t>29909152101756</t>
  </si>
  <si>
    <t>T0037</t>
  </si>
  <si>
    <t>P03-301</t>
  </si>
  <si>
    <t>C032</t>
  </si>
  <si>
    <t>وليد محمد عبد القادر</t>
  </si>
  <si>
    <t>723-549-699</t>
  </si>
  <si>
    <t>28210160103159</t>
  </si>
  <si>
    <t>T0038</t>
  </si>
  <si>
    <t>P03-302</t>
  </si>
  <si>
    <t>C033</t>
  </si>
  <si>
    <t>T0039</t>
  </si>
  <si>
    <t>P03-303</t>
  </si>
  <si>
    <t>خالد مصطفى الطيب</t>
  </si>
  <si>
    <t>B00021465</t>
  </si>
  <si>
    <t>T0040</t>
  </si>
  <si>
    <t>P03-304</t>
  </si>
  <si>
    <t>C034</t>
  </si>
  <si>
    <t>سارة سيد احمد</t>
  </si>
  <si>
    <t>P08991266</t>
  </si>
  <si>
    <t>T0041</t>
  </si>
  <si>
    <t>C035</t>
  </si>
  <si>
    <t>شركة سي سي بي ري للاعتماد والتفتيش الزراعي</t>
  </si>
  <si>
    <t>ايهاب احمد عبد الرحمن</t>
  </si>
  <si>
    <t>305</t>
  </si>
  <si>
    <t>640-971-180</t>
  </si>
  <si>
    <t>27901280101094</t>
  </si>
  <si>
    <t>T0042</t>
  </si>
  <si>
    <t>P03-305</t>
  </si>
  <si>
    <t>C036</t>
  </si>
  <si>
    <t>وليد مصطفى احمد</t>
  </si>
  <si>
    <t>306</t>
  </si>
  <si>
    <t>28002058800153</t>
  </si>
  <si>
    <t>T0043</t>
  </si>
  <si>
    <t>P03-306</t>
  </si>
  <si>
    <t>C037</t>
  </si>
  <si>
    <t>د/ ولاء محمد سيد جاد</t>
  </si>
  <si>
    <t>ولاء محمد جاد</t>
  </si>
  <si>
    <t>307</t>
  </si>
  <si>
    <t>29304288800241</t>
  </si>
  <si>
    <t>T0044</t>
  </si>
  <si>
    <t>P03-307</t>
  </si>
  <si>
    <t>C038</t>
  </si>
  <si>
    <t>مبادرات وزارة الشباب والرياضة</t>
  </si>
  <si>
    <t>امني سعد سيد محمد</t>
  </si>
  <si>
    <t>631-230-068</t>
  </si>
  <si>
    <t>28101192201744</t>
  </si>
  <si>
    <t>T0045</t>
  </si>
  <si>
    <t>P03-401</t>
  </si>
  <si>
    <t>C039</t>
  </si>
  <si>
    <t>شركة HMA</t>
  </si>
  <si>
    <t>محمد البشير حسن</t>
  </si>
  <si>
    <t>403</t>
  </si>
  <si>
    <t>P08627722</t>
  </si>
  <si>
    <t>T0046</t>
  </si>
  <si>
    <t>P03-403</t>
  </si>
  <si>
    <t>C040</t>
  </si>
  <si>
    <t>نور صدقي محمد</t>
  </si>
  <si>
    <t>28302228800335</t>
  </si>
  <si>
    <t>T0047</t>
  </si>
  <si>
    <t>P03-404</t>
  </si>
  <si>
    <t>C041</t>
  </si>
  <si>
    <t>شركة معز الهندسية</t>
  </si>
  <si>
    <t>مستنصر شبير ميمون</t>
  </si>
  <si>
    <t>405</t>
  </si>
  <si>
    <t>X7619916</t>
  </si>
  <si>
    <t>T0048</t>
  </si>
  <si>
    <t>P03-405</t>
  </si>
  <si>
    <t>C042</t>
  </si>
  <si>
    <t>شركة تباشير للاستثمار</t>
  </si>
  <si>
    <t>عمر محمود محمد</t>
  </si>
  <si>
    <t>406</t>
  </si>
  <si>
    <t>P06048447</t>
  </si>
  <si>
    <t>T0049</t>
  </si>
  <si>
    <t>P03-406</t>
  </si>
  <si>
    <t>C043</t>
  </si>
  <si>
    <t>شركة العوضي للتجارة والشحن الدولي</t>
  </si>
  <si>
    <t>407</t>
  </si>
  <si>
    <t>567-734-420</t>
  </si>
  <si>
    <t>الإجمالي في الورقة 115,500 لكن الشهور مجموعها 132,000 - راجع الأصل</t>
  </si>
  <si>
    <t>T0050</t>
  </si>
  <si>
    <t>P03-407</t>
  </si>
  <si>
    <t>C044</t>
  </si>
  <si>
    <t>احمد عصام الدين عبد السلام</t>
  </si>
  <si>
    <t>408</t>
  </si>
  <si>
    <t>29910198801173</t>
  </si>
  <si>
    <t>T0051</t>
  </si>
  <si>
    <t>P03-408</t>
  </si>
  <si>
    <t>C045</t>
  </si>
  <si>
    <t>نور فلد للاستشارات التجارية</t>
  </si>
  <si>
    <t>نورهان فاروق معوض</t>
  </si>
  <si>
    <t>501</t>
  </si>
  <si>
    <t>29810012118882</t>
  </si>
  <si>
    <t>T0052</t>
  </si>
  <si>
    <t>P03-501</t>
  </si>
  <si>
    <t>C046</t>
  </si>
  <si>
    <t>T0053</t>
  </si>
  <si>
    <t>P03-502</t>
  </si>
  <si>
    <t>باسم مكرم انور كامل</t>
  </si>
  <si>
    <t>29402012408072</t>
  </si>
  <si>
    <t>الإجمالي في الورقة 78,765 لكن الشهور مجموعها 78,305 - يوليو ممكن يكون 11,595</t>
  </si>
  <si>
    <t>T0054</t>
  </si>
  <si>
    <t>P03-503</t>
  </si>
  <si>
    <t>C047</t>
  </si>
  <si>
    <t>شركة لوتس للتجارة والملابس الجاهزة</t>
  </si>
  <si>
    <t>ايمن احمد الله</t>
  </si>
  <si>
    <t>29001292102441</t>
  </si>
  <si>
    <t>T0055</t>
  </si>
  <si>
    <t>P03-504</t>
  </si>
  <si>
    <t>C048</t>
  </si>
  <si>
    <t>505</t>
  </si>
  <si>
    <t>T0056</t>
  </si>
  <si>
    <t>P03-505</t>
  </si>
  <si>
    <t>د/ دعاء احمد حسن صديق</t>
  </si>
  <si>
    <t>دعاء احمد حسن صديق</t>
  </si>
  <si>
    <t>506</t>
  </si>
  <si>
    <t>P0753664</t>
  </si>
  <si>
    <t>T0057</t>
  </si>
  <si>
    <t>P03-506</t>
  </si>
  <si>
    <t>C049</t>
  </si>
  <si>
    <t>شركة كالدو لادارة المطاعم والكافيهات</t>
  </si>
  <si>
    <t>حسام عمر حماد</t>
  </si>
  <si>
    <t>508</t>
  </si>
  <si>
    <t>782-617-808</t>
  </si>
  <si>
    <t>P06922103</t>
  </si>
  <si>
    <t>T0058</t>
  </si>
  <si>
    <t>P03-508</t>
  </si>
  <si>
    <t>C050</t>
  </si>
  <si>
    <t>شركة الجزيرة للتنمية والتعمير</t>
  </si>
  <si>
    <t>وائل سيد حسب الله حسن</t>
  </si>
  <si>
    <t>601</t>
  </si>
  <si>
    <t>27806082800957</t>
  </si>
  <si>
    <t>T0059</t>
  </si>
  <si>
    <t>P03-601</t>
  </si>
  <si>
    <t>C051</t>
  </si>
  <si>
    <t>شركة ديناميك للاستشارات الهندسية</t>
  </si>
  <si>
    <t>بدر محمد كامل</t>
  </si>
  <si>
    <t>602</t>
  </si>
  <si>
    <t>379-360-810</t>
  </si>
  <si>
    <t>27701040100156</t>
  </si>
  <si>
    <t>T0060</t>
  </si>
  <si>
    <t>P03-602</t>
  </si>
  <si>
    <t>C052</t>
  </si>
  <si>
    <t>خالد السيد محمد محمد عثمان صالح احمد عبد العزيز احمد</t>
  </si>
  <si>
    <t>603</t>
  </si>
  <si>
    <t>P07615625</t>
  </si>
  <si>
    <t>T0061</t>
  </si>
  <si>
    <t>P03-603</t>
  </si>
  <si>
    <t>C053</t>
  </si>
  <si>
    <t>هبه علي بكر</t>
  </si>
  <si>
    <t>604</t>
  </si>
  <si>
    <t>30008010102044</t>
  </si>
  <si>
    <t>T0062</t>
  </si>
  <si>
    <t>P03-604</t>
  </si>
  <si>
    <t>C054</t>
  </si>
  <si>
    <t>ابراهيم مصطفى محمد</t>
  </si>
  <si>
    <t>605</t>
  </si>
  <si>
    <t>28405118800678</t>
  </si>
  <si>
    <t>63+.0+3+26309</t>
  </si>
  <si>
    <t>خانة أغسطس مكتوب فيها نص مش رقم (زي الورقة)</t>
  </si>
  <si>
    <t>T0063</t>
  </si>
  <si>
    <t>P03-605</t>
  </si>
  <si>
    <t>C055</t>
  </si>
  <si>
    <t>شركة البوسفور للتجارة والتصدير</t>
  </si>
  <si>
    <t>ابو بكر محمد ابراهيم</t>
  </si>
  <si>
    <t>606</t>
  </si>
  <si>
    <t>P07389148</t>
  </si>
  <si>
    <t>T0064</t>
  </si>
  <si>
    <t>P03-606</t>
  </si>
  <si>
    <t>C056</t>
  </si>
  <si>
    <t>شركة الراحتين للخدمات الطبية</t>
  </si>
  <si>
    <t>احمد جمال الدين عبد الفتاح</t>
  </si>
  <si>
    <t>607</t>
  </si>
  <si>
    <t>28007202100058</t>
  </si>
  <si>
    <t>نهاية العقد في الورقة الأصلية 30/04/2026 (قبل البداية) — صُحِّحت تلقائيًا إلى 30/04/2027</t>
  </si>
  <si>
    <t>T0065</t>
  </si>
  <si>
    <t>P03-607</t>
  </si>
  <si>
    <t>C057</t>
  </si>
  <si>
    <t>شركة المكس لتوريد الخرسانة الجاهزة والركام</t>
  </si>
  <si>
    <t>اسلام سمير نور الدين</t>
  </si>
  <si>
    <t>608</t>
  </si>
  <si>
    <t>28506170105016</t>
  </si>
  <si>
    <t>T0066</t>
  </si>
  <si>
    <t>P03-608</t>
  </si>
  <si>
    <t>C058</t>
  </si>
  <si>
    <t>شركة الفيروز</t>
  </si>
  <si>
    <t>فيروز صدقي صديق</t>
  </si>
  <si>
    <t>701</t>
  </si>
  <si>
    <t>724-203-192</t>
  </si>
  <si>
    <t>29312022102801</t>
  </si>
  <si>
    <t>T0067</t>
  </si>
  <si>
    <t>P03-701</t>
  </si>
  <si>
    <t>C059</t>
  </si>
  <si>
    <t>شركة ديجيلابس</t>
  </si>
  <si>
    <t>قاسم انور</t>
  </si>
  <si>
    <t>703</t>
  </si>
  <si>
    <t>EM8386669</t>
  </si>
  <si>
    <t>T0068</t>
  </si>
  <si>
    <t>P03-703</t>
  </si>
  <si>
    <t>C060</t>
  </si>
  <si>
    <t>شركة نمو زون</t>
  </si>
  <si>
    <t>يحيى محمد احمد</t>
  </si>
  <si>
    <t>704</t>
  </si>
  <si>
    <t>10414477</t>
  </si>
  <si>
    <t>T0069</t>
  </si>
  <si>
    <t>P03-704</t>
  </si>
  <si>
    <t>C061</t>
  </si>
  <si>
    <t>محمد عوده محمد</t>
  </si>
  <si>
    <t>705</t>
  </si>
  <si>
    <t>O9565826</t>
  </si>
  <si>
    <t>T0070</t>
  </si>
  <si>
    <t>P03-705</t>
  </si>
  <si>
    <t>C062</t>
  </si>
  <si>
    <t>شركة امن قروب للمحاصيل الزراعية</t>
  </si>
  <si>
    <t>محمود ميلادي محمود</t>
  </si>
  <si>
    <t>706</t>
  </si>
  <si>
    <t>337-042-634</t>
  </si>
  <si>
    <t>28302172800612</t>
  </si>
  <si>
    <t>T0071</t>
  </si>
  <si>
    <t>P03-706</t>
  </si>
  <si>
    <t>C063</t>
  </si>
  <si>
    <t>شركة هيثم للتجارة</t>
  </si>
  <si>
    <t>هيثم محمد</t>
  </si>
  <si>
    <t>707</t>
  </si>
  <si>
    <t>P08023784</t>
  </si>
  <si>
    <t>T0072</t>
  </si>
  <si>
    <t>P03-707</t>
  </si>
  <si>
    <t>C064</t>
  </si>
  <si>
    <t>708</t>
  </si>
  <si>
    <t>T0073</t>
  </si>
  <si>
    <t>P03-708</t>
  </si>
  <si>
    <t>الاجمالي العام</t>
  </si>
  <si>
    <t>عدد الصفوف في 2026</t>
  </si>
  <si>
    <t>إجمالي 2026</t>
  </si>
  <si>
    <t>عدد الوحدات</t>
  </si>
  <si>
    <t>مؤجَّرة</t>
  </si>
  <si>
    <t>شاغرة</t>
  </si>
  <si>
    <t>نسبة الإشغال</t>
  </si>
  <si>
    <t>المتأخرات</t>
  </si>
  <si>
    <t>اسم المشروع</t>
  </si>
  <si>
    <t>المنطقة</t>
  </si>
  <si>
    <t>تاريخ الإضافة</t>
  </si>
  <si>
    <t>عدد الوحدات (محسوب)</t>
  </si>
  <si>
    <t>مؤجَّرة (محسوب)</t>
  </si>
  <si>
    <t>شاغرة (محسوب)</t>
  </si>
  <si>
    <t>المتأخرات (محسوب)</t>
  </si>
  <si>
    <t>محصَّل السنة (محسوب)</t>
  </si>
  <si>
    <t>رقم / اسم الوحدة</t>
  </si>
  <si>
    <t>النوع</t>
  </si>
  <si>
    <t>الدور</t>
  </si>
  <si>
    <t>المساحة م²</t>
  </si>
  <si>
    <t>الأصول (ملخص)</t>
  </si>
  <si>
    <t>الحالة (محسوب)</t>
  </si>
  <si>
    <t>المستأجر الحالي (محسوب)</t>
  </si>
  <si>
    <t>العقد الحالي (محسوب)</t>
  </si>
  <si>
    <t>الإيجار الحالي (محسوب)</t>
  </si>
  <si>
    <t>شاغرة منذ (محسوب)</t>
  </si>
  <si>
    <t>أيام الشغور (محسوب)</t>
  </si>
  <si>
    <t>تجارية</t>
  </si>
  <si>
    <t>G</t>
  </si>
  <si>
    <t>01/06/2026</t>
  </si>
  <si>
    <t>01/05/2026</t>
  </si>
  <si>
    <t>إدارية</t>
  </si>
  <si>
    <t>M</t>
  </si>
  <si>
    <t>2</t>
  </si>
  <si>
    <t>4</t>
  </si>
  <si>
    <t>20/08/2026</t>
  </si>
  <si>
    <t>6</t>
  </si>
  <si>
    <t>01/04/2026</t>
  </si>
  <si>
    <t>تنتهي قريبًا</t>
  </si>
  <si>
    <t>3</t>
  </si>
  <si>
    <t>5</t>
  </si>
  <si>
    <t>01/09/2026</t>
  </si>
  <si>
    <t>01/10/2026</t>
  </si>
  <si>
    <t>1</t>
  </si>
  <si>
    <t>31/08/2026</t>
  </si>
  <si>
    <t>20/09/2026</t>
  </si>
  <si>
    <t>16/09/2026</t>
  </si>
  <si>
    <t>01/08/2026</t>
  </si>
  <si>
    <t>01/07/2026</t>
  </si>
  <si>
    <t>7</t>
  </si>
  <si>
    <t>08/10/2026</t>
  </si>
  <si>
    <t>الأصل</t>
  </si>
  <si>
    <t>موجود</t>
  </si>
  <si>
    <t>التفاصيل</t>
  </si>
  <si>
    <t>التليفون</t>
  </si>
  <si>
    <t>تليفون آخر</t>
  </si>
  <si>
    <t>البريد الإلكتروني</t>
  </si>
  <si>
    <t>عدد العقود (محسوب)</t>
  </si>
  <si>
    <t>عقود سارية (محسوب)</t>
  </si>
  <si>
    <t>إجمالي المسدَّد (محسوب)</t>
  </si>
  <si>
    <t>فرد</t>
  </si>
  <si>
    <t>شركة</t>
  </si>
  <si>
    <t>العميل</t>
  </si>
  <si>
    <t>بداية العقد</t>
  </si>
  <si>
    <t>نهاية العقد</t>
  </si>
  <si>
    <t>الإيجار الشهري (السنة الأولى)</t>
  </si>
  <si>
    <t>الزيادة السنوية %</t>
  </si>
  <si>
    <t>إيجار كل سنة (يدوي)</t>
  </si>
  <si>
    <t>التأمين</t>
  </si>
  <si>
    <t>حالة التأمين</t>
  </si>
  <si>
    <t>يوم الاستحقاق</t>
  </si>
  <si>
    <t>العقد السابق</t>
  </si>
  <si>
    <t>ترتيب الورقة</t>
  </si>
  <si>
    <t>المسدَّد (محسوب)</t>
  </si>
  <si>
    <t>جدول السنوات (محسوب)</t>
  </si>
  <si>
    <t>3:12705</t>
  </si>
  <si>
    <t>بدون تأمين</t>
  </si>
  <si>
    <t>منتهٍ</t>
  </si>
  <si>
    <t>س1 01/06/2023–31/05/2024: 12,705 | س2 01/06/2024–31/05/2025: 12,705 | س3 01/06/2025–31/05/2026: 12,705</t>
  </si>
  <si>
    <t>س1 01/05/2025–30/04/2026: 30,500</t>
  </si>
  <si>
    <t>2:45100; 3:49610</t>
  </si>
  <si>
    <t>ساري</t>
  </si>
  <si>
    <t>س1 20/05/2024–19/05/2025: 41,000 | س2 20/05/2025–19/05/2026: 45,100 | س3 20/05/2026–19/05/2027: 49,610</t>
  </si>
  <si>
    <t>2:41800</t>
  </si>
  <si>
    <t>س1 01/06/2024–31/05/2025: 41,800 | س2 01/06/2025–31/05/2026: 41,800</t>
  </si>
  <si>
    <t>2:83600; 3:91960</t>
  </si>
  <si>
    <t>س1 01/03/2024–28/02/2025: 76,000 | س2 01/03/2025–28/02/2026: 83,600 | س3 01/03/2026–28/02/2027: 91,960</t>
  </si>
  <si>
    <t>3:30250</t>
  </si>
  <si>
    <t>س1 20/08/2023–19/08/2024: 30,250 | س2 20/08/2024–19/08/2025: 30,250 | س3 20/08/2025–19/08/2026: 30,250</t>
  </si>
  <si>
    <t>3:24330</t>
  </si>
  <si>
    <t>س1 01/04/2023–31/03/2024: 24,330 | س2 01/04/2024–31/03/2025: 24,330 | س3 01/04/2025–31/03/2026: 24,330</t>
  </si>
  <si>
    <t>3:42350; 4:46585</t>
  </si>
  <si>
    <t>س1 01/08/2023–31/07/2024: 35,000 | س2 01/08/2024–31/07/2025: 38,500 | س3 01/08/2025–31/07/2026: 42,350 | س4 01/08/2026–31/07/2027: 46,585 | س5 01/08/2027–31/07/2028: 51,244</t>
  </si>
  <si>
    <t>3:25410</t>
  </si>
  <si>
    <t>س1 12/11/2023–11/11/2024: 25,410 | س2 12/11/2024–11/11/2025: 25,410 | س3 12/11/2025–11/11/2026: 25,410</t>
  </si>
  <si>
    <t>3:46585</t>
  </si>
  <si>
    <t>س1 01/11/2023–31/10/2024: 46,585 | س2 01/11/2024–31/10/2025: 46,585 | س3 01/11/2025–31/10/2026: 46,585</t>
  </si>
  <si>
    <t>س1 01/05/2026–30/04/2027: 37,000</t>
  </si>
  <si>
    <t>س1 01/05/2026–30/04/2027: 38,500</t>
  </si>
  <si>
    <t>2:49450</t>
  </si>
  <si>
    <t>س1 01/08/2025–31/07/2026: 43,000 | س2 01/08/2026–31/07/2027: 49,450 | س3 01/08/2027–31/07/2028: 56,867</t>
  </si>
  <si>
    <t>2:25300; 3:27830</t>
  </si>
  <si>
    <t>س1 01/07/2024–30/06/2025: 23,000 | س2 01/07/2025–30/06/2026: 25,300 | س3 01/07/2026–30/06/2027: 27,830</t>
  </si>
  <si>
    <t>2:37665</t>
  </si>
  <si>
    <t>س1 11/01/2025–10/01/2026: 37,665 | س2 11/01/2026–10/01/2027: 37,665</t>
  </si>
  <si>
    <t>س1 01/01/2024–31/12/2024: 30,250 | س2 01/01/2025–31/12/2025: 30,250 | س3 01/01/2026–31/12/2026: 30,250</t>
  </si>
  <si>
    <t>3:19060</t>
  </si>
  <si>
    <t>س1 01/09/2023–31/08/2024: 19,060 | س2 01/09/2024–31/08/2025: 19,060 | س3 01/09/2025–31/08/2026: 19,060</t>
  </si>
  <si>
    <t>3:20570</t>
  </si>
  <si>
    <t>س1 01/10/2023–30/09/2024: 20,570 | س2 01/10/2024–30/09/2025: 20,570 | س3 01/10/2025–30/09/2026: 20,570</t>
  </si>
  <si>
    <t>س1 01/11/2023–31/10/2024: 25,410 | س2 01/11/2024–31/10/2025: 25,410 | س3 01/11/2025–31/10/2026: 25,410</t>
  </si>
  <si>
    <t>2:40700; 3:44770</t>
  </si>
  <si>
    <t>س1 01/08/2024–31/07/2025: 37,000 | س2 01/08/2025–31/07/2026: 40,700 | س3 01/08/2026–31/07/2027: 44,770</t>
  </si>
  <si>
    <t>س1 01/07/2026–30/06/2027: 20,000</t>
  </si>
  <si>
    <t>س1 01/12/2025–30/11/2026: 7,000</t>
  </si>
  <si>
    <t>س1 01/07/2026–30/06/2027: 15,000</t>
  </si>
  <si>
    <t>س1 01/07/2026–30/06/2027: 8,000</t>
  </si>
  <si>
    <t>3:11495</t>
  </si>
  <si>
    <t>س1 01/06/2023–31/05/2024: 11,495 | س2 01/06/2024–31/05/2025: 11,495 | س3 01/06/2025–31/05/2026: 11,495</t>
  </si>
  <si>
    <t>س1 01/09/2025–31/08/2026: 16,500</t>
  </si>
  <si>
    <t>منتهٍ (أُجِّرت بعده)</t>
  </si>
  <si>
    <t>س1 01/07/2025–30/06/2026: 12,500</t>
  </si>
  <si>
    <t>س1 01/07/2026–30/06/2027: 14,500</t>
  </si>
  <si>
    <t>س1 16/11/2025–15/11/2026: 14,000</t>
  </si>
  <si>
    <t>س1 01/09/2025–30/08/2026: 16,500</t>
  </si>
  <si>
    <t>س1 01/05/2026–30/04/2027: 20,000</t>
  </si>
  <si>
    <t>2:19250; 3:21175</t>
  </si>
  <si>
    <t>س1 01/04/2024–31/03/2025: 17,500 | س2 01/04/2025–31/03/2026: 19,250 | س3 01/04/2026–31/03/2027: 21,175</t>
  </si>
  <si>
    <t>س1 20/09/2025–19/09/2026: 17,000</t>
  </si>
  <si>
    <t>س1 16/09/2025–15/09/2026: 17,000</t>
  </si>
  <si>
    <t>س1 01/02/2026–31/01/2027: 19,000</t>
  </si>
  <si>
    <t>3:7565</t>
  </si>
  <si>
    <t>س1 11/02/2023–10/02/2024: 7,565 | س2 11/02/2024–10/02/2025: 7,565 | س3 11/02/2025–10/02/2026: 7,565</t>
  </si>
  <si>
    <t>س1 01/08/2026–31/07/2027: 14,000</t>
  </si>
  <si>
    <t>س1 01/01/2026–31/12/2026: 11,500</t>
  </si>
  <si>
    <t>3:11195</t>
  </si>
  <si>
    <t>س1 01/12/2023–30/11/2024: 11,195 | س2 01/12/2024–30/11/2025: 11,195 | س3 01/12/2025–30/11/2026: 11,195</t>
  </si>
  <si>
    <t>2:12100</t>
  </si>
  <si>
    <t>س1 01/12/2024–30/11/2025: 12,100 | س2 01/12/2025–30/11/2026: 12,100 | س3 01/12/2026–30/11/2027: 12,100</t>
  </si>
  <si>
    <t>2:11000; 3:12100</t>
  </si>
  <si>
    <t>س1 01/06/2024–31/05/2025: 10,000 | س2 01/06/2025–31/05/2026: 11,000 | س3 01/06/2026–31/05/2027: 12,100</t>
  </si>
  <si>
    <t>3:14850</t>
  </si>
  <si>
    <t>س1 16/01/2024–15/01/2025: 14,850 | س2 16/01/2025–15/01/2026: 14,850 | س3 16/01/2026–15/01/2027: 14,850</t>
  </si>
  <si>
    <t>س1 01/06/2026–31/05/2027: 13,500</t>
  </si>
  <si>
    <t>س1 01/03/2026–28/02/2027: 14,000</t>
  </si>
  <si>
    <t>3:14565</t>
  </si>
  <si>
    <t>س1 11/01/2024–10/01/2025: 14,565 | س2 11/01/2025–10/01/2026: 14,565 | س3 11/01/2026–10/01/2027: 14,565</t>
  </si>
  <si>
    <t>س1 01/01/2026–31/12/2026: 16,500</t>
  </si>
  <si>
    <t>س1 01/10/2025–30/09/2026: 18,500</t>
  </si>
  <si>
    <t>س1 01/08/2025–31/07/2026: 15,000</t>
  </si>
  <si>
    <t>س1 01/11/2023–31/10/2024: 11,195 | س2 01/11/2024–31/10/2025: 11,195 | س3 01/11/2025–31/10/2026: 11,195</t>
  </si>
  <si>
    <t>س1 01/09/2025–31/08/2026: 10,000</t>
  </si>
  <si>
    <t>س1 01/07/2026–30/06/2027: 13,000</t>
  </si>
  <si>
    <t>س1 01/06/2026–31/05/2027: 19,000</t>
  </si>
  <si>
    <t>س1 07/06/2026–06/06/2027: 18,000</t>
  </si>
  <si>
    <t>3:9680</t>
  </si>
  <si>
    <t>س1 01/09/2023–31/08/2024: 9,680 | س2 01/09/2024–31/08/2025: 9,680 | س3 01/09/2025–31/08/2026: 9,680</t>
  </si>
  <si>
    <t>س1 01/10/2025–30/09/2026: 19,000</t>
  </si>
  <si>
    <t>س1 01/11/2023–31/10/2024: 11,495 | س2 01/11/2024–31/10/2025: 11,495 | س3 01/11/2025–31/10/2026: 11,495</t>
  </si>
  <si>
    <t>س1 01/11/2025–31/10/2026: 11,000</t>
  </si>
  <si>
    <t>س1 16/07/2026–15/07/2027: 8,775</t>
  </si>
  <si>
    <t>س1 16/07/2026–15/07/2027: 19,000</t>
  </si>
  <si>
    <t>س1 01/05/2026–30/04/2027: 10,500</t>
  </si>
  <si>
    <t>س1 01/07/2025–30/06/2026: 13,000</t>
  </si>
  <si>
    <t>س1 16/10/2025–15/10/2026: 11,000</t>
  </si>
  <si>
    <t>س1 08/10/2025–07/10/2026: 11,000</t>
  </si>
  <si>
    <t>3:10890</t>
  </si>
  <si>
    <t>س1 01/08/2023–31/07/2024: 10,890 | س2 01/08/2024–31/07/2025: 10,890 | س3 01/08/2025–31/07/2026: 10,890</t>
  </si>
  <si>
    <t>س1 01/09/2025–31/08/2026: 13,000</t>
  </si>
  <si>
    <t>س1 01/10/2025–30/09/2026: 13,000</t>
  </si>
  <si>
    <t>رقم الفاتورة</t>
  </si>
  <si>
    <t>الشهر</t>
  </si>
  <si>
    <t>المبلغ</t>
  </si>
  <si>
    <t>تاريخ السداد</t>
  </si>
  <si>
    <t>طريقة السداد</t>
  </si>
  <si>
    <t>مرجع / إيصال</t>
  </si>
  <si>
    <t>المصدر</t>
  </si>
  <si>
    <t>تاريخ التسجيل</t>
  </si>
  <si>
    <t>INV-2026-0001</t>
  </si>
  <si>
    <t>2026-01</t>
  </si>
  <si>
    <t>غير محدد</t>
  </si>
  <si>
    <t>الإكسيل</t>
  </si>
  <si>
    <t>INV-2026-0006</t>
  </si>
  <si>
    <t>INV-2026-0010</t>
  </si>
  <si>
    <t>INV-2026-0018</t>
  </si>
  <si>
    <t>INV-2026-0023</t>
  </si>
  <si>
    <t>INV-2026-0031</t>
  </si>
  <si>
    <t>INV-2026-0039</t>
  </si>
  <si>
    <t>INV-2026-0042</t>
  </si>
  <si>
    <t>INV-2026-0050</t>
  </si>
  <si>
    <t>INV-2026-0058</t>
  </si>
  <si>
    <t>INV-2026-0066</t>
  </si>
  <si>
    <t>INV-2026-0074</t>
  </si>
  <si>
    <t>INV-2026-0082</t>
  </si>
  <si>
    <t>INV-2026-0090</t>
  </si>
  <si>
    <t>INV-2026-0098</t>
  </si>
  <si>
    <t>INV-2026-0106</t>
  </si>
  <si>
    <t>INV-2026-0114</t>
  </si>
  <si>
    <t>INV-2026-0122</t>
  </si>
  <si>
    <t>INV-2026-0130</t>
  </si>
  <si>
    <t>INV-2026-0138</t>
  </si>
  <si>
    <t>INV-2026-0146</t>
  </si>
  <si>
    <t>INV-2026-0154</t>
  </si>
  <si>
    <t>INV-2026-0162</t>
  </si>
  <si>
    <t>INV-2026-0170</t>
  </si>
  <si>
    <t>INV-2026-0178</t>
  </si>
  <si>
    <t>INV-2026-0186</t>
  </si>
  <si>
    <t>INV-2026-0194</t>
  </si>
  <si>
    <t>INV-2026-0202</t>
  </si>
  <si>
    <t>INV-2026-0210</t>
  </si>
  <si>
    <t>INV-2026-0215</t>
  </si>
  <si>
    <t>INV-2026-0223</t>
  </si>
  <si>
    <t>INV-2026-0231</t>
  </si>
  <si>
    <t>INV-2026-0239</t>
  </si>
  <si>
    <t>INV-2026-0251</t>
  </si>
  <si>
    <t>INV-2026-0259</t>
  </si>
  <si>
    <t>INV-2026-0264</t>
  </si>
  <si>
    <t>INV-2026-0279</t>
  </si>
  <si>
    <t>INV-2026-0281</t>
  </si>
  <si>
    <t>INV-2026-0289</t>
  </si>
  <si>
    <t>INV-2026-0297</t>
  </si>
  <si>
    <t>INV-2026-0305</t>
  </si>
  <si>
    <t>INV-2026-0313</t>
  </si>
  <si>
    <t>INV-2026-0321</t>
  </si>
  <si>
    <t>INV-2026-0329</t>
  </si>
  <si>
    <t>INV-2026-0337</t>
  </si>
  <si>
    <t>INV-2026-0345</t>
  </si>
  <si>
    <t>INV-2026-0353</t>
  </si>
  <si>
    <t>INV-2026-0361</t>
  </si>
  <si>
    <t>INV-2026-0368</t>
  </si>
  <si>
    <t>INV-2026-0375</t>
  </si>
  <si>
    <t>INV-2026-0382</t>
  </si>
  <si>
    <t>INV-2026-0390</t>
  </si>
  <si>
    <t>INV-2026-0398</t>
  </si>
  <si>
    <t>INV-2026-0409</t>
  </si>
  <si>
    <t>INV-2026-0417</t>
  </si>
  <si>
    <t>INV-2026-0425</t>
  </si>
  <si>
    <t>INV-2026-0433</t>
  </si>
  <si>
    <t>INV-2026-0441</t>
  </si>
  <si>
    <t>INV-2026-0448</t>
  </si>
  <si>
    <t>INV-2026-0456</t>
  </si>
  <si>
    <t>INV-2026-0460</t>
  </si>
  <si>
    <t>INV-2026-0466</t>
  </si>
  <si>
    <t>INV-2026-0476</t>
  </si>
  <si>
    <t>INV-2026-0483</t>
  </si>
  <si>
    <t>INV-2026-0488</t>
  </si>
  <si>
    <t>INV-2026-0494</t>
  </si>
  <si>
    <t>INV-2026-0502</t>
  </si>
  <si>
    <t>INV-2026-0002</t>
  </si>
  <si>
    <t>2026-02</t>
  </si>
  <si>
    <t>INV-2026-0007</t>
  </si>
  <si>
    <t>INV-2026-0011</t>
  </si>
  <si>
    <t>INV-2026-0019</t>
  </si>
  <si>
    <t>INV-2026-0024</t>
  </si>
  <si>
    <t>INV-2026-0032</t>
  </si>
  <si>
    <t>INV-2026-0040</t>
  </si>
  <si>
    <t>INV-2026-0043</t>
  </si>
  <si>
    <t>INV-2026-0051</t>
  </si>
  <si>
    <t>INV-2026-0059</t>
  </si>
  <si>
    <t>INV-2026-0067</t>
  </si>
  <si>
    <t>INV-2026-0075</t>
  </si>
  <si>
    <t>INV-2026-0083</t>
  </si>
  <si>
    <t>INV-2026-0091</t>
  </si>
  <si>
    <t>INV-2026-0099</t>
  </si>
  <si>
    <t>INV-2026-0107</t>
  </si>
  <si>
    <t>INV-2026-0115</t>
  </si>
  <si>
    <t>INV-2026-0123</t>
  </si>
  <si>
    <t>INV-2026-0131</t>
  </si>
  <si>
    <t>INV-2026-0139</t>
  </si>
  <si>
    <t>INV-2026-0147</t>
  </si>
  <si>
    <t>INV-2026-0155</t>
  </si>
  <si>
    <t>INV-2026-0163</t>
  </si>
  <si>
    <t>INV-2026-0171</t>
  </si>
  <si>
    <t>INV-2026-0179</t>
  </si>
  <si>
    <t>INV-2026-0187</t>
  </si>
  <si>
    <t>INV-2026-0195</t>
  </si>
  <si>
    <t>INV-2026-0203</t>
  </si>
  <si>
    <t>INV-2026-0211</t>
  </si>
  <si>
    <t>INV-2026-0216</t>
  </si>
  <si>
    <t>INV-2026-0224</t>
  </si>
  <si>
    <t>INV-2026-0232</t>
  </si>
  <si>
    <t>INV-2026-0240</t>
  </si>
  <si>
    <t>INV-2026-0252</t>
  </si>
  <si>
    <t>INV-2026-0260</t>
  </si>
  <si>
    <t>INV-2026-0265</t>
  </si>
  <si>
    <t>INV-2026-0272</t>
  </si>
  <si>
    <t>INV-2026-0282</t>
  </si>
  <si>
    <t>INV-2026-0290</t>
  </si>
  <si>
    <t>INV-2026-0298</t>
  </si>
  <si>
    <t>INV-2026-0306</t>
  </si>
  <si>
    <t>INV-2026-0314</t>
  </si>
  <si>
    <t>INV-2026-0322</t>
  </si>
  <si>
    <t>INV-2026-0330</t>
  </si>
  <si>
    <t>INV-2026-0338</t>
  </si>
  <si>
    <t>INV-2026-0346</t>
  </si>
  <si>
    <t>INV-2026-0354</t>
  </si>
  <si>
    <t>INV-2026-0362</t>
  </si>
  <si>
    <t>INV-2026-0369</t>
  </si>
  <si>
    <t>INV-2026-0376</t>
  </si>
  <si>
    <t>INV-2026-0383</t>
  </si>
  <si>
    <t>INV-2026-0391</t>
  </si>
  <si>
    <t>INV-2026-0399</t>
  </si>
  <si>
    <t>INV-2026-0410</t>
  </si>
  <si>
    <t>INV-2026-0418</t>
  </si>
  <si>
    <t>INV-2026-0426</t>
  </si>
  <si>
    <t>INV-2026-0434</t>
  </si>
  <si>
    <t>INV-2026-0442</t>
  </si>
  <si>
    <t>INV-2026-0449</t>
  </si>
  <si>
    <t>INV-2026-0457</t>
  </si>
  <si>
    <t>INV-2026-0461</t>
  </si>
  <si>
    <t>INV-2026-0467</t>
  </si>
  <si>
    <t>INV-2026-0477</t>
  </si>
  <si>
    <t>INV-2026-0484</t>
  </si>
  <si>
    <t>INV-2026-0489</t>
  </si>
  <si>
    <t>INV-2026-0495</t>
  </si>
  <si>
    <t>INV-2026-0503</t>
  </si>
  <si>
    <t>INV-2026-0003</t>
  </si>
  <si>
    <t>2026-03</t>
  </si>
  <si>
    <t>INV-2026-0008</t>
  </si>
  <si>
    <t>INV-2026-0012</t>
  </si>
  <si>
    <t>INV-2026-0020</t>
  </si>
  <si>
    <t>INV-2026-0025</t>
  </si>
  <si>
    <t>INV-2026-0033</t>
  </si>
  <si>
    <t>INV-2026-0041</t>
  </si>
  <si>
    <t>INV-2026-0044</t>
  </si>
  <si>
    <t>INV-2026-0052</t>
  </si>
  <si>
    <t>INV-2026-0060</t>
  </si>
  <si>
    <t>INV-2026-0068</t>
  </si>
  <si>
    <t>INV-2026-0076</t>
  </si>
  <si>
    <t>INV-2026-0084</t>
  </si>
  <si>
    <t>INV-2026-0092</t>
  </si>
  <si>
    <t>INV-2026-0100</t>
  </si>
  <si>
    <t>INV-2026-0108</t>
  </si>
  <si>
    <t>INV-2026-0116</t>
  </si>
  <si>
    <t>INV-2026-0124</t>
  </si>
  <si>
    <t>INV-2026-0132</t>
  </si>
  <si>
    <t>INV-2026-0140</t>
  </si>
  <si>
    <t>INV-2026-0148</t>
  </si>
  <si>
    <t>INV-2026-0156</t>
  </si>
  <si>
    <t>INV-2026-0164</t>
  </si>
  <si>
    <t>INV-2026-0172</t>
  </si>
  <si>
    <t>INV-2026-0180</t>
  </si>
  <si>
    <t>INV-2026-0188</t>
  </si>
  <si>
    <t>INV-2026-0196</t>
  </si>
  <si>
    <t>INV-2026-0204</t>
  </si>
  <si>
    <t>INV-2026-0212</t>
  </si>
  <si>
    <t>INV-2026-0217</t>
  </si>
  <si>
    <t>INV-2026-0225</t>
  </si>
  <si>
    <t>INV-2026-0233</t>
  </si>
  <si>
    <t>INV-2026-0241</t>
  </si>
  <si>
    <t>INV-2026-0253</t>
  </si>
  <si>
    <t>INV-2026-0261</t>
  </si>
  <si>
    <t>INV-2026-0266</t>
  </si>
  <si>
    <t>INV-2026-0273</t>
  </si>
  <si>
    <t>INV-2026-0283</t>
  </si>
  <si>
    <t>INV-2026-0291</t>
  </si>
  <si>
    <t>INV-2026-0299</t>
  </si>
  <si>
    <t>INV-2026-0307</t>
  </si>
  <si>
    <t>INV-2026-0315</t>
  </si>
  <si>
    <t>INV-2026-0323</t>
  </si>
  <si>
    <t>INV-2026-0331</t>
  </si>
  <si>
    <t>INV-2026-0339</t>
  </si>
  <si>
    <t>INV-2026-0347</t>
  </si>
  <si>
    <t>INV-2026-0355</t>
  </si>
  <si>
    <t>INV-2026-0363</t>
  </si>
  <si>
    <t>INV-2026-0370</t>
  </si>
  <si>
    <t>INV-2026-0377</t>
  </si>
  <si>
    <t>INV-2026-0384</t>
  </si>
  <si>
    <t>INV-2026-0392</t>
  </si>
  <si>
    <t>INV-2026-0400</t>
  </si>
  <si>
    <t>INV-2026-0411</t>
  </si>
  <si>
    <t>INV-2026-0419</t>
  </si>
  <si>
    <t>INV-2026-0427</t>
  </si>
  <si>
    <t>INV-2026-0435</t>
  </si>
  <si>
    <t>INV-2026-0443</t>
  </si>
  <si>
    <t>INV-2026-0450</t>
  </si>
  <si>
    <t>INV-2026-0458</t>
  </si>
  <si>
    <t>INV-2026-0462</t>
  </si>
  <si>
    <t>INV-2026-0468</t>
  </si>
  <si>
    <t>INV-2026-0478</t>
  </si>
  <si>
    <t>INV-2026-0485</t>
  </si>
  <si>
    <t>INV-2026-0490</t>
  </si>
  <si>
    <t>INV-2026-0496</t>
  </si>
  <si>
    <t>INV-2026-0504</t>
  </si>
  <si>
    <t>INV-2026-0004</t>
  </si>
  <si>
    <t>2026-04</t>
  </si>
  <si>
    <t>INV-2026-0009</t>
  </si>
  <si>
    <t>INV-2026-0013</t>
  </si>
  <si>
    <t>INV-2026-0021</t>
  </si>
  <si>
    <t>INV-2026-0026</t>
  </si>
  <si>
    <t>INV-2026-0034</t>
  </si>
  <si>
    <t>INV-2026-0045</t>
  </si>
  <si>
    <t>INV-2026-0053</t>
  </si>
  <si>
    <t>INV-2026-0061</t>
  </si>
  <si>
    <t>INV-2026-0069</t>
  </si>
  <si>
    <t>INV-2026-0077</t>
  </si>
  <si>
    <t>INV-2026-0085</t>
  </si>
  <si>
    <t>INV-2026-0093</t>
  </si>
  <si>
    <t>INV-2026-0101</t>
  </si>
  <si>
    <t>INV-2026-0109</t>
  </si>
  <si>
    <t>INV-2026-0117</t>
  </si>
  <si>
    <t>INV-2026-0125</t>
  </si>
  <si>
    <t>INV-2026-0133</t>
  </si>
  <si>
    <t>INV-2026-0141</t>
  </si>
  <si>
    <t>INV-2026-0149</t>
  </si>
  <si>
    <t>INV-2026-0157</t>
  </si>
  <si>
    <t>INV-2026-0165</t>
  </si>
  <si>
    <t>INV-2026-0173</t>
  </si>
  <si>
    <t>INV-2026-0181</t>
  </si>
  <si>
    <t>INV-2026-0189</t>
  </si>
  <si>
    <t>INV-2026-0197</t>
  </si>
  <si>
    <t>INV-2026-0205</t>
  </si>
  <si>
    <t>INV-2026-0213</t>
  </si>
  <si>
    <t>INV-2026-0218</t>
  </si>
  <si>
    <t>INV-2026-0226</t>
  </si>
  <si>
    <t>INV-2026-0234</t>
  </si>
  <si>
    <t>INV-2026-0242</t>
  </si>
  <si>
    <t>INV-2026-0254</t>
  </si>
  <si>
    <t>INV-2026-0262</t>
  </si>
  <si>
    <t>INV-2026-0267</t>
  </si>
  <si>
    <t>INV-2026-0274</t>
  </si>
  <si>
    <t>INV-2026-0284</t>
  </si>
  <si>
    <t>INV-2026-0292</t>
  </si>
  <si>
    <t>INV-2026-0300</t>
  </si>
  <si>
    <t>INV-2026-0308</t>
  </si>
  <si>
    <t>INV-2026-0316</t>
  </si>
  <si>
    <t>INV-2026-0324</t>
  </si>
  <si>
    <t>INV-2026-0332</t>
  </si>
  <si>
    <t>INV-2026-0340</t>
  </si>
  <si>
    <t>INV-2026-0348</t>
  </si>
  <si>
    <t>INV-2026-0356</t>
  </si>
  <si>
    <t>INV-2026-0364</t>
  </si>
  <si>
    <t>INV-2026-0371</t>
  </si>
  <si>
    <t>INV-2026-0378</t>
  </si>
  <si>
    <t>INV-2026-0385</t>
  </si>
  <si>
    <t>INV-2026-0393</t>
  </si>
  <si>
    <t>INV-2026-0401</t>
  </si>
  <si>
    <t>INV-2026-0412</t>
  </si>
  <si>
    <t>INV-2026-0420</t>
  </si>
  <si>
    <t>INV-2026-0428</t>
  </si>
  <si>
    <t>INV-2026-0436</t>
  </si>
  <si>
    <t>INV-2026-0444</t>
  </si>
  <si>
    <t>INV-2026-0451</t>
  </si>
  <si>
    <t>INV-2026-0459</t>
  </si>
  <si>
    <t>INV-2026-0463</t>
  </si>
  <si>
    <t>INV-2026-0469</t>
  </si>
  <si>
    <t>INV-2026-0479</t>
  </si>
  <si>
    <t>INV-2026-0486</t>
  </si>
  <si>
    <t>INV-2026-0491</t>
  </si>
  <si>
    <t>INV-2026-0497</t>
  </si>
  <si>
    <t>INV-2026-0505</t>
  </si>
  <si>
    <t>INV-2026-0005</t>
  </si>
  <si>
    <t>2026-05</t>
  </si>
  <si>
    <t>INV-2026-0014</t>
  </si>
  <si>
    <t>INV-2026-0022</t>
  </si>
  <si>
    <t>INV-2026-0027</t>
  </si>
  <si>
    <t>INV-2026-0035</t>
  </si>
  <si>
    <t>INV-2026-0046</t>
  </si>
  <si>
    <t>INV-2026-0054</t>
  </si>
  <si>
    <t>INV-2026-0062</t>
  </si>
  <si>
    <t>INV-2026-0070</t>
  </si>
  <si>
    <t>INV-2026-0078</t>
  </si>
  <si>
    <t>INV-2026-0086</t>
  </si>
  <si>
    <t>INV-2026-0094</t>
  </si>
  <si>
    <t>INV-2026-0102</t>
  </si>
  <si>
    <t>INV-2026-0110</t>
  </si>
  <si>
    <t>INV-2026-0118</t>
  </si>
  <si>
    <t>INV-2026-0126</t>
  </si>
  <si>
    <t>INV-2026-0134</t>
  </si>
  <si>
    <t>INV-2026-0142</t>
  </si>
  <si>
    <t>INV-2026-0150</t>
  </si>
  <si>
    <t>INV-2026-0158</t>
  </si>
  <si>
    <t>INV-2026-0166</t>
  </si>
  <si>
    <t>INV-2026-0174</t>
  </si>
  <si>
    <t>INV-2026-0182</t>
  </si>
  <si>
    <t>INV-2026-0190</t>
  </si>
  <si>
    <t>INV-2026-0198</t>
  </si>
  <si>
    <t>INV-2026-0206</t>
  </si>
  <si>
    <t>INV-2026-0214</t>
  </si>
  <si>
    <t>INV-2026-0219</t>
  </si>
  <si>
    <t>INV-2026-0227</t>
  </si>
  <si>
    <t>INV-2026-0235</t>
  </si>
  <si>
    <t>INV-2026-0243</t>
  </si>
  <si>
    <t>INV-2026-0247</t>
  </si>
  <si>
    <t>INV-2026-0255</t>
  </si>
  <si>
    <t>INV-2026-0263</t>
  </si>
  <si>
    <t>INV-2026-0268</t>
  </si>
  <si>
    <t>INV-2026-0275</t>
  </si>
  <si>
    <t>INV-2026-0285</t>
  </si>
  <si>
    <t>INV-2026-0293</t>
  </si>
  <si>
    <t>INV-2026-0301</t>
  </si>
  <si>
    <t>INV-2026-0309</t>
  </si>
  <si>
    <t>INV-2026-0317</t>
  </si>
  <si>
    <t>INV-2026-0325</t>
  </si>
  <si>
    <t>INV-2026-0333</t>
  </si>
  <si>
    <t>INV-2026-0341</t>
  </si>
  <si>
    <t>INV-2026-0349</t>
  </si>
  <si>
    <t>INV-2026-0357</t>
  </si>
  <si>
    <t>INV-2026-0365</t>
  </si>
  <si>
    <t>INV-2026-0372</t>
  </si>
  <si>
    <t>INV-2026-0379</t>
  </si>
  <si>
    <t>INV-2026-0386</t>
  </si>
  <si>
    <t>INV-2026-0394</t>
  </si>
  <si>
    <t>INV-2026-0402</t>
  </si>
  <si>
    <t>INV-2026-0413</t>
  </si>
  <si>
    <t>INV-2026-0421</t>
  </si>
  <si>
    <t>INV-2026-0429</t>
  </si>
  <si>
    <t>INV-2026-0437</t>
  </si>
  <si>
    <t>INV-2026-0445</t>
  </si>
  <si>
    <t>INV-2026-0452</t>
  </si>
  <si>
    <t>INV-2026-0464</t>
  </si>
  <si>
    <t>INV-2026-0470</t>
  </si>
  <si>
    <t>INV-2026-0480</t>
  </si>
  <si>
    <t>INV-2026-0487</t>
  </si>
  <si>
    <t>INV-2026-0492</t>
  </si>
  <si>
    <t>INV-2026-0498</t>
  </si>
  <si>
    <t>INV-2026-0506</t>
  </si>
  <si>
    <t>INV-2026-0015</t>
  </si>
  <si>
    <t>2026-06</t>
  </si>
  <si>
    <t>INV-2026-0028</t>
  </si>
  <si>
    <t>INV-2026-0036</t>
  </si>
  <si>
    <t>INV-2026-0047</t>
  </si>
  <si>
    <t>INV-2026-0055</t>
  </si>
  <si>
    <t>INV-2026-0063</t>
  </si>
  <si>
    <t>INV-2026-0071</t>
  </si>
  <si>
    <t>INV-2026-0079</t>
  </si>
  <si>
    <t>INV-2026-0087</t>
  </si>
  <si>
    <t>INV-2026-0095</t>
  </si>
  <si>
    <t>INV-2026-0103</t>
  </si>
  <si>
    <t>INV-2026-0111</t>
  </si>
  <si>
    <t>INV-2026-0119</t>
  </si>
  <si>
    <t>INV-2026-0127</t>
  </si>
  <si>
    <t>INV-2026-0135</t>
  </si>
  <si>
    <t>INV-2026-0143</t>
  </si>
  <si>
    <t>INV-2026-0151</t>
  </si>
  <si>
    <t>INV-2026-0159</t>
  </si>
  <si>
    <t>INV-2026-0167</t>
  </si>
  <si>
    <t>INV-2026-0175</t>
  </si>
  <si>
    <t>INV-2026-0183</t>
  </si>
  <si>
    <t>INV-2026-0191</t>
  </si>
  <si>
    <t>INV-2026-0199</t>
  </si>
  <si>
    <t>INV-2026-0207</t>
  </si>
  <si>
    <t>INV-2026-0220</t>
  </si>
  <si>
    <t>INV-2026-0228</t>
  </si>
  <si>
    <t>INV-2026-0236</t>
  </si>
  <si>
    <t>INV-2026-0244</t>
  </si>
  <si>
    <t>INV-2026-0248</t>
  </si>
  <si>
    <t>INV-2026-0256</t>
  </si>
  <si>
    <t>INV-2026-0269</t>
  </si>
  <si>
    <t>INV-2026-0276</t>
  </si>
  <si>
    <t>INV-2026-0286</t>
  </si>
  <si>
    <t>INV-2026-0294</t>
  </si>
  <si>
    <t>INV-2026-0302</t>
  </si>
  <si>
    <t>INV-2026-0310</t>
  </si>
  <si>
    <t>INV-2026-0318</t>
  </si>
  <si>
    <t>INV-2026-0326</t>
  </si>
  <si>
    <t>INV-2026-0334</t>
  </si>
  <si>
    <t>INV-2026-0342</t>
  </si>
  <si>
    <t>INV-2026-0350</t>
  </si>
  <si>
    <t>INV-2026-0358</t>
  </si>
  <si>
    <t>INV-2026-0366</t>
  </si>
  <si>
    <t>INV-2026-0373</t>
  </si>
  <si>
    <t>INV-2026-0380</t>
  </si>
  <si>
    <t>INV-2026-0387</t>
  </si>
  <si>
    <t>INV-2026-0395</t>
  </si>
  <si>
    <t>INV-2026-0403</t>
  </si>
  <si>
    <t>INV-2026-0406</t>
  </si>
  <si>
    <t>INV-2026-0414</t>
  </si>
  <si>
    <t>INV-2026-0422</t>
  </si>
  <si>
    <t>INV-2026-0430</t>
  </si>
  <si>
    <t>INV-2026-0438</t>
  </si>
  <si>
    <t>INV-2026-0446</t>
  </si>
  <si>
    <t>INV-2026-0453</t>
  </si>
  <si>
    <t>INV-2026-0465</t>
  </si>
  <si>
    <t>INV-2026-0471</t>
  </si>
  <si>
    <t>INV-2026-0481</t>
  </si>
  <si>
    <t>INV-2026-0493</t>
  </si>
  <si>
    <t>INV-2026-0499</t>
  </si>
  <si>
    <t>INV-2026-0507</t>
  </si>
  <si>
    <t>INV-2026-0016</t>
  </si>
  <si>
    <t>2026-07</t>
  </si>
  <si>
    <t>INV-2026-0029</t>
  </si>
  <si>
    <t>INV-2026-0037</t>
  </si>
  <si>
    <t>INV-2026-0048</t>
  </si>
  <si>
    <t>INV-2026-0056</t>
  </si>
  <si>
    <t>INV-2026-0064</t>
  </si>
  <si>
    <t>INV-2026-0072</t>
  </si>
  <si>
    <t>INV-2026-0080</t>
  </si>
  <si>
    <t>INV-2026-0088</t>
  </si>
  <si>
    <t>INV-2026-0096</t>
  </si>
  <si>
    <t>INV-2026-0104</t>
  </si>
  <si>
    <t>INV-2026-0112</t>
  </si>
  <si>
    <t>INV-2026-0120</t>
  </si>
  <si>
    <t>INV-2026-0128</t>
  </si>
  <si>
    <t>INV-2026-0136</t>
  </si>
  <si>
    <t>INV-2026-0144</t>
  </si>
  <si>
    <t>INV-2026-0152</t>
  </si>
  <si>
    <t>INV-2026-0160</t>
  </si>
  <si>
    <t>INV-2026-0168</t>
  </si>
  <si>
    <t>INV-2026-0176</t>
  </si>
  <si>
    <t>INV-2026-0184</t>
  </si>
  <si>
    <t>INV-2026-0192</t>
  </si>
  <si>
    <t>INV-2026-0200</t>
  </si>
  <si>
    <t>INV-2026-0208</t>
  </si>
  <si>
    <t>INV-2026-0221</t>
  </si>
  <si>
    <t>INV-2026-0229</t>
  </si>
  <si>
    <t>INV-2026-0237</t>
  </si>
  <si>
    <t>INV-2026-0245</t>
  </si>
  <si>
    <t>INV-2026-0249</t>
  </si>
  <si>
    <t>INV-2026-0257</t>
  </si>
  <si>
    <t>INV-2026-0270</t>
  </si>
  <si>
    <t>INV-2026-0277</t>
  </si>
  <si>
    <t>INV-2026-0287</t>
  </si>
  <si>
    <t>INV-2026-0295</t>
  </si>
  <si>
    <t>INV-2026-0303</t>
  </si>
  <si>
    <t>INV-2026-0311</t>
  </si>
  <si>
    <t>INV-2026-0319</t>
  </si>
  <si>
    <t>INV-2026-0327</t>
  </si>
  <si>
    <t>INV-2026-0335</t>
  </si>
  <si>
    <t>INV-2026-0343</t>
  </si>
  <si>
    <t>INV-2026-0351</t>
  </si>
  <si>
    <t>INV-2026-0359</t>
  </si>
  <si>
    <t>INV-2026-0367</t>
  </si>
  <si>
    <t>INV-2026-0374</t>
  </si>
  <si>
    <t>INV-2026-0381</t>
  </si>
  <si>
    <t>INV-2026-0388</t>
  </si>
  <si>
    <t>INV-2026-0396</t>
  </si>
  <si>
    <t>INV-2026-0404</t>
  </si>
  <si>
    <t>INV-2026-0407</t>
  </si>
  <si>
    <t>INV-2026-0415</t>
  </si>
  <si>
    <t>INV-2026-0423</t>
  </si>
  <si>
    <t>INV-2026-0431</t>
  </si>
  <si>
    <t>INV-2026-0439</t>
  </si>
  <si>
    <t>INV-2026-0447</t>
  </si>
  <si>
    <t>INV-2026-0454</t>
  </si>
  <si>
    <t>INV-2026-0472</t>
  </si>
  <si>
    <t>INV-2026-0474</t>
  </si>
  <si>
    <t>INV-2026-0482</t>
  </si>
  <si>
    <t>INV-2026-0500</t>
  </si>
  <si>
    <t>INV-2026-0508</t>
  </si>
  <si>
    <t>INV-2026-0017</t>
  </si>
  <si>
    <t>2026-08</t>
  </si>
  <si>
    <t>INV-2026-0030</t>
  </si>
  <si>
    <t>INV-2026-0038</t>
  </si>
  <si>
    <t>INV-2026-0049</t>
  </si>
  <si>
    <t>INV-2026-0057</t>
  </si>
  <si>
    <t>INV-2026-0065</t>
  </si>
  <si>
    <t>INV-2026-0073</t>
  </si>
  <si>
    <t>INV-2026-0081</t>
  </si>
  <si>
    <t>INV-2026-0089</t>
  </si>
  <si>
    <t>INV-2026-0097</t>
  </si>
  <si>
    <t>INV-2026-0105</t>
  </si>
  <si>
    <t>INV-2026-0113</t>
  </si>
  <si>
    <t>INV-2026-0121</t>
  </si>
  <si>
    <t>INV-2026-0129</t>
  </si>
  <si>
    <t>INV-2026-0137</t>
  </si>
  <si>
    <t>INV-2026-0145</t>
  </si>
  <si>
    <t>INV-2026-0153</t>
  </si>
  <si>
    <t>INV-2026-0161</t>
  </si>
  <si>
    <t>INV-2026-0169</t>
  </si>
  <si>
    <t>INV-2026-0177</t>
  </si>
  <si>
    <t>INV-2026-0185</t>
  </si>
  <si>
    <t>INV-2026-0193</t>
  </si>
  <si>
    <t>INV-2026-0201</t>
  </si>
  <si>
    <t>INV-2026-0209</t>
  </si>
  <si>
    <t>INV-2026-0222</t>
  </si>
  <si>
    <t>INV-2026-0230</t>
  </si>
  <si>
    <t>INV-2026-0238</t>
  </si>
  <si>
    <t>INV-2026-0246</t>
  </si>
  <si>
    <t>INV-2026-0250</t>
  </si>
  <si>
    <t>INV-2026-0258</t>
  </si>
  <si>
    <t>INV-2026-0271</t>
  </si>
  <si>
    <t>INV-2026-0278</t>
  </si>
  <si>
    <t>INV-2026-0280</t>
  </si>
  <si>
    <t>INV-2026-0288</t>
  </si>
  <si>
    <t>INV-2026-0296</t>
  </si>
  <si>
    <t>INV-2026-0304</t>
  </si>
  <si>
    <t>INV-2026-0312</t>
  </si>
  <si>
    <t>INV-2026-0320</t>
  </si>
  <si>
    <t>INV-2026-0328</t>
  </si>
  <si>
    <t>INV-2026-0336</t>
  </si>
  <si>
    <t>INV-2026-0344</t>
  </si>
  <si>
    <t>INV-2026-0352</t>
  </si>
  <si>
    <t>INV-2026-0360</t>
  </si>
  <si>
    <t>INV-2026-0389</t>
  </si>
  <si>
    <t>INV-2026-0397</t>
  </si>
  <si>
    <t>INV-2026-0405</t>
  </si>
  <si>
    <t>INV-2026-0408</t>
  </si>
  <si>
    <t>INV-2026-0416</t>
  </si>
  <si>
    <t>INV-2026-0424</t>
  </si>
  <si>
    <t>INV-2026-0432</t>
  </si>
  <si>
    <t>INV-2026-0440</t>
  </si>
  <si>
    <t>INV-2026-0455</t>
  </si>
  <si>
    <t>INV-2026-0473</t>
  </si>
  <si>
    <t>INV-2026-0475</t>
  </si>
  <si>
    <t>INV-2026-0501</t>
  </si>
  <si>
    <t>INV-2026-0509</t>
  </si>
  <si>
    <t>كود الصيانة</t>
  </si>
  <si>
    <t>التاريخ</t>
  </si>
  <si>
    <t>الوصف</t>
  </si>
  <si>
    <t>التكلفة</t>
  </si>
  <si>
    <t>يتحملها</t>
  </si>
  <si>
    <t>الحالة</t>
  </si>
  <si>
    <t>تاريخ الإغلاق</t>
  </si>
  <si>
    <t>المستأجر وقتها (محسوب)</t>
  </si>
  <si>
    <t>العقد وقتها (محسوب)</t>
  </si>
  <si>
    <t>الإعداد</t>
  </si>
  <si>
    <t>القيمة</t>
  </si>
  <si>
    <t>الشرح</t>
  </si>
  <si>
    <t>اسم المكتب</t>
  </si>
  <si>
    <t>يظهر أعلى الورقة والموقع</t>
  </si>
  <si>
    <t>أيام السماح بعد الاستحقاق</t>
  </si>
  <si>
    <t>بعدها يُعتبر الشهر متأخرًا</t>
  </si>
  <si>
    <t>يوم الاستحقاق الافتراضي</t>
  </si>
  <si>
    <t>يوم الشهر الذي يستحق فيه الإيجار ما لم يحدد العقد غيره</t>
  </si>
  <si>
    <t>عتبة الشغور الطويل (شهور)</t>
  </si>
  <si>
    <t>الوحدة الشاغرة أطول من ذلك تظهر كتنبيه</t>
  </si>
  <si>
    <t>بداية المحاسبة (سنة-شهر)</t>
  </si>
  <si>
    <t>الشهور قبله لا تُحاسَب (بداية الورقة)</t>
  </si>
  <si>
    <t>الزيادة السنوية الافتراضية %</t>
  </si>
  <si>
    <t>تُقترح عند إنشاء عقد جديد</t>
  </si>
  <si>
    <t>سنوات الورقة</t>
  </si>
  <si>
    <t>أوراق السنوات الموجودة (تُضاف تلقائيًا)</t>
  </si>
  <si>
    <t>بادئة رقم الفاتورة</t>
  </si>
  <si>
    <t>INV</t>
  </si>
  <si>
    <t>مثل INV-2026-0001</t>
  </si>
  <si>
    <t>العملة</t>
  </si>
  <si>
    <t>ج</t>
  </si>
  <si>
    <t>رمز العملة في العرض</t>
  </si>
  <si>
    <t>آخر كتابة من الموقع</t>
  </si>
  <si>
    <t>2026-10-09 14:16:05</t>
  </si>
  <si>
    <t>إصدار البنية</t>
  </si>
  <si>
    <t>الوقت</t>
  </si>
  <si>
    <t>العملية</t>
  </si>
  <si>
    <t>الكيان</t>
  </si>
  <si>
    <t>الكود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</si>
</sst>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color rgb="FF1F4E78"/>
      <sz val="12"/>
    </font>
    <font>
      <b/>
      <sz val="14"/>
    </font>
    <font>
      <b/>
      <color rgb="FFFFFFFF"/>
      <sz val="11"/>
    </font>
    <font>
      <b/>
    </font>
    <font>
      <color rgb="FF7F7F7F"/>
      <sz val="9"/>
    </font>
    <font>
      <color rgb="FF595959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164" fontId="0" fillId="3" borderId="2" xfId="0" applyNumberFormat="1" applyFill="1" applyBorder="1"/>
    <xf numFmtId="49" fontId="0" fillId="3" borderId="2" xfId="0" applyNumberFormat="1" applyFill="1" applyBorder="1"/>
    <xf numFmtId="4" fontId="0" fillId="3" borderId="2" xfId="0" applyNumberFormat="1" applyFill="1" applyBorder="1"/>
    <xf numFmtId="4" fontId="4" fillId="3" borderId="2" xfId="0" applyNumberFormat="1" applyFont="1" applyFill="1" applyBorder="1"/>
    <xf numFmtId="0" fontId="5" fillId="3" borderId="2" xfId="0" applyFont="1" applyFill="1" applyBorder="1"/>
    <xf numFmtId="0" fontId="0" fillId="4" borderId="2" xfId="0" applyFill="1" applyBorder="1"/>
    <xf numFmtId="164" fontId="0" fillId="4" borderId="2" xfId="0" applyNumberFormat="1" applyFill="1" applyBorder="1"/>
    <xf numFmtId="49" fontId="0" fillId="4" borderId="2" xfId="0" applyNumberFormat="1" applyFill="1" applyBorder="1"/>
    <xf numFmtId="4" fontId="0" fillId="4" borderId="2" xfId="0" applyNumberFormat="1" applyFill="1" applyBorder="1"/>
    <xf numFmtId="4" fontId="4" fillId="4" borderId="2" xfId="0" applyNumberFormat="1" applyFont="1" applyFill="1" applyBorder="1"/>
    <xf numFmtId="0" fontId="5" fillId="4" borderId="2" xfId="0" applyFont="1" applyFill="1" applyBorder="1"/>
    <xf numFmtId="0" fontId="0" fillId="5" borderId="2" xfId="0" applyFill="1" applyBorder="1"/>
    <xf numFmtId="164" fontId="0" fillId="5" borderId="2" xfId="0" applyNumberFormat="1" applyFill="1" applyBorder="1"/>
    <xf numFmtId="49" fontId="0" fillId="5" borderId="2" xfId="0" applyNumberFormat="1" applyFill="1" applyBorder="1"/>
    <xf numFmtId="4" fontId="0" fillId="5" borderId="2" xfId="0" applyNumberFormat="1" applyFill="1" applyBorder="1"/>
    <xf numFmtId="4" fontId="4" fillId="5" borderId="2" xfId="0" applyNumberFormat="1" applyFont="1" applyFill="1" applyBorder="1"/>
    <xf numFmtId="0" fontId="5" fillId="5" borderId="2" xfId="0" applyFont="1" applyFill="1" applyBorder="1"/>
    <xf numFmtId="0" fontId="0" fillId="6" borderId="0" xfId="0" applyFill="1"/>
    <xf numFmtId="0" fontId="4" fillId="6" borderId="0" xfId="0" applyFont="1" applyFill="1"/>
    <xf numFmtId="4" fontId="4" fillId="6" borderId="0" xfId="0" applyNumberFormat="1" applyFont="1" applyFill="1"/>
    <xf numFmtId="4" fontId="0" fillId="0" borderId="0" xfId="0" applyNumberFormat="1"/>
    <xf numFmtId="9" fontId="0" fillId="0" borderId="0" xfId="0" applyNumberFormat="1"/>
    <xf numFmtId="3" fontId="0" fillId="0" borderId="0" xfId="0" applyNumberFormat="1"/>
    <xf numFmtId="3" fontId="4" fillId="6" borderId="0" xfId="0" applyNumberFormat="1" applyFont="1" applyFill="1"/>
    <xf numFmtId="164" fontId="0" fillId="0" borderId="0" xfId="0" applyNumberFormat="1"/>
    <xf numFmtId="0" fontId="6" fillId="7" borderId="0" xfId="0" applyFont="1" applyFill="1"/>
    <xf numFmtId="4" fontId="6" fillId="7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6"/>
  <sheetViews>
    <sheetView workbookViewId="0" rightToLeft="1">
      <pane xSplit="5" ySplit="2" topLeftCell="F3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4" customWidth="1"/>
    <col min="4" max="4" width="30" customWidth="1"/>
    <col min="5" max="5" width="12" customWidth="1"/>
    <col min="6" max="6" width="26" customWidth="1"/>
    <col min="7" max="8" width="12" customWidth="1"/>
    <col min="9" max="9" width="13" customWidth="1"/>
    <col min="10" max="10" width="18" customWidth="1"/>
    <col min="11" max="22" width="11" customWidth="1"/>
    <col min="23" max="23" width="14" customWidth="1"/>
    <col min="24" max="24" width="40" customWidth="1"/>
    <col min="25" max="25" width="11" customWidth="1"/>
    <col min="26" max="26" width="12" customWidth="1"/>
    <col min="27" max="27" width="11" customWidth="1"/>
    <col min="28" max="28" width="12" customWidth="1"/>
  </cols>
  <sheetData>
    <row r="1" spans="1:22" x14ac:dyDescent="0.25">
      <c r="A1" s="1" t="s">
        <v>0</v>
      </c>
      <c r="K1" s="2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8" customHeight="1" spans="1:28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</row>
    <row r="3" spans="1:28" x14ac:dyDescent="0.25">
      <c r="A3" s="4">
        <v>1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5">
        <v>45078</v>
      </c>
      <c r="H3" s="5">
        <v>46173</v>
      </c>
      <c r="I3" s="6" t="s">
        <v>35</v>
      </c>
      <c r="J3" s="6" t="s">
        <v>36</v>
      </c>
      <c r="K3" s="7">
        <v>12705</v>
      </c>
      <c r="L3" s="7">
        <v>12705</v>
      </c>
      <c r="M3" s="7">
        <v>12705</v>
      </c>
      <c r="N3" s="7">
        <v>12705</v>
      </c>
      <c r="O3" s="7">
        <v>12705</v>
      </c>
      <c r="P3" s="7"/>
      <c r="Q3" s="7"/>
      <c r="R3" s="7"/>
      <c r="S3" s="7"/>
      <c r="T3" s="7"/>
      <c r="U3" s="7"/>
      <c r="V3" s="7"/>
      <c r="W3" s="8">
        <f>SUM(K3:V3)</f>
      </c>
      <c r="X3" s="4" t="s">
        <v>35</v>
      </c>
      <c r="Y3" s="9" t="s">
        <v>37</v>
      </c>
      <c r="Z3" s="9" t="s">
        <v>38</v>
      </c>
      <c r="AA3" s="9" t="s">
        <v>39</v>
      </c>
      <c r="AB3" s="9" t="s">
        <v>40</v>
      </c>
    </row>
    <row r="4" spans="1:28" x14ac:dyDescent="0.25">
      <c r="A4" s="4">
        <v>2</v>
      </c>
      <c r="B4" s="4" t="s">
        <v>30</v>
      </c>
      <c r="C4" s="4" t="s">
        <v>41</v>
      </c>
      <c r="D4" s="4" t="s">
        <v>42</v>
      </c>
      <c r="E4" s="4" t="s">
        <v>33</v>
      </c>
      <c r="F4" s="4" t="s">
        <v>34</v>
      </c>
      <c r="G4" s="5">
        <v>45778</v>
      </c>
      <c r="H4" s="5">
        <v>46142</v>
      </c>
      <c r="I4" s="6" t="s">
        <v>35</v>
      </c>
      <c r="J4" s="6" t="s">
        <v>43</v>
      </c>
      <c r="K4" s="7">
        <v>30500</v>
      </c>
      <c r="L4" s="7">
        <v>30500</v>
      </c>
      <c r="M4" s="7">
        <v>30500</v>
      </c>
      <c r="N4" s="7">
        <v>30500</v>
      </c>
      <c r="O4" s="7"/>
      <c r="P4" s="7"/>
      <c r="Q4" s="7"/>
      <c r="R4" s="7"/>
      <c r="S4" s="7"/>
      <c r="T4" s="7"/>
      <c r="U4" s="7"/>
      <c r="V4" s="7"/>
      <c r="W4" s="8">
        <f>SUM(K4:V4)</f>
      </c>
      <c r="X4" s="4" t="s">
        <v>35</v>
      </c>
      <c r="Y4" s="9" t="s">
        <v>44</v>
      </c>
      <c r="Z4" s="9" t="s">
        <v>45</v>
      </c>
      <c r="AA4" s="9" t="s">
        <v>46</v>
      </c>
      <c r="AB4" s="9" t="s">
        <v>40</v>
      </c>
    </row>
    <row r="5" spans="1:28" x14ac:dyDescent="0.25">
      <c r="A5" s="4">
        <v>3</v>
      </c>
      <c r="B5" s="4" t="s">
        <v>30</v>
      </c>
      <c r="C5" s="4" t="s">
        <v>47</v>
      </c>
      <c r="D5" s="4" t="s">
        <v>48</v>
      </c>
      <c r="E5" s="4" t="s">
        <v>49</v>
      </c>
      <c r="F5" s="4" t="s">
        <v>34</v>
      </c>
      <c r="G5" s="5">
        <v>45432</v>
      </c>
      <c r="H5" s="5">
        <v>46526</v>
      </c>
      <c r="I5" s="6" t="s">
        <v>50</v>
      </c>
      <c r="J5" s="6" t="s">
        <v>51</v>
      </c>
      <c r="K5" s="7">
        <v>45100</v>
      </c>
      <c r="L5" s="7">
        <v>45100</v>
      </c>
      <c r="M5" s="7">
        <v>45100</v>
      </c>
      <c r="N5" s="7">
        <v>45100</v>
      </c>
      <c r="O5" s="7">
        <v>46603</v>
      </c>
      <c r="P5" s="7">
        <v>49610</v>
      </c>
      <c r="Q5" s="7">
        <v>49610</v>
      </c>
      <c r="R5" s="7">
        <v>49610</v>
      </c>
      <c r="S5" s="7"/>
      <c r="T5" s="7"/>
      <c r="U5" s="7"/>
      <c r="V5" s="7"/>
      <c r="W5" s="8">
        <f>SUM(K5:V5)</f>
      </c>
      <c r="X5" s="4" t="s">
        <v>35</v>
      </c>
      <c r="Y5" s="9" t="s">
        <v>52</v>
      </c>
      <c r="Z5" s="9" t="s">
        <v>53</v>
      </c>
      <c r="AA5" s="9" t="s">
        <v>54</v>
      </c>
      <c r="AB5" s="9" t="s">
        <v>40</v>
      </c>
    </row>
    <row r="6" spans="1:28" x14ac:dyDescent="0.25">
      <c r="A6" s="4">
        <v>4</v>
      </c>
      <c r="B6" s="4" t="s">
        <v>30</v>
      </c>
      <c r="C6" s="4" t="s">
        <v>55</v>
      </c>
      <c r="D6" s="4" t="s">
        <v>56</v>
      </c>
      <c r="E6" s="4" t="s">
        <v>57</v>
      </c>
      <c r="F6" s="4" t="s">
        <v>34</v>
      </c>
      <c r="G6" s="5">
        <v>45444</v>
      </c>
      <c r="H6" s="5">
        <v>46173</v>
      </c>
      <c r="I6" s="6" t="s">
        <v>35</v>
      </c>
      <c r="J6" s="6" t="s">
        <v>58</v>
      </c>
      <c r="K6" s="7">
        <v>41800</v>
      </c>
      <c r="L6" s="7">
        <v>41800</v>
      </c>
      <c r="M6" s="7">
        <v>41800</v>
      </c>
      <c r="N6" s="7">
        <v>41800</v>
      </c>
      <c r="O6" s="7">
        <v>41800</v>
      </c>
      <c r="P6" s="7"/>
      <c r="Q6" s="7"/>
      <c r="R6" s="7"/>
      <c r="S6" s="7"/>
      <c r="T6" s="7"/>
      <c r="U6" s="7"/>
      <c r="V6" s="7"/>
      <c r="W6" s="8">
        <f>SUM(K6:V6)</f>
      </c>
      <c r="X6" s="4" t="s">
        <v>35</v>
      </c>
      <c r="Y6" s="9" t="s">
        <v>59</v>
      </c>
      <c r="Z6" s="9" t="s">
        <v>60</v>
      </c>
      <c r="AA6" s="9" t="s">
        <v>61</v>
      </c>
      <c r="AB6" s="9" t="s">
        <v>40</v>
      </c>
    </row>
    <row r="7" spans="1:28" x14ac:dyDescent="0.25">
      <c r="A7" s="4">
        <v>5</v>
      </c>
      <c r="B7" s="4" t="s">
        <v>30</v>
      </c>
      <c r="C7" s="4" t="s">
        <v>47</v>
      </c>
      <c r="D7" s="4" t="s">
        <v>48</v>
      </c>
      <c r="E7" s="4" t="s">
        <v>62</v>
      </c>
      <c r="F7" s="4" t="s">
        <v>34</v>
      </c>
      <c r="G7" s="5">
        <v>45352</v>
      </c>
      <c r="H7" s="5">
        <v>46446</v>
      </c>
      <c r="I7" s="6" t="s">
        <v>50</v>
      </c>
      <c r="J7" s="6" t="s">
        <v>51</v>
      </c>
      <c r="K7" s="7">
        <v>83600</v>
      </c>
      <c r="L7" s="7">
        <v>83600</v>
      </c>
      <c r="M7" s="7">
        <v>91960</v>
      </c>
      <c r="N7" s="7">
        <v>91960</v>
      </c>
      <c r="O7" s="7">
        <v>91960</v>
      </c>
      <c r="P7" s="7">
        <v>91960</v>
      </c>
      <c r="Q7" s="7">
        <v>91960</v>
      </c>
      <c r="R7" s="7">
        <v>91960</v>
      </c>
      <c r="S7" s="7"/>
      <c r="T7" s="7"/>
      <c r="U7" s="7"/>
      <c r="V7" s="7"/>
      <c r="W7" s="8">
        <f>SUM(K7:V7)</f>
      </c>
      <c r="X7" s="4" t="s">
        <v>35</v>
      </c>
      <c r="Y7" s="9" t="s">
        <v>63</v>
      </c>
      <c r="Z7" s="9" t="s">
        <v>64</v>
      </c>
      <c r="AA7" s="9" t="s">
        <v>54</v>
      </c>
      <c r="AB7" s="9" t="s">
        <v>40</v>
      </c>
    </row>
    <row r="8" spans="1:28" x14ac:dyDescent="0.25">
      <c r="A8" s="4">
        <v>6</v>
      </c>
      <c r="B8" s="4" t="s">
        <v>30</v>
      </c>
      <c r="C8" s="4" t="s">
        <v>65</v>
      </c>
      <c r="D8" s="4" t="s">
        <v>66</v>
      </c>
      <c r="E8" s="4" t="s">
        <v>67</v>
      </c>
      <c r="F8" s="4" t="s">
        <v>34</v>
      </c>
      <c r="G8" s="5">
        <v>45158</v>
      </c>
      <c r="H8" s="5">
        <v>46253</v>
      </c>
      <c r="I8" s="6" t="s">
        <v>68</v>
      </c>
      <c r="J8" s="6" t="s">
        <v>69</v>
      </c>
      <c r="K8" s="7">
        <v>30250</v>
      </c>
      <c r="L8" s="7">
        <v>30250</v>
      </c>
      <c r="M8" s="7">
        <v>30250</v>
      </c>
      <c r="N8" s="7">
        <v>30250</v>
      </c>
      <c r="O8" s="7">
        <v>30250</v>
      </c>
      <c r="P8" s="7">
        <v>30250</v>
      </c>
      <c r="Q8" s="7">
        <v>30250</v>
      </c>
      <c r="R8" s="7">
        <v>44090</v>
      </c>
      <c r="S8" s="7"/>
      <c r="T8" s="7"/>
      <c r="U8" s="7"/>
      <c r="V8" s="7"/>
      <c r="W8" s="8">
        <f>SUM(K8:V8)</f>
      </c>
      <c r="X8" s="4" t="s">
        <v>35</v>
      </c>
      <c r="Y8" s="9" t="s">
        <v>70</v>
      </c>
      <c r="Z8" s="9" t="s">
        <v>71</v>
      </c>
      <c r="AA8" s="9" t="s">
        <v>72</v>
      </c>
      <c r="AB8" s="9" t="s">
        <v>40</v>
      </c>
    </row>
    <row r="9" spans="1:28" x14ac:dyDescent="0.25">
      <c r="A9" s="4">
        <v>7</v>
      </c>
      <c r="B9" s="4" t="s">
        <v>30</v>
      </c>
      <c r="C9" s="4" t="s">
        <v>73</v>
      </c>
      <c r="D9" s="4" t="s">
        <v>73</v>
      </c>
      <c r="E9" s="4" t="s">
        <v>74</v>
      </c>
      <c r="F9" s="4" t="s">
        <v>34</v>
      </c>
      <c r="G9" s="5">
        <v>45017</v>
      </c>
      <c r="H9" s="5">
        <v>46112</v>
      </c>
      <c r="I9" s="6" t="s">
        <v>35</v>
      </c>
      <c r="J9" s="6" t="s">
        <v>75</v>
      </c>
      <c r="K9" s="7">
        <v>24330</v>
      </c>
      <c r="L9" s="7">
        <v>24330</v>
      </c>
      <c r="M9" s="7">
        <v>24330</v>
      </c>
      <c r="N9" s="7"/>
      <c r="O9" s="7"/>
      <c r="P9" s="7"/>
      <c r="Q9" s="7"/>
      <c r="R9" s="7"/>
      <c r="S9" s="7"/>
      <c r="T9" s="7"/>
      <c r="U9" s="7"/>
      <c r="V9" s="7"/>
      <c r="W9" s="8">
        <f>SUM(K9:V9)</f>
      </c>
      <c r="X9" s="4" t="s">
        <v>35</v>
      </c>
      <c r="Y9" s="9" t="s">
        <v>76</v>
      </c>
      <c r="Z9" s="9" t="s">
        <v>77</v>
      </c>
      <c r="AA9" s="9" t="s">
        <v>78</v>
      </c>
      <c r="AB9" s="9" t="s">
        <v>40</v>
      </c>
    </row>
    <row r="10" spans="1:28" x14ac:dyDescent="0.25">
      <c r="A10" s="10">
        <v>8</v>
      </c>
      <c r="B10" s="10" t="s">
        <v>79</v>
      </c>
      <c r="C10" s="10" t="s">
        <v>80</v>
      </c>
      <c r="D10" s="10" t="s">
        <v>81</v>
      </c>
      <c r="E10" s="10" t="s">
        <v>82</v>
      </c>
      <c r="F10" s="10" t="s">
        <v>83</v>
      </c>
      <c r="G10" s="11">
        <v>45139</v>
      </c>
      <c r="H10" s="11">
        <v>46965</v>
      </c>
      <c r="I10" s="12" t="s">
        <v>84</v>
      </c>
      <c r="J10" s="12" t="s">
        <v>85</v>
      </c>
      <c r="K10" s="13">
        <v>42350</v>
      </c>
      <c r="L10" s="13">
        <v>42350</v>
      </c>
      <c r="M10" s="13">
        <v>42350</v>
      </c>
      <c r="N10" s="13">
        <v>42350</v>
      </c>
      <c r="O10" s="13">
        <v>42350</v>
      </c>
      <c r="P10" s="13">
        <v>42350</v>
      </c>
      <c r="Q10" s="13">
        <v>42350</v>
      </c>
      <c r="R10" s="13">
        <v>46585</v>
      </c>
      <c r="S10" s="13"/>
      <c r="T10" s="13"/>
      <c r="U10" s="13"/>
      <c r="V10" s="13"/>
      <c r="W10" s="14">
        <f>SUM(K10:V10)</f>
      </c>
      <c r="X10" s="10" t="s">
        <v>35</v>
      </c>
      <c r="Y10" s="15" t="s">
        <v>86</v>
      </c>
      <c r="Z10" s="15" t="s">
        <v>87</v>
      </c>
      <c r="AA10" s="15" t="s">
        <v>88</v>
      </c>
      <c r="AB10" s="15" t="s">
        <v>89</v>
      </c>
    </row>
    <row r="11" spans="1:28" x14ac:dyDescent="0.25">
      <c r="A11" s="10">
        <v>9</v>
      </c>
      <c r="B11" s="10" t="s">
        <v>79</v>
      </c>
      <c r="C11" s="10" t="s">
        <v>90</v>
      </c>
      <c r="D11" s="10" t="s">
        <v>91</v>
      </c>
      <c r="E11" s="10" t="s">
        <v>92</v>
      </c>
      <c r="F11" s="10" t="s">
        <v>83</v>
      </c>
      <c r="G11" s="11">
        <v>45242</v>
      </c>
      <c r="H11" s="11">
        <v>46337</v>
      </c>
      <c r="I11" s="12" t="s">
        <v>93</v>
      </c>
      <c r="J11" s="12" t="s">
        <v>94</v>
      </c>
      <c r="K11" s="13">
        <v>25410</v>
      </c>
      <c r="L11" s="13">
        <v>25410</v>
      </c>
      <c r="M11" s="13">
        <v>25410</v>
      </c>
      <c r="N11" s="13">
        <v>25410</v>
      </c>
      <c r="O11" s="13">
        <v>25410</v>
      </c>
      <c r="P11" s="13">
        <v>25410</v>
      </c>
      <c r="Q11" s="13">
        <v>25410</v>
      </c>
      <c r="R11" s="13">
        <v>25410</v>
      </c>
      <c r="S11" s="13"/>
      <c r="T11" s="13"/>
      <c r="U11" s="13"/>
      <c r="V11" s="13"/>
      <c r="W11" s="14">
        <f>SUM(K11:V11)</f>
      </c>
      <c r="X11" s="10" t="s">
        <v>35</v>
      </c>
      <c r="Y11" s="15" t="s">
        <v>95</v>
      </c>
      <c r="Z11" s="15" t="s">
        <v>96</v>
      </c>
      <c r="AA11" s="15" t="s">
        <v>97</v>
      </c>
      <c r="AB11" s="15" t="s">
        <v>89</v>
      </c>
    </row>
    <row r="12" spans="1:28" x14ac:dyDescent="0.25">
      <c r="A12" s="10">
        <v>10</v>
      </c>
      <c r="B12" s="10" t="s">
        <v>79</v>
      </c>
      <c r="C12" s="10" t="s">
        <v>98</v>
      </c>
      <c r="D12" s="10" t="s">
        <v>99</v>
      </c>
      <c r="E12" s="10" t="s">
        <v>100</v>
      </c>
      <c r="F12" s="10" t="s">
        <v>83</v>
      </c>
      <c r="G12" s="11">
        <v>45231</v>
      </c>
      <c r="H12" s="11">
        <v>46326</v>
      </c>
      <c r="I12" s="12" t="s">
        <v>101</v>
      </c>
      <c r="J12" s="12" t="s">
        <v>102</v>
      </c>
      <c r="K12" s="13">
        <v>46585</v>
      </c>
      <c r="L12" s="13">
        <v>46585</v>
      </c>
      <c r="M12" s="13">
        <v>46585</v>
      </c>
      <c r="N12" s="13">
        <v>46585</v>
      </c>
      <c r="O12" s="13">
        <v>46585</v>
      </c>
      <c r="P12" s="13">
        <v>46585</v>
      </c>
      <c r="Q12" s="13">
        <v>46585</v>
      </c>
      <c r="R12" s="13">
        <v>46585</v>
      </c>
      <c r="S12" s="13"/>
      <c r="T12" s="13"/>
      <c r="U12" s="13"/>
      <c r="V12" s="13"/>
      <c r="W12" s="14">
        <f>SUM(K12:V12)</f>
      </c>
      <c r="X12" s="10" t="s">
        <v>35</v>
      </c>
      <c r="Y12" s="15" t="s">
        <v>103</v>
      </c>
      <c r="Z12" s="15" t="s">
        <v>104</v>
      </c>
      <c r="AA12" s="15" t="s">
        <v>105</v>
      </c>
      <c r="AB12" s="15" t="s">
        <v>89</v>
      </c>
    </row>
    <row r="13" spans="1:28" x14ac:dyDescent="0.25">
      <c r="A13" s="10">
        <v>11</v>
      </c>
      <c r="B13" s="10" t="s">
        <v>79</v>
      </c>
      <c r="C13" s="10" t="s">
        <v>106</v>
      </c>
      <c r="D13" s="10" t="s">
        <v>106</v>
      </c>
      <c r="E13" s="10" t="s">
        <v>107</v>
      </c>
      <c r="F13" s="10" t="s">
        <v>83</v>
      </c>
      <c r="G13" s="11">
        <v>46143</v>
      </c>
      <c r="H13" s="11">
        <v>46507</v>
      </c>
      <c r="I13" s="12" t="s">
        <v>35</v>
      </c>
      <c r="J13" s="12" t="s">
        <v>108</v>
      </c>
      <c r="K13" s="13">
        <v>22990</v>
      </c>
      <c r="L13" s="13">
        <v>22990</v>
      </c>
      <c r="M13" s="13">
        <v>22990</v>
      </c>
      <c r="N13" s="13">
        <v>22990</v>
      </c>
      <c r="O13" s="13">
        <v>37000</v>
      </c>
      <c r="P13" s="13">
        <v>37000</v>
      </c>
      <c r="Q13" s="13">
        <v>37000</v>
      </c>
      <c r="R13" s="13">
        <v>37000</v>
      </c>
      <c r="S13" s="13"/>
      <c r="T13" s="13"/>
      <c r="U13" s="13"/>
      <c r="V13" s="13"/>
      <c r="W13" s="14">
        <f>SUM(K13:V13)</f>
      </c>
      <c r="X13" s="10" t="s">
        <v>35</v>
      </c>
      <c r="Y13" s="15" t="s">
        <v>109</v>
      </c>
      <c r="Z13" s="15" t="s">
        <v>110</v>
      </c>
      <c r="AA13" s="15" t="s">
        <v>111</v>
      </c>
      <c r="AB13" s="15" t="s">
        <v>89</v>
      </c>
    </row>
    <row r="14" spans="1:28" x14ac:dyDescent="0.25">
      <c r="A14" s="10">
        <v>12</v>
      </c>
      <c r="B14" s="10" t="s">
        <v>79</v>
      </c>
      <c r="C14" s="10" t="s">
        <v>112</v>
      </c>
      <c r="D14" s="10" t="s">
        <v>112</v>
      </c>
      <c r="E14" s="10" t="s">
        <v>113</v>
      </c>
      <c r="F14" s="10" t="s">
        <v>83</v>
      </c>
      <c r="G14" s="11">
        <v>46143</v>
      </c>
      <c r="H14" s="11">
        <v>46507</v>
      </c>
      <c r="I14" s="12" t="s">
        <v>35</v>
      </c>
      <c r="J14" s="12" t="s">
        <v>114</v>
      </c>
      <c r="K14" s="13">
        <v>35000</v>
      </c>
      <c r="L14" s="13">
        <v>35000</v>
      </c>
      <c r="M14" s="13">
        <v>35000</v>
      </c>
      <c r="N14" s="13">
        <v>35000</v>
      </c>
      <c r="O14" s="13">
        <v>38500</v>
      </c>
      <c r="P14" s="13">
        <v>38500</v>
      </c>
      <c r="Q14" s="13">
        <v>38500</v>
      </c>
      <c r="R14" s="13">
        <v>37500</v>
      </c>
      <c r="S14" s="13"/>
      <c r="T14" s="13"/>
      <c r="U14" s="13"/>
      <c r="V14" s="13"/>
      <c r="W14" s="14">
        <f>SUM(K14:V14)</f>
      </c>
      <c r="X14" s="10" t="s">
        <v>35</v>
      </c>
      <c r="Y14" s="15" t="s">
        <v>115</v>
      </c>
      <c r="Z14" s="15" t="s">
        <v>116</v>
      </c>
      <c r="AA14" s="15" t="s">
        <v>117</v>
      </c>
      <c r="AB14" s="15" t="s">
        <v>89</v>
      </c>
    </row>
    <row r="15" spans="1:28" x14ac:dyDescent="0.25">
      <c r="A15" s="10">
        <v>13</v>
      </c>
      <c r="B15" s="10" t="s">
        <v>79</v>
      </c>
      <c r="C15" s="10" t="s">
        <v>118</v>
      </c>
      <c r="D15" s="10" t="s">
        <v>119</v>
      </c>
      <c r="E15" s="10" t="s">
        <v>120</v>
      </c>
      <c r="F15" s="10" t="s">
        <v>83</v>
      </c>
      <c r="G15" s="11">
        <v>45870</v>
      </c>
      <c r="H15" s="11">
        <v>46965</v>
      </c>
      <c r="I15" s="12" t="s">
        <v>121</v>
      </c>
      <c r="J15" s="12" t="s">
        <v>122</v>
      </c>
      <c r="K15" s="13">
        <v>43000</v>
      </c>
      <c r="L15" s="13">
        <v>43000</v>
      </c>
      <c r="M15" s="13">
        <v>43000</v>
      </c>
      <c r="N15" s="13">
        <v>43000</v>
      </c>
      <c r="O15" s="13">
        <v>43000</v>
      </c>
      <c r="P15" s="13">
        <v>43000</v>
      </c>
      <c r="Q15" s="13">
        <v>43000</v>
      </c>
      <c r="R15" s="13">
        <v>49450</v>
      </c>
      <c r="S15" s="13"/>
      <c r="T15" s="13"/>
      <c r="U15" s="13"/>
      <c r="V15" s="13"/>
      <c r="W15" s="14">
        <f>SUM(K15:V15)</f>
      </c>
      <c r="X15" s="10" t="s">
        <v>35</v>
      </c>
      <c r="Y15" s="15" t="s">
        <v>123</v>
      </c>
      <c r="Z15" s="15" t="s">
        <v>124</v>
      </c>
      <c r="AA15" s="15" t="s">
        <v>125</v>
      </c>
      <c r="AB15" s="15" t="s">
        <v>89</v>
      </c>
    </row>
    <row r="16" spans="1:28" x14ac:dyDescent="0.25">
      <c r="A16" s="10">
        <v>14</v>
      </c>
      <c r="B16" s="10" t="s">
        <v>79</v>
      </c>
      <c r="C16" s="10" t="s">
        <v>118</v>
      </c>
      <c r="D16" s="10" t="s">
        <v>119</v>
      </c>
      <c r="E16" s="10" t="s">
        <v>126</v>
      </c>
      <c r="F16" s="10" t="s">
        <v>83</v>
      </c>
      <c r="G16" s="11">
        <v>45474</v>
      </c>
      <c r="H16" s="11">
        <v>46568</v>
      </c>
      <c r="I16" s="12" t="s">
        <v>121</v>
      </c>
      <c r="J16" s="12" t="s">
        <v>122</v>
      </c>
      <c r="K16" s="13">
        <v>25300</v>
      </c>
      <c r="L16" s="13">
        <v>25300</v>
      </c>
      <c r="M16" s="13">
        <v>25300</v>
      </c>
      <c r="N16" s="13">
        <v>25300</v>
      </c>
      <c r="O16" s="13">
        <v>25300</v>
      </c>
      <c r="P16" s="13">
        <v>25300</v>
      </c>
      <c r="Q16" s="13">
        <v>27830</v>
      </c>
      <c r="R16" s="13">
        <v>27830</v>
      </c>
      <c r="S16" s="13"/>
      <c r="T16" s="13"/>
      <c r="U16" s="13"/>
      <c r="V16" s="13"/>
      <c r="W16" s="14">
        <f>SUM(K16:V16)</f>
      </c>
      <c r="X16" s="10" t="s">
        <v>35</v>
      </c>
      <c r="Y16" s="15" t="s">
        <v>127</v>
      </c>
      <c r="Z16" s="15" t="s">
        <v>128</v>
      </c>
      <c r="AA16" s="15" t="s">
        <v>125</v>
      </c>
      <c r="AB16" s="15" t="s">
        <v>89</v>
      </c>
    </row>
    <row r="17" spans="1:28" x14ac:dyDescent="0.25">
      <c r="A17" s="10">
        <v>15</v>
      </c>
      <c r="B17" s="10" t="s">
        <v>79</v>
      </c>
      <c r="C17" s="10" t="s">
        <v>129</v>
      </c>
      <c r="D17" s="10" t="s">
        <v>130</v>
      </c>
      <c r="E17" s="10" t="s">
        <v>131</v>
      </c>
      <c r="F17" s="10" t="s">
        <v>83</v>
      </c>
      <c r="G17" s="11">
        <v>45668</v>
      </c>
      <c r="H17" s="11">
        <v>46397</v>
      </c>
      <c r="I17" s="12" t="s">
        <v>35</v>
      </c>
      <c r="J17" s="12" t="s">
        <v>132</v>
      </c>
      <c r="K17" s="13">
        <v>36025</v>
      </c>
      <c r="L17" s="13">
        <v>37665</v>
      </c>
      <c r="M17" s="13">
        <v>37665</v>
      </c>
      <c r="N17" s="13">
        <v>37665</v>
      </c>
      <c r="O17" s="13">
        <v>37665</v>
      </c>
      <c r="P17" s="13">
        <v>37665</v>
      </c>
      <c r="Q17" s="13">
        <v>37665</v>
      </c>
      <c r="R17" s="13">
        <v>37665</v>
      </c>
      <c r="S17" s="13"/>
      <c r="T17" s="13"/>
      <c r="U17" s="13"/>
      <c r="V17" s="13"/>
      <c r="W17" s="14">
        <f>SUM(K17:V17)</f>
      </c>
      <c r="X17" s="10" t="s">
        <v>35</v>
      </c>
      <c r="Y17" s="15" t="s">
        <v>133</v>
      </c>
      <c r="Z17" s="15" t="s">
        <v>134</v>
      </c>
      <c r="AA17" s="15" t="s">
        <v>135</v>
      </c>
      <c r="AB17" s="15" t="s">
        <v>89</v>
      </c>
    </row>
    <row r="18" spans="1:28" x14ac:dyDescent="0.25">
      <c r="A18" s="10">
        <v>16</v>
      </c>
      <c r="B18" s="10" t="s">
        <v>79</v>
      </c>
      <c r="C18" s="10" t="s">
        <v>136</v>
      </c>
      <c r="D18" s="10" t="s">
        <v>137</v>
      </c>
      <c r="E18" s="10" t="s">
        <v>138</v>
      </c>
      <c r="F18" s="10" t="s">
        <v>83</v>
      </c>
      <c r="G18" s="11">
        <v>45292</v>
      </c>
      <c r="H18" s="11">
        <v>46387</v>
      </c>
      <c r="I18" s="12" t="s">
        <v>35</v>
      </c>
      <c r="J18" s="12" t="s">
        <v>139</v>
      </c>
      <c r="K18" s="13">
        <v>30250</v>
      </c>
      <c r="L18" s="13">
        <v>30250</v>
      </c>
      <c r="M18" s="13">
        <v>30250</v>
      </c>
      <c r="N18" s="13">
        <v>30250</v>
      </c>
      <c r="O18" s="13">
        <v>30250</v>
      </c>
      <c r="P18" s="13">
        <v>30250</v>
      </c>
      <c r="Q18" s="13">
        <v>30250</v>
      </c>
      <c r="R18" s="13">
        <v>30250</v>
      </c>
      <c r="S18" s="13"/>
      <c r="T18" s="13"/>
      <c r="U18" s="13"/>
      <c r="V18" s="13"/>
      <c r="W18" s="14">
        <f>SUM(K18:V18)</f>
      </c>
      <c r="X18" s="10" t="s">
        <v>35</v>
      </c>
      <c r="Y18" s="15" t="s">
        <v>140</v>
      </c>
      <c r="Z18" s="15" t="s">
        <v>141</v>
      </c>
      <c r="AA18" s="15" t="s">
        <v>142</v>
      </c>
      <c r="AB18" s="15" t="s">
        <v>89</v>
      </c>
    </row>
    <row r="19" spans="1:28" x14ac:dyDescent="0.25">
      <c r="A19" s="10">
        <v>17</v>
      </c>
      <c r="B19" s="10" t="s">
        <v>79</v>
      </c>
      <c r="C19" s="10" t="s">
        <v>143</v>
      </c>
      <c r="D19" s="10" t="s">
        <v>143</v>
      </c>
      <c r="E19" s="10" t="s">
        <v>144</v>
      </c>
      <c r="F19" s="10" t="s">
        <v>83</v>
      </c>
      <c r="G19" s="11">
        <v>45170</v>
      </c>
      <c r="H19" s="11">
        <v>46265</v>
      </c>
      <c r="I19" s="12" t="s">
        <v>35</v>
      </c>
      <c r="J19" s="12" t="s">
        <v>145</v>
      </c>
      <c r="K19" s="13">
        <v>19060</v>
      </c>
      <c r="L19" s="13">
        <v>19060</v>
      </c>
      <c r="M19" s="13">
        <v>19060</v>
      </c>
      <c r="N19" s="13">
        <v>19060</v>
      </c>
      <c r="O19" s="13">
        <v>19060</v>
      </c>
      <c r="P19" s="13">
        <v>19060</v>
      </c>
      <c r="Q19" s="13">
        <v>19060</v>
      </c>
      <c r="R19" s="13">
        <v>19060</v>
      </c>
      <c r="S19" s="13"/>
      <c r="T19" s="13"/>
      <c r="U19" s="13"/>
      <c r="V19" s="13"/>
      <c r="W19" s="14">
        <f>SUM(K19:V19)</f>
      </c>
      <c r="X19" s="10" t="s">
        <v>35</v>
      </c>
      <c r="Y19" s="15" t="s">
        <v>146</v>
      </c>
      <c r="Z19" s="15" t="s">
        <v>147</v>
      </c>
      <c r="AA19" s="15" t="s">
        <v>148</v>
      </c>
      <c r="AB19" s="15" t="s">
        <v>89</v>
      </c>
    </row>
    <row r="20" spans="1:28" x14ac:dyDescent="0.25">
      <c r="A20" s="10">
        <v>18</v>
      </c>
      <c r="B20" s="10" t="s">
        <v>79</v>
      </c>
      <c r="C20" s="10" t="s">
        <v>149</v>
      </c>
      <c r="D20" s="10" t="s">
        <v>150</v>
      </c>
      <c r="E20" s="10" t="s">
        <v>151</v>
      </c>
      <c r="F20" s="10" t="s">
        <v>83</v>
      </c>
      <c r="G20" s="11">
        <v>45200</v>
      </c>
      <c r="H20" s="11">
        <v>46295</v>
      </c>
      <c r="I20" s="12" t="s">
        <v>35</v>
      </c>
      <c r="J20" s="12" t="s">
        <v>152</v>
      </c>
      <c r="K20" s="13">
        <v>20570</v>
      </c>
      <c r="L20" s="13">
        <v>20570</v>
      </c>
      <c r="M20" s="13">
        <v>20570</v>
      </c>
      <c r="N20" s="13">
        <v>20570</v>
      </c>
      <c r="O20" s="13">
        <v>20570</v>
      </c>
      <c r="P20" s="13">
        <v>20570</v>
      </c>
      <c r="Q20" s="13">
        <v>20570</v>
      </c>
      <c r="R20" s="13">
        <v>20570</v>
      </c>
      <c r="S20" s="13"/>
      <c r="T20" s="13"/>
      <c r="U20" s="13"/>
      <c r="V20" s="13"/>
      <c r="W20" s="14">
        <f>SUM(K20:V20)</f>
      </c>
      <c r="X20" s="10" t="s">
        <v>35</v>
      </c>
      <c r="Y20" s="15" t="s">
        <v>153</v>
      </c>
      <c r="Z20" s="15" t="s">
        <v>154</v>
      </c>
      <c r="AA20" s="15" t="s">
        <v>155</v>
      </c>
      <c r="AB20" s="15" t="s">
        <v>89</v>
      </c>
    </row>
    <row r="21" spans="1:28" x14ac:dyDescent="0.25">
      <c r="A21" s="10">
        <v>19</v>
      </c>
      <c r="B21" s="10" t="s">
        <v>79</v>
      </c>
      <c r="C21" s="10" t="s">
        <v>156</v>
      </c>
      <c r="D21" s="10" t="s">
        <v>156</v>
      </c>
      <c r="E21" s="10" t="s">
        <v>157</v>
      </c>
      <c r="F21" s="10" t="s">
        <v>83</v>
      </c>
      <c r="G21" s="11">
        <v>45231</v>
      </c>
      <c r="H21" s="11">
        <v>46326</v>
      </c>
      <c r="I21" s="12" t="s">
        <v>35</v>
      </c>
      <c r="J21" s="12" t="s">
        <v>158</v>
      </c>
      <c r="K21" s="13">
        <v>25410</v>
      </c>
      <c r="L21" s="13">
        <v>25410</v>
      </c>
      <c r="M21" s="13">
        <v>25410</v>
      </c>
      <c r="N21" s="13">
        <v>25410</v>
      </c>
      <c r="O21" s="13">
        <v>25410</v>
      </c>
      <c r="P21" s="13">
        <v>25410</v>
      </c>
      <c r="Q21" s="13">
        <v>25410</v>
      </c>
      <c r="R21" s="13">
        <v>25410</v>
      </c>
      <c r="S21" s="13"/>
      <c r="T21" s="13"/>
      <c r="U21" s="13"/>
      <c r="V21" s="13"/>
      <c r="W21" s="14">
        <f>SUM(K21:V21)</f>
      </c>
      <c r="X21" s="10" t="s">
        <v>35</v>
      </c>
      <c r="Y21" s="15" t="s">
        <v>159</v>
      </c>
      <c r="Z21" s="15" t="s">
        <v>160</v>
      </c>
      <c r="AA21" s="15" t="s">
        <v>161</v>
      </c>
      <c r="AB21" s="15" t="s">
        <v>89</v>
      </c>
    </row>
    <row r="22" spans="1:28" x14ac:dyDescent="0.25">
      <c r="A22" s="16">
        <v>20</v>
      </c>
      <c r="B22" s="16" t="s">
        <v>162</v>
      </c>
      <c r="C22" s="16" t="s">
        <v>163</v>
      </c>
      <c r="D22" s="16" t="s">
        <v>164</v>
      </c>
      <c r="E22" s="16" t="s">
        <v>82</v>
      </c>
      <c r="F22" s="16" t="s">
        <v>165</v>
      </c>
      <c r="G22" s="17">
        <v>45505</v>
      </c>
      <c r="H22" s="17">
        <v>46599</v>
      </c>
      <c r="I22" s="18" t="s">
        <v>166</v>
      </c>
      <c r="J22" s="18" t="s">
        <v>167</v>
      </c>
      <c r="K22" s="19">
        <v>40700</v>
      </c>
      <c r="L22" s="19">
        <v>40700</v>
      </c>
      <c r="M22" s="19">
        <v>40700</v>
      </c>
      <c r="N22" s="19">
        <v>40700</v>
      </c>
      <c r="O22" s="19">
        <v>40700</v>
      </c>
      <c r="P22" s="19">
        <v>40700</v>
      </c>
      <c r="Q22" s="19">
        <v>40700</v>
      </c>
      <c r="R22" s="19">
        <v>44770</v>
      </c>
      <c r="S22" s="19"/>
      <c r="T22" s="19"/>
      <c r="U22" s="19"/>
      <c r="V22" s="19"/>
      <c r="W22" s="20">
        <f>SUM(K22:V22)</f>
      </c>
      <c r="X22" s="16" t="s">
        <v>35</v>
      </c>
      <c r="Y22" s="21" t="s">
        <v>168</v>
      </c>
      <c r="Z22" s="21" t="s">
        <v>169</v>
      </c>
      <c r="AA22" s="21" t="s">
        <v>170</v>
      </c>
      <c r="AB22" s="21" t="s">
        <v>171</v>
      </c>
    </row>
    <row r="23" spans="1:28" x14ac:dyDescent="0.25">
      <c r="A23" s="16">
        <v>21</v>
      </c>
      <c r="B23" s="16" t="s">
        <v>162</v>
      </c>
      <c r="C23" s="16" t="s">
        <v>172</v>
      </c>
      <c r="D23" s="16" t="s">
        <v>164</v>
      </c>
      <c r="E23" s="16" t="s">
        <v>92</v>
      </c>
      <c r="F23" s="16" t="s">
        <v>165</v>
      </c>
      <c r="G23" s="17">
        <v>45505</v>
      </c>
      <c r="H23" s="17">
        <v>46599</v>
      </c>
      <c r="I23" s="18" t="s">
        <v>173</v>
      </c>
      <c r="J23" s="18" t="s">
        <v>167</v>
      </c>
      <c r="K23" s="19">
        <v>40700</v>
      </c>
      <c r="L23" s="19">
        <v>40700</v>
      </c>
      <c r="M23" s="19">
        <v>40700</v>
      </c>
      <c r="N23" s="19">
        <v>40700</v>
      </c>
      <c r="O23" s="19">
        <v>40700</v>
      </c>
      <c r="P23" s="19">
        <v>40700</v>
      </c>
      <c r="Q23" s="19">
        <v>40700</v>
      </c>
      <c r="R23" s="19">
        <v>44770</v>
      </c>
      <c r="S23" s="19"/>
      <c r="T23" s="19"/>
      <c r="U23" s="19"/>
      <c r="V23" s="19"/>
      <c r="W23" s="20">
        <f>SUM(K23:V23)</f>
      </c>
      <c r="X23" s="16" t="s">
        <v>35</v>
      </c>
      <c r="Y23" s="21" t="s">
        <v>174</v>
      </c>
      <c r="Z23" s="21" t="s">
        <v>175</v>
      </c>
      <c r="AA23" s="21" t="s">
        <v>176</v>
      </c>
      <c r="AB23" s="21" t="s">
        <v>171</v>
      </c>
    </row>
    <row r="24" spans="1:28" x14ac:dyDescent="0.25">
      <c r="A24" s="16">
        <v>22</v>
      </c>
      <c r="B24" s="16" t="s">
        <v>162</v>
      </c>
      <c r="C24" s="16" t="s">
        <v>177</v>
      </c>
      <c r="D24" s="16" t="s">
        <v>177</v>
      </c>
      <c r="E24" s="16" t="s">
        <v>178</v>
      </c>
      <c r="F24" s="16" t="s">
        <v>165</v>
      </c>
      <c r="G24" s="17">
        <v>46204</v>
      </c>
      <c r="H24" s="17">
        <v>46568</v>
      </c>
      <c r="I24" s="18" t="s">
        <v>35</v>
      </c>
      <c r="J24" s="18" t="s">
        <v>179</v>
      </c>
      <c r="K24" s="19">
        <v>17500</v>
      </c>
      <c r="L24" s="19">
        <v>17500</v>
      </c>
      <c r="M24" s="19">
        <v>17500</v>
      </c>
      <c r="N24" s="19">
        <v>17500</v>
      </c>
      <c r="O24" s="19">
        <v>17500</v>
      </c>
      <c r="P24" s="19">
        <v>17500</v>
      </c>
      <c r="Q24" s="19">
        <v>20000</v>
      </c>
      <c r="R24" s="19">
        <v>20000</v>
      </c>
      <c r="S24" s="19"/>
      <c r="T24" s="19"/>
      <c r="U24" s="19"/>
      <c r="V24" s="19"/>
      <c r="W24" s="20">
        <f>SUM(K24:V24)</f>
      </c>
      <c r="X24" s="16" t="s">
        <v>35</v>
      </c>
      <c r="Y24" s="21" t="s">
        <v>180</v>
      </c>
      <c r="Z24" s="21" t="s">
        <v>181</v>
      </c>
      <c r="AA24" s="21" t="s">
        <v>182</v>
      </c>
      <c r="AB24" s="21" t="s">
        <v>171</v>
      </c>
    </row>
    <row r="25" spans="1:28" x14ac:dyDescent="0.25">
      <c r="A25" s="16">
        <v>23</v>
      </c>
      <c r="B25" s="16" t="s">
        <v>162</v>
      </c>
      <c r="C25" s="16" t="s">
        <v>183</v>
      </c>
      <c r="D25" s="16" t="s">
        <v>183</v>
      </c>
      <c r="E25" s="16" t="s">
        <v>184</v>
      </c>
      <c r="F25" s="16" t="s">
        <v>165</v>
      </c>
      <c r="G25" s="17">
        <v>45992</v>
      </c>
      <c r="H25" s="17">
        <v>46356</v>
      </c>
      <c r="I25" s="18" t="s">
        <v>35</v>
      </c>
      <c r="J25" s="18" t="s">
        <v>185</v>
      </c>
      <c r="K25" s="19">
        <v>7000</v>
      </c>
      <c r="L25" s="19">
        <v>7000</v>
      </c>
      <c r="M25" s="19">
        <v>7000</v>
      </c>
      <c r="N25" s="19">
        <v>7000</v>
      </c>
      <c r="O25" s="19">
        <v>7000</v>
      </c>
      <c r="P25" s="19">
        <v>7000</v>
      </c>
      <c r="Q25" s="19">
        <v>7000</v>
      </c>
      <c r="R25" s="19">
        <v>7000</v>
      </c>
      <c r="S25" s="19"/>
      <c r="T25" s="19"/>
      <c r="U25" s="19"/>
      <c r="V25" s="19"/>
      <c r="W25" s="20">
        <f>SUM(K25:V25)</f>
      </c>
      <c r="X25" s="16" t="s">
        <v>35</v>
      </c>
      <c r="Y25" s="21" t="s">
        <v>186</v>
      </c>
      <c r="Z25" s="21" t="s">
        <v>187</v>
      </c>
      <c r="AA25" s="21" t="s">
        <v>188</v>
      </c>
      <c r="AB25" s="21" t="s">
        <v>171</v>
      </c>
    </row>
    <row r="26" spans="1:28" x14ac:dyDescent="0.25">
      <c r="A26" s="16">
        <v>24</v>
      </c>
      <c r="B26" s="16" t="s">
        <v>162</v>
      </c>
      <c r="C26" s="16" t="s">
        <v>189</v>
      </c>
      <c r="D26" s="16" t="s">
        <v>189</v>
      </c>
      <c r="E26" s="16" t="s">
        <v>190</v>
      </c>
      <c r="F26" s="16" t="s">
        <v>165</v>
      </c>
      <c r="G26" s="17">
        <v>46204</v>
      </c>
      <c r="H26" s="17">
        <v>46568</v>
      </c>
      <c r="I26" s="18" t="s">
        <v>35</v>
      </c>
      <c r="J26" s="18" t="s">
        <v>191</v>
      </c>
      <c r="K26" s="19">
        <v>13000</v>
      </c>
      <c r="L26" s="19">
        <v>13000</v>
      </c>
      <c r="M26" s="19">
        <v>13000</v>
      </c>
      <c r="N26" s="19">
        <v>13000</v>
      </c>
      <c r="O26" s="19">
        <v>13000</v>
      </c>
      <c r="P26" s="19">
        <v>13000</v>
      </c>
      <c r="Q26" s="19">
        <v>15000</v>
      </c>
      <c r="R26" s="19">
        <v>15000</v>
      </c>
      <c r="S26" s="19"/>
      <c r="T26" s="19"/>
      <c r="U26" s="19"/>
      <c r="V26" s="19"/>
      <c r="W26" s="20">
        <f>SUM(K26:V26)</f>
      </c>
      <c r="X26" s="16" t="s">
        <v>35</v>
      </c>
      <c r="Y26" s="21" t="s">
        <v>192</v>
      </c>
      <c r="Z26" s="21" t="s">
        <v>193</v>
      </c>
      <c r="AA26" s="21" t="s">
        <v>194</v>
      </c>
      <c r="AB26" s="21" t="s">
        <v>171</v>
      </c>
    </row>
    <row r="27" spans="1:28" x14ac:dyDescent="0.25">
      <c r="A27" s="16">
        <v>25</v>
      </c>
      <c r="B27" s="16" t="s">
        <v>162</v>
      </c>
      <c r="C27" s="16" t="s">
        <v>177</v>
      </c>
      <c r="D27" s="16" t="s">
        <v>177</v>
      </c>
      <c r="E27" s="16" t="s">
        <v>195</v>
      </c>
      <c r="F27" s="16" t="s">
        <v>165</v>
      </c>
      <c r="G27" s="17">
        <v>46204</v>
      </c>
      <c r="H27" s="17">
        <v>46568</v>
      </c>
      <c r="I27" s="18" t="s">
        <v>35</v>
      </c>
      <c r="J27" s="18" t="s">
        <v>179</v>
      </c>
      <c r="K27" s="19">
        <v>13500</v>
      </c>
      <c r="L27" s="19">
        <v>13500</v>
      </c>
      <c r="M27" s="19">
        <v>13500</v>
      </c>
      <c r="N27" s="19">
        <v>13500</v>
      </c>
      <c r="O27" s="19">
        <v>13500</v>
      </c>
      <c r="P27" s="19">
        <v>13500</v>
      </c>
      <c r="Q27" s="19">
        <v>15000</v>
      </c>
      <c r="R27" s="19">
        <v>1000</v>
      </c>
      <c r="S27" s="19"/>
      <c r="T27" s="19"/>
      <c r="U27" s="19"/>
      <c r="V27" s="19"/>
      <c r="W27" s="20">
        <f>SUM(K27:V27)</f>
      </c>
      <c r="X27" s="16" t="s">
        <v>35</v>
      </c>
      <c r="Y27" s="21" t="s">
        <v>196</v>
      </c>
      <c r="Z27" s="21" t="s">
        <v>197</v>
      </c>
      <c r="AA27" s="21" t="s">
        <v>182</v>
      </c>
      <c r="AB27" s="21" t="s">
        <v>171</v>
      </c>
    </row>
    <row r="28" spans="1:28" x14ac:dyDescent="0.25">
      <c r="A28" s="16">
        <v>26</v>
      </c>
      <c r="B28" s="16" t="s">
        <v>162</v>
      </c>
      <c r="C28" s="16" t="s">
        <v>198</v>
      </c>
      <c r="D28" s="16" t="s">
        <v>198</v>
      </c>
      <c r="E28" s="16" t="s">
        <v>199</v>
      </c>
      <c r="F28" s="16" t="s">
        <v>165</v>
      </c>
      <c r="G28" s="17">
        <v>45992</v>
      </c>
      <c r="H28" s="17">
        <v>46356</v>
      </c>
      <c r="I28" s="18" t="s">
        <v>35</v>
      </c>
      <c r="J28" s="18" t="s">
        <v>200</v>
      </c>
      <c r="K28" s="19">
        <v>7000</v>
      </c>
      <c r="L28" s="19">
        <v>7000</v>
      </c>
      <c r="M28" s="19">
        <v>7000</v>
      </c>
      <c r="N28" s="19">
        <v>7000</v>
      </c>
      <c r="O28" s="19">
        <v>7000</v>
      </c>
      <c r="P28" s="19">
        <v>7000</v>
      </c>
      <c r="Q28" s="19">
        <v>7000</v>
      </c>
      <c r="R28" s="19">
        <v>7000</v>
      </c>
      <c r="S28" s="19"/>
      <c r="T28" s="19"/>
      <c r="U28" s="19"/>
      <c r="V28" s="19"/>
      <c r="W28" s="20">
        <f>SUM(K28:V28)</f>
      </c>
      <c r="X28" s="16" t="s">
        <v>35</v>
      </c>
      <c r="Y28" s="21" t="s">
        <v>201</v>
      </c>
      <c r="Z28" s="21" t="s">
        <v>202</v>
      </c>
      <c r="AA28" s="21" t="s">
        <v>203</v>
      </c>
      <c r="AB28" s="21" t="s">
        <v>171</v>
      </c>
    </row>
    <row r="29" spans="1:28" x14ac:dyDescent="0.25">
      <c r="A29" s="16">
        <v>27</v>
      </c>
      <c r="B29" s="16" t="s">
        <v>162</v>
      </c>
      <c r="C29" s="16" t="s">
        <v>198</v>
      </c>
      <c r="D29" s="16" t="s">
        <v>198</v>
      </c>
      <c r="E29" s="16" t="s">
        <v>204</v>
      </c>
      <c r="F29" s="16" t="s">
        <v>165</v>
      </c>
      <c r="G29" s="17">
        <v>46204</v>
      </c>
      <c r="H29" s="17">
        <v>46568</v>
      </c>
      <c r="I29" s="18" t="s">
        <v>35</v>
      </c>
      <c r="J29" s="18" t="s">
        <v>200</v>
      </c>
      <c r="K29" s="19">
        <v>6000</v>
      </c>
      <c r="L29" s="19">
        <v>6000</v>
      </c>
      <c r="M29" s="19">
        <v>6000</v>
      </c>
      <c r="N29" s="19">
        <v>6000</v>
      </c>
      <c r="O29" s="19">
        <v>6000</v>
      </c>
      <c r="P29" s="19">
        <v>8000</v>
      </c>
      <c r="Q29" s="19">
        <v>8000</v>
      </c>
      <c r="R29" s="19">
        <v>8000</v>
      </c>
      <c r="S29" s="19"/>
      <c r="T29" s="19"/>
      <c r="U29" s="19"/>
      <c r="V29" s="19"/>
      <c r="W29" s="20">
        <f>SUM(K29:V29)</f>
      </c>
      <c r="X29" s="16" t="s">
        <v>35</v>
      </c>
      <c r="Y29" s="21" t="s">
        <v>205</v>
      </c>
      <c r="Z29" s="21" t="s">
        <v>206</v>
      </c>
      <c r="AA29" s="21" t="s">
        <v>203</v>
      </c>
      <c r="AB29" s="21" t="s">
        <v>171</v>
      </c>
    </row>
    <row r="30" spans="1:28" x14ac:dyDescent="0.25">
      <c r="A30" s="16">
        <v>28</v>
      </c>
      <c r="B30" s="16" t="s">
        <v>162</v>
      </c>
      <c r="C30" s="16" t="s">
        <v>198</v>
      </c>
      <c r="D30" s="16" t="s">
        <v>198</v>
      </c>
      <c r="E30" s="16" t="s">
        <v>207</v>
      </c>
      <c r="F30" s="16" t="s">
        <v>165</v>
      </c>
      <c r="G30" s="17">
        <v>46204</v>
      </c>
      <c r="H30" s="17">
        <v>46568</v>
      </c>
      <c r="I30" s="18" t="s">
        <v>35</v>
      </c>
      <c r="J30" s="18" t="s">
        <v>200</v>
      </c>
      <c r="K30" s="19">
        <v>6000</v>
      </c>
      <c r="L30" s="19">
        <v>6000</v>
      </c>
      <c r="M30" s="19">
        <v>6000</v>
      </c>
      <c r="N30" s="19">
        <v>6000</v>
      </c>
      <c r="O30" s="19">
        <v>6000</v>
      </c>
      <c r="P30" s="19">
        <v>8000</v>
      </c>
      <c r="Q30" s="19">
        <v>8000</v>
      </c>
      <c r="R30" s="19">
        <v>8000</v>
      </c>
      <c r="S30" s="19"/>
      <c r="T30" s="19"/>
      <c r="U30" s="19"/>
      <c r="V30" s="19"/>
      <c r="W30" s="20">
        <f>SUM(K30:V30)</f>
      </c>
      <c r="X30" s="16" t="s">
        <v>35</v>
      </c>
      <c r="Y30" s="21" t="s">
        <v>208</v>
      </c>
      <c r="Z30" s="21" t="s">
        <v>209</v>
      </c>
      <c r="AA30" s="21" t="s">
        <v>203</v>
      </c>
      <c r="AB30" s="21" t="s">
        <v>171</v>
      </c>
    </row>
    <row r="31" spans="1:28" x14ac:dyDescent="0.25">
      <c r="A31" s="16">
        <v>29</v>
      </c>
      <c r="B31" s="16" t="s">
        <v>162</v>
      </c>
      <c r="C31" s="16" t="s">
        <v>210</v>
      </c>
      <c r="D31" s="16" t="s">
        <v>211</v>
      </c>
      <c r="E31" s="16" t="s">
        <v>212</v>
      </c>
      <c r="F31" s="16" t="s">
        <v>165</v>
      </c>
      <c r="G31" s="17">
        <v>45078</v>
      </c>
      <c r="H31" s="17">
        <v>46173</v>
      </c>
      <c r="I31" s="18" t="s">
        <v>35</v>
      </c>
      <c r="J31" s="18" t="s">
        <v>213</v>
      </c>
      <c r="K31" s="19">
        <v>11495</v>
      </c>
      <c r="L31" s="19">
        <v>11495</v>
      </c>
      <c r="M31" s="19">
        <v>11495</v>
      </c>
      <c r="N31" s="19">
        <v>11495</v>
      </c>
      <c r="O31" s="19">
        <v>11495</v>
      </c>
      <c r="P31" s="19"/>
      <c r="Q31" s="19"/>
      <c r="R31" s="19"/>
      <c r="S31" s="19"/>
      <c r="T31" s="19"/>
      <c r="U31" s="19"/>
      <c r="V31" s="19"/>
      <c r="W31" s="20">
        <f>SUM(K31:V31)</f>
      </c>
      <c r="X31" s="16" t="s">
        <v>35</v>
      </c>
      <c r="Y31" s="21" t="s">
        <v>214</v>
      </c>
      <c r="Z31" s="21" t="s">
        <v>215</v>
      </c>
      <c r="AA31" s="21" t="s">
        <v>216</v>
      </c>
      <c r="AB31" s="21" t="s">
        <v>171</v>
      </c>
    </row>
    <row r="32" spans="1:28" x14ac:dyDescent="0.25">
      <c r="A32" s="16">
        <v>30</v>
      </c>
      <c r="B32" s="16" t="s">
        <v>162</v>
      </c>
      <c r="C32" s="16" t="s">
        <v>217</v>
      </c>
      <c r="D32" s="16" t="s">
        <v>218</v>
      </c>
      <c r="E32" s="16" t="s">
        <v>100</v>
      </c>
      <c r="F32" s="16" t="s">
        <v>165</v>
      </c>
      <c r="G32" s="17">
        <v>45901</v>
      </c>
      <c r="H32" s="17">
        <v>46265</v>
      </c>
      <c r="I32" s="18" t="s">
        <v>35</v>
      </c>
      <c r="J32" s="18" t="s">
        <v>219</v>
      </c>
      <c r="K32" s="19">
        <v>16500</v>
      </c>
      <c r="L32" s="19">
        <v>16500</v>
      </c>
      <c r="M32" s="19">
        <v>16500</v>
      </c>
      <c r="N32" s="19">
        <v>16500</v>
      </c>
      <c r="O32" s="19">
        <v>16500</v>
      </c>
      <c r="P32" s="19">
        <v>16500</v>
      </c>
      <c r="Q32" s="19">
        <v>16500</v>
      </c>
      <c r="R32" s="19">
        <v>16500</v>
      </c>
      <c r="S32" s="19"/>
      <c r="T32" s="19"/>
      <c r="U32" s="19"/>
      <c r="V32" s="19"/>
      <c r="W32" s="20">
        <f>SUM(K32:V32)</f>
      </c>
      <c r="X32" s="16" t="s">
        <v>35</v>
      </c>
      <c r="Y32" s="21" t="s">
        <v>220</v>
      </c>
      <c r="Z32" s="21" t="s">
        <v>221</v>
      </c>
      <c r="AA32" s="21" t="s">
        <v>222</v>
      </c>
      <c r="AB32" s="21" t="s">
        <v>171</v>
      </c>
    </row>
    <row r="33" spans="1:28" x14ac:dyDescent="0.25">
      <c r="A33" s="16">
        <v>31</v>
      </c>
      <c r="B33" s="16" t="s">
        <v>162</v>
      </c>
      <c r="C33" s="16" t="s">
        <v>223</v>
      </c>
      <c r="D33" s="16" t="s">
        <v>224</v>
      </c>
      <c r="E33" s="16" t="s">
        <v>225</v>
      </c>
      <c r="F33" s="16" t="s">
        <v>165</v>
      </c>
      <c r="G33" s="17">
        <v>45839</v>
      </c>
      <c r="H33" s="17">
        <v>46203</v>
      </c>
      <c r="I33" s="18" t="s">
        <v>35</v>
      </c>
      <c r="J33" s="18" t="s">
        <v>226</v>
      </c>
      <c r="K33" s="19">
        <v>12500</v>
      </c>
      <c r="L33" s="19">
        <v>12500</v>
      </c>
      <c r="M33" s="19">
        <v>12500</v>
      </c>
      <c r="N33" s="19">
        <v>12500</v>
      </c>
      <c r="O33" s="19">
        <v>12500</v>
      </c>
      <c r="P33" s="19">
        <v>12500</v>
      </c>
      <c r="Q33" s="19"/>
      <c r="R33" s="19"/>
      <c r="S33" s="19"/>
      <c r="T33" s="19"/>
      <c r="U33" s="19"/>
      <c r="V33" s="19"/>
      <c r="W33" s="20">
        <f>SUM(K33:V33)</f>
      </c>
      <c r="X33" s="16" t="s">
        <v>35</v>
      </c>
      <c r="Y33" s="21" t="s">
        <v>227</v>
      </c>
      <c r="Z33" s="21" t="s">
        <v>228</v>
      </c>
      <c r="AA33" s="21" t="s">
        <v>229</v>
      </c>
      <c r="AB33" s="21" t="s">
        <v>171</v>
      </c>
    </row>
    <row r="34" spans="1:28" x14ac:dyDescent="0.25">
      <c r="A34" s="16">
        <v>32</v>
      </c>
      <c r="B34" s="16" t="s">
        <v>162</v>
      </c>
      <c r="C34" s="16" t="s">
        <v>230</v>
      </c>
      <c r="D34" s="16" t="s">
        <v>231</v>
      </c>
      <c r="E34" s="16" t="s">
        <v>225</v>
      </c>
      <c r="F34" s="16" t="s">
        <v>165</v>
      </c>
      <c r="G34" s="17">
        <v>46204</v>
      </c>
      <c r="H34" s="17">
        <v>46568</v>
      </c>
      <c r="I34" s="18" t="s">
        <v>35</v>
      </c>
      <c r="J34" s="18" t="s">
        <v>232</v>
      </c>
      <c r="K34" s="19"/>
      <c r="L34" s="19"/>
      <c r="M34" s="19"/>
      <c r="N34" s="19"/>
      <c r="O34" s="19"/>
      <c r="P34" s="19"/>
      <c r="Q34" s="19">
        <v>14500</v>
      </c>
      <c r="R34" s="19">
        <v>14500</v>
      </c>
      <c r="S34" s="19"/>
      <c r="T34" s="19"/>
      <c r="U34" s="19"/>
      <c r="V34" s="19"/>
      <c r="W34" s="20">
        <f>SUM(K34:V34)</f>
      </c>
      <c r="X34" s="16" t="s">
        <v>35</v>
      </c>
      <c r="Y34" s="21" t="s">
        <v>233</v>
      </c>
      <c r="Z34" s="21" t="s">
        <v>228</v>
      </c>
      <c r="AA34" s="21" t="s">
        <v>234</v>
      </c>
      <c r="AB34" s="21" t="s">
        <v>171</v>
      </c>
    </row>
    <row r="35" spans="1:28" x14ac:dyDescent="0.25">
      <c r="A35" s="16">
        <v>33</v>
      </c>
      <c r="B35" s="16" t="s">
        <v>162</v>
      </c>
      <c r="C35" s="16" t="s">
        <v>235</v>
      </c>
      <c r="D35" s="16" t="s">
        <v>235</v>
      </c>
      <c r="E35" s="16" t="s">
        <v>236</v>
      </c>
      <c r="F35" s="16" t="s">
        <v>165</v>
      </c>
      <c r="G35" s="17">
        <v>45977</v>
      </c>
      <c r="H35" s="17">
        <v>46341</v>
      </c>
      <c r="I35" s="18" t="s">
        <v>35</v>
      </c>
      <c r="J35" s="18" t="s">
        <v>237</v>
      </c>
      <c r="K35" s="19">
        <v>14000</v>
      </c>
      <c r="L35" s="19">
        <v>14000</v>
      </c>
      <c r="M35" s="19">
        <v>14000</v>
      </c>
      <c r="N35" s="19">
        <v>14000</v>
      </c>
      <c r="O35" s="19">
        <v>14000</v>
      </c>
      <c r="P35" s="19">
        <v>14000</v>
      </c>
      <c r="Q35" s="19">
        <v>14000</v>
      </c>
      <c r="R35" s="19">
        <v>14000</v>
      </c>
      <c r="S35" s="19"/>
      <c r="T35" s="19"/>
      <c r="U35" s="19"/>
      <c r="V35" s="19"/>
      <c r="W35" s="20">
        <f>SUM(K35:V35)</f>
      </c>
      <c r="X35" s="16" t="s">
        <v>35</v>
      </c>
      <c r="Y35" s="21" t="s">
        <v>238</v>
      </c>
      <c r="Z35" s="21" t="s">
        <v>239</v>
      </c>
      <c r="AA35" s="21" t="s">
        <v>240</v>
      </c>
      <c r="AB35" s="21" t="s">
        <v>171</v>
      </c>
    </row>
    <row r="36" spans="1:28" x14ac:dyDescent="0.25">
      <c r="A36" s="16">
        <v>34</v>
      </c>
      <c r="B36" s="16" t="s">
        <v>162</v>
      </c>
      <c r="C36" s="16" t="s">
        <v>241</v>
      </c>
      <c r="D36" s="16" t="s">
        <v>242</v>
      </c>
      <c r="E36" s="16" t="s">
        <v>243</v>
      </c>
      <c r="F36" s="16" t="s">
        <v>165</v>
      </c>
      <c r="G36" s="17">
        <v>45901</v>
      </c>
      <c r="H36" s="17">
        <v>46264</v>
      </c>
      <c r="I36" s="18" t="s">
        <v>35</v>
      </c>
      <c r="J36" s="18" t="s">
        <v>244</v>
      </c>
      <c r="K36" s="19">
        <v>16500</v>
      </c>
      <c r="L36" s="19">
        <v>16500</v>
      </c>
      <c r="M36" s="19">
        <v>16500</v>
      </c>
      <c r="N36" s="19">
        <v>16500</v>
      </c>
      <c r="O36" s="19">
        <v>16500</v>
      </c>
      <c r="P36" s="19">
        <v>16500</v>
      </c>
      <c r="Q36" s="19">
        <v>16500</v>
      </c>
      <c r="R36" s="19">
        <v>16500</v>
      </c>
      <c r="S36" s="19"/>
      <c r="T36" s="19"/>
      <c r="U36" s="19"/>
      <c r="V36" s="19"/>
      <c r="W36" s="20">
        <f>SUM(K36:V36)</f>
      </c>
      <c r="X36" s="16" t="s">
        <v>35</v>
      </c>
      <c r="Y36" s="21" t="s">
        <v>245</v>
      </c>
      <c r="Z36" s="21" t="s">
        <v>246</v>
      </c>
      <c r="AA36" s="21" t="s">
        <v>247</v>
      </c>
      <c r="AB36" s="21" t="s">
        <v>171</v>
      </c>
    </row>
    <row r="37" spans="1:28" x14ac:dyDescent="0.25">
      <c r="A37" s="16">
        <v>35</v>
      </c>
      <c r="B37" s="16" t="s">
        <v>162</v>
      </c>
      <c r="C37" s="16" t="s">
        <v>248</v>
      </c>
      <c r="D37" s="16" t="s">
        <v>249</v>
      </c>
      <c r="E37" s="16" t="s">
        <v>250</v>
      </c>
      <c r="F37" s="16" t="s">
        <v>165</v>
      </c>
      <c r="G37" s="17">
        <v>46143</v>
      </c>
      <c r="H37" s="17">
        <v>46507</v>
      </c>
      <c r="I37" s="18" t="s">
        <v>35</v>
      </c>
      <c r="J37" s="18" t="s">
        <v>251</v>
      </c>
      <c r="K37" s="19"/>
      <c r="L37" s="19"/>
      <c r="M37" s="19"/>
      <c r="N37" s="19"/>
      <c r="O37" s="19">
        <v>20000</v>
      </c>
      <c r="P37" s="19">
        <v>20000</v>
      </c>
      <c r="Q37" s="19">
        <v>20000</v>
      </c>
      <c r="R37" s="19">
        <v>20000</v>
      </c>
      <c r="S37" s="19"/>
      <c r="T37" s="19"/>
      <c r="U37" s="19"/>
      <c r="V37" s="19"/>
      <c r="W37" s="20">
        <f>SUM(K37:V37)</f>
      </c>
      <c r="X37" s="16" t="s">
        <v>35</v>
      </c>
      <c r="Y37" s="21" t="s">
        <v>252</v>
      </c>
      <c r="Z37" s="21" t="s">
        <v>253</v>
      </c>
      <c r="AA37" s="21" t="s">
        <v>254</v>
      </c>
      <c r="AB37" s="21" t="s">
        <v>171</v>
      </c>
    </row>
    <row r="38" spans="1:28" x14ac:dyDescent="0.25">
      <c r="A38" s="16">
        <v>36</v>
      </c>
      <c r="B38" s="16" t="s">
        <v>162</v>
      </c>
      <c r="C38" s="16" t="s">
        <v>255</v>
      </c>
      <c r="D38" s="16" t="s">
        <v>256</v>
      </c>
      <c r="E38" s="16" t="s">
        <v>257</v>
      </c>
      <c r="F38" s="16" t="s">
        <v>165</v>
      </c>
      <c r="G38" s="17">
        <v>45383</v>
      </c>
      <c r="H38" s="17">
        <v>46477</v>
      </c>
      <c r="I38" s="18" t="s">
        <v>258</v>
      </c>
      <c r="J38" s="18" t="s">
        <v>259</v>
      </c>
      <c r="K38" s="19">
        <v>19250</v>
      </c>
      <c r="L38" s="19">
        <v>19250</v>
      </c>
      <c r="M38" s="19">
        <v>19250</v>
      </c>
      <c r="N38" s="19">
        <v>21175</v>
      </c>
      <c r="O38" s="19">
        <v>21175</v>
      </c>
      <c r="P38" s="19">
        <v>21175</v>
      </c>
      <c r="Q38" s="19">
        <v>21175</v>
      </c>
      <c r="R38" s="19">
        <v>21175</v>
      </c>
      <c r="S38" s="19"/>
      <c r="T38" s="19"/>
      <c r="U38" s="19"/>
      <c r="V38" s="19"/>
      <c r="W38" s="20">
        <f>SUM(K38:V38)</f>
      </c>
      <c r="X38" s="16" t="s">
        <v>35</v>
      </c>
      <c r="Y38" s="21" t="s">
        <v>260</v>
      </c>
      <c r="Z38" s="21" t="s">
        <v>261</v>
      </c>
      <c r="AA38" s="21" t="s">
        <v>262</v>
      </c>
      <c r="AB38" s="21" t="s">
        <v>171</v>
      </c>
    </row>
    <row r="39" spans="1:28" x14ac:dyDescent="0.25">
      <c r="A39" s="16">
        <v>37</v>
      </c>
      <c r="B39" s="16" t="s">
        <v>162</v>
      </c>
      <c r="C39" s="16" t="s">
        <v>263</v>
      </c>
      <c r="D39" s="16" t="s">
        <v>263</v>
      </c>
      <c r="E39" s="16" t="s">
        <v>107</v>
      </c>
      <c r="F39" s="16" t="s">
        <v>165</v>
      </c>
      <c r="G39" s="17">
        <v>45920</v>
      </c>
      <c r="H39" s="17">
        <v>46284</v>
      </c>
      <c r="I39" s="18" t="s">
        <v>35</v>
      </c>
      <c r="J39" s="18" t="s">
        <v>264</v>
      </c>
      <c r="K39" s="19">
        <v>17000</v>
      </c>
      <c r="L39" s="19">
        <v>17000</v>
      </c>
      <c r="M39" s="19">
        <v>17000</v>
      </c>
      <c r="N39" s="19">
        <v>17000</v>
      </c>
      <c r="O39" s="19">
        <v>17000</v>
      </c>
      <c r="P39" s="19"/>
      <c r="Q39" s="19"/>
      <c r="R39" s="19"/>
      <c r="S39" s="19"/>
      <c r="T39" s="19"/>
      <c r="U39" s="19"/>
      <c r="V39" s="19"/>
      <c r="W39" s="20">
        <f>SUM(K39:V39)</f>
      </c>
      <c r="X39" s="16" t="s">
        <v>35</v>
      </c>
      <c r="Y39" s="21" t="s">
        <v>265</v>
      </c>
      <c r="Z39" s="21" t="s">
        <v>266</v>
      </c>
      <c r="AA39" s="21" t="s">
        <v>267</v>
      </c>
      <c r="AB39" s="21" t="s">
        <v>171</v>
      </c>
    </row>
    <row r="40" spans="1:28" x14ac:dyDescent="0.25">
      <c r="A40" s="16">
        <v>38</v>
      </c>
      <c r="B40" s="16" t="s">
        <v>162</v>
      </c>
      <c r="C40" s="16" t="s">
        <v>268</v>
      </c>
      <c r="D40" s="16" t="s">
        <v>268</v>
      </c>
      <c r="E40" s="16" t="s">
        <v>113</v>
      </c>
      <c r="F40" s="16" t="s">
        <v>165</v>
      </c>
      <c r="G40" s="17">
        <v>45916</v>
      </c>
      <c r="H40" s="17">
        <v>46280</v>
      </c>
      <c r="I40" s="18" t="s">
        <v>269</v>
      </c>
      <c r="J40" s="18" t="s">
        <v>270</v>
      </c>
      <c r="K40" s="19">
        <v>17000</v>
      </c>
      <c r="L40" s="19">
        <v>17000</v>
      </c>
      <c r="M40" s="19">
        <v>17000</v>
      </c>
      <c r="N40" s="19">
        <v>17000</v>
      </c>
      <c r="O40" s="19">
        <v>17000</v>
      </c>
      <c r="P40" s="19">
        <v>17000</v>
      </c>
      <c r="Q40" s="19">
        <v>17000</v>
      </c>
      <c r="R40" s="19">
        <v>17000</v>
      </c>
      <c r="S40" s="19"/>
      <c r="T40" s="19"/>
      <c r="U40" s="19"/>
      <c r="V40" s="19"/>
      <c r="W40" s="20">
        <f>SUM(K40:V40)</f>
      </c>
      <c r="X40" s="16" t="s">
        <v>35</v>
      </c>
      <c r="Y40" s="21" t="s">
        <v>271</v>
      </c>
      <c r="Z40" s="21" t="s">
        <v>272</v>
      </c>
      <c r="AA40" s="21" t="s">
        <v>273</v>
      </c>
      <c r="AB40" s="21" t="s">
        <v>171</v>
      </c>
    </row>
    <row r="41" spans="1:28" x14ac:dyDescent="0.25">
      <c r="A41" s="16">
        <v>39</v>
      </c>
      <c r="B41" s="16" t="s">
        <v>162</v>
      </c>
      <c r="C41" s="16" t="s">
        <v>177</v>
      </c>
      <c r="D41" s="16" t="s">
        <v>177</v>
      </c>
      <c r="E41" s="16" t="s">
        <v>120</v>
      </c>
      <c r="F41" s="16" t="s">
        <v>165</v>
      </c>
      <c r="G41" s="17">
        <v>46054</v>
      </c>
      <c r="H41" s="17">
        <v>46418</v>
      </c>
      <c r="I41" s="18" t="s">
        <v>35</v>
      </c>
      <c r="J41" s="18" t="s">
        <v>179</v>
      </c>
      <c r="K41" s="19"/>
      <c r="L41" s="19">
        <v>19000</v>
      </c>
      <c r="M41" s="19">
        <v>19000</v>
      </c>
      <c r="N41" s="19">
        <v>19000</v>
      </c>
      <c r="O41" s="19">
        <v>19000</v>
      </c>
      <c r="P41" s="19">
        <v>19000</v>
      </c>
      <c r="Q41" s="19">
        <v>19000</v>
      </c>
      <c r="R41" s="19">
        <v>19000</v>
      </c>
      <c r="S41" s="19"/>
      <c r="T41" s="19"/>
      <c r="U41" s="19"/>
      <c r="V41" s="19"/>
      <c r="W41" s="20">
        <f>SUM(K41:V41)</f>
      </c>
      <c r="X41" s="16" t="s">
        <v>35</v>
      </c>
      <c r="Y41" s="21" t="s">
        <v>274</v>
      </c>
      <c r="Z41" s="21" t="s">
        <v>275</v>
      </c>
      <c r="AA41" s="21" t="s">
        <v>182</v>
      </c>
      <c r="AB41" s="21" t="s">
        <v>171</v>
      </c>
    </row>
    <row r="42" spans="1:28" x14ac:dyDescent="0.25">
      <c r="A42" s="16">
        <v>40</v>
      </c>
      <c r="B42" s="16" t="s">
        <v>162</v>
      </c>
      <c r="C42" s="16" t="s">
        <v>276</v>
      </c>
      <c r="D42" s="16" t="s">
        <v>276</v>
      </c>
      <c r="E42" s="16" t="s">
        <v>126</v>
      </c>
      <c r="F42" s="16" t="s">
        <v>165</v>
      </c>
      <c r="G42" s="17">
        <v>44968</v>
      </c>
      <c r="H42" s="17">
        <v>46063</v>
      </c>
      <c r="I42" s="18" t="s">
        <v>35</v>
      </c>
      <c r="J42" s="18" t="s">
        <v>277</v>
      </c>
      <c r="K42" s="19">
        <v>7565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20">
        <f>SUM(K42:V42)</f>
      </c>
      <c r="X42" s="16" t="s">
        <v>35</v>
      </c>
      <c r="Y42" s="21" t="s">
        <v>278</v>
      </c>
      <c r="Z42" s="21" t="s">
        <v>279</v>
      </c>
      <c r="AA42" s="21" t="s">
        <v>280</v>
      </c>
      <c r="AB42" s="21" t="s">
        <v>171</v>
      </c>
    </row>
    <row r="43" spans="1:28" x14ac:dyDescent="0.25">
      <c r="A43" s="16">
        <v>41</v>
      </c>
      <c r="B43" s="16" t="s">
        <v>162</v>
      </c>
      <c r="C43" s="16" t="s">
        <v>281</v>
      </c>
      <c r="D43" s="16" t="s">
        <v>281</v>
      </c>
      <c r="E43" s="16" t="s">
        <v>126</v>
      </c>
      <c r="F43" s="16" t="s">
        <v>165</v>
      </c>
      <c r="G43" s="17">
        <v>46235</v>
      </c>
      <c r="H43" s="17">
        <v>46599</v>
      </c>
      <c r="I43" s="18" t="s">
        <v>35</v>
      </c>
      <c r="J43" s="18" t="s">
        <v>282</v>
      </c>
      <c r="K43" s="19"/>
      <c r="L43" s="19"/>
      <c r="M43" s="19"/>
      <c r="N43" s="19"/>
      <c r="O43" s="19"/>
      <c r="P43" s="19"/>
      <c r="Q43" s="19"/>
      <c r="R43" s="19">
        <v>14000</v>
      </c>
      <c r="S43" s="19"/>
      <c r="T43" s="19"/>
      <c r="U43" s="19"/>
      <c r="V43" s="19"/>
      <c r="W43" s="20">
        <f>SUM(K43:V43)</f>
      </c>
      <c r="X43" s="16" t="s">
        <v>35</v>
      </c>
      <c r="Y43" s="21" t="s">
        <v>283</v>
      </c>
      <c r="Z43" s="21" t="s">
        <v>279</v>
      </c>
      <c r="AA43" s="21" t="s">
        <v>284</v>
      </c>
      <c r="AB43" s="21" t="s">
        <v>171</v>
      </c>
    </row>
    <row r="44" spans="1:28" x14ac:dyDescent="0.25">
      <c r="A44" s="16">
        <v>42</v>
      </c>
      <c r="B44" s="16" t="s">
        <v>162</v>
      </c>
      <c r="C44" s="16" t="s">
        <v>285</v>
      </c>
      <c r="D44" s="16" t="s">
        <v>286</v>
      </c>
      <c r="E44" s="16" t="s">
        <v>287</v>
      </c>
      <c r="F44" s="16" t="s">
        <v>165</v>
      </c>
      <c r="G44" s="17">
        <v>46023</v>
      </c>
      <c r="H44" s="17">
        <v>46387</v>
      </c>
      <c r="I44" s="18" t="s">
        <v>288</v>
      </c>
      <c r="J44" s="18" t="s">
        <v>289</v>
      </c>
      <c r="K44" s="19">
        <v>11500</v>
      </c>
      <c r="L44" s="19">
        <v>11500</v>
      </c>
      <c r="M44" s="19">
        <v>11500</v>
      </c>
      <c r="N44" s="19">
        <v>11500</v>
      </c>
      <c r="O44" s="19">
        <v>11500</v>
      </c>
      <c r="P44" s="19">
        <v>11500</v>
      </c>
      <c r="Q44" s="19">
        <v>11500</v>
      </c>
      <c r="R44" s="19">
        <v>11500</v>
      </c>
      <c r="S44" s="19"/>
      <c r="T44" s="19"/>
      <c r="U44" s="19"/>
      <c r="V44" s="19"/>
      <c r="W44" s="20">
        <f>SUM(K44:V44)</f>
      </c>
      <c r="X44" s="16" t="s">
        <v>35</v>
      </c>
      <c r="Y44" s="21" t="s">
        <v>290</v>
      </c>
      <c r="Z44" s="21" t="s">
        <v>291</v>
      </c>
      <c r="AA44" s="21" t="s">
        <v>292</v>
      </c>
      <c r="AB44" s="21" t="s">
        <v>171</v>
      </c>
    </row>
    <row r="45" spans="1:28" x14ac:dyDescent="0.25">
      <c r="A45" s="16">
        <v>43</v>
      </c>
      <c r="B45" s="16" t="s">
        <v>162</v>
      </c>
      <c r="C45" s="16" t="s">
        <v>293</v>
      </c>
      <c r="D45" s="16" t="s">
        <v>293</v>
      </c>
      <c r="E45" s="16" t="s">
        <v>294</v>
      </c>
      <c r="F45" s="16" t="s">
        <v>165</v>
      </c>
      <c r="G45" s="17">
        <v>45261</v>
      </c>
      <c r="H45" s="17">
        <v>46356</v>
      </c>
      <c r="I45" s="18" t="s">
        <v>35</v>
      </c>
      <c r="J45" s="18" t="s">
        <v>295</v>
      </c>
      <c r="K45" s="19">
        <v>11195</v>
      </c>
      <c r="L45" s="19">
        <v>11195</v>
      </c>
      <c r="M45" s="19">
        <v>11195</v>
      </c>
      <c r="N45" s="19">
        <v>11195</v>
      </c>
      <c r="O45" s="19">
        <v>11195</v>
      </c>
      <c r="P45" s="19">
        <v>11195</v>
      </c>
      <c r="Q45" s="19">
        <v>11195</v>
      </c>
      <c r="R45" s="19">
        <v>11195</v>
      </c>
      <c r="S45" s="19"/>
      <c r="T45" s="19"/>
      <c r="U45" s="19"/>
      <c r="V45" s="19"/>
      <c r="W45" s="20">
        <f>SUM(K45:V45)</f>
      </c>
      <c r="X45" s="16" t="s">
        <v>35</v>
      </c>
      <c r="Y45" s="21" t="s">
        <v>296</v>
      </c>
      <c r="Z45" s="21" t="s">
        <v>297</v>
      </c>
      <c r="AA45" s="21" t="s">
        <v>298</v>
      </c>
      <c r="AB45" s="21" t="s">
        <v>171</v>
      </c>
    </row>
    <row r="46" spans="1:28" x14ac:dyDescent="0.25">
      <c r="A46" s="16">
        <v>44</v>
      </c>
      <c r="B46" s="16" t="s">
        <v>162</v>
      </c>
      <c r="C46" s="16" t="s">
        <v>299</v>
      </c>
      <c r="D46" s="16" t="s">
        <v>300</v>
      </c>
      <c r="E46" s="16" t="s">
        <v>301</v>
      </c>
      <c r="F46" s="16" t="s">
        <v>165</v>
      </c>
      <c r="G46" s="17">
        <v>45627</v>
      </c>
      <c r="H46" s="17">
        <v>46721</v>
      </c>
      <c r="I46" s="18" t="s">
        <v>35</v>
      </c>
      <c r="J46" s="18" t="s">
        <v>302</v>
      </c>
      <c r="K46" s="19">
        <v>12100</v>
      </c>
      <c r="L46" s="19">
        <v>12100</v>
      </c>
      <c r="M46" s="19">
        <v>12100</v>
      </c>
      <c r="N46" s="19">
        <v>12100</v>
      </c>
      <c r="O46" s="19">
        <v>12100</v>
      </c>
      <c r="P46" s="19">
        <v>12100</v>
      </c>
      <c r="Q46" s="19">
        <v>12100</v>
      </c>
      <c r="R46" s="19">
        <v>12100</v>
      </c>
      <c r="S46" s="19"/>
      <c r="T46" s="19"/>
      <c r="U46" s="19"/>
      <c r="V46" s="19"/>
      <c r="W46" s="20">
        <f>SUM(K46:V46)</f>
      </c>
      <c r="X46" s="16" t="s">
        <v>35</v>
      </c>
      <c r="Y46" s="21" t="s">
        <v>303</v>
      </c>
      <c r="Z46" s="21" t="s">
        <v>304</v>
      </c>
      <c r="AA46" s="21" t="s">
        <v>305</v>
      </c>
      <c r="AB46" s="21" t="s">
        <v>171</v>
      </c>
    </row>
    <row r="47" spans="1:28" x14ac:dyDescent="0.25">
      <c r="A47" s="16">
        <v>45</v>
      </c>
      <c r="B47" s="16" t="s">
        <v>162</v>
      </c>
      <c r="C47" s="16" t="s">
        <v>306</v>
      </c>
      <c r="D47" s="16" t="s">
        <v>307</v>
      </c>
      <c r="E47" s="16" t="s">
        <v>131</v>
      </c>
      <c r="F47" s="16" t="s">
        <v>165</v>
      </c>
      <c r="G47" s="17">
        <v>45444</v>
      </c>
      <c r="H47" s="17">
        <v>46538</v>
      </c>
      <c r="I47" s="18" t="s">
        <v>308</v>
      </c>
      <c r="J47" s="18" t="s">
        <v>309</v>
      </c>
      <c r="K47" s="19">
        <v>11000</v>
      </c>
      <c r="L47" s="19">
        <v>11000</v>
      </c>
      <c r="M47" s="19">
        <v>11000</v>
      </c>
      <c r="N47" s="19">
        <v>11000</v>
      </c>
      <c r="O47" s="19">
        <v>11000</v>
      </c>
      <c r="P47" s="19">
        <v>12100</v>
      </c>
      <c r="Q47" s="19">
        <v>12100</v>
      </c>
      <c r="R47" s="19">
        <v>12100</v>
      </c>
      <c r="S47" s="19"/>
      <c r="T47" s="19"/>
      <c r="U47" s="19"/>
      <c r="V47" s="19"/>
      <c r="W47" s="20">
        <f>SUM(K47:V47)</f>
      </c>
      <c r="X47" s="16" t="s">
        <v>35</v>
      </c>
      <c r="Y47" s="21" t="s">
        <v>310</v>
      </c>
      <c r="Z47" s="21" t="s">
        <v>311</v>
      </c>
      <c r="AA47" s="21" t="s">
        <v>312</v>
      </c>
      <c r="AB47" s="21" t="s">
        <v>171</v>
      </c>
    </row>
    <row r="48" spans="1:28" x14ac:dyDescent="0.25">
      <c r="A48" s="16">
        <v>46</v>
      </c>
      <c r="B48" s="16" t="s">
        <v>162</v>
      </c>
      <c r="C48" s="16" t="s">
        <v>313</v>
      </c>
      <c r="D48" s="16" t="s">
        <v>314</v>
      </c>
      <c r="E48" s="16" t="s">
        <v>315</v>
      </c>
      <c r="F48" s="16" t="s">
        <v>165</v>
      </c>
      <c r="G48" s="17">
        <v>45307</v>
      </c>
      <c r="H48" s="17">
        <v>46402</v>
      </c>
      <c r="I48" s="18" t="s">
        <v>35</v>
      </c>
      <c r="J48" s="18" t="s">
        <v>316</v>
      </c>
      <c r="K48" s="19">
        <v>14850</v>
      </c>
      <c r="L48" s="19">
        <v>14850</v>
      </c>
      <c r="M48" s="19">
        <v>16335</v>
      </c>
      <c r="N48" s="19">
        <v>16335</v>
      </c>
      <c r="O48" s="19">
        <v>16335</v>
      </c>
      <c r="P48" s="19">
        <v>16335</v>
      </c>
      <c r="Q48" s="19">
        <v>16335</v>
      </c>
      <c r="R48" s="19">
        <v>16335</v>
      </c>
      <c r="S48" s="19"/>
      <c r="T48" s="19"/>
      <c r="U48" s="19"/>
      <c r="V48" s="19"/>
      <c r="W48" s="20">
        <f>SUM(K48:V48)</f>
      </c>
      <c r="X48" s="16" t="s">
        <v>35</v>
      </c>
      <c r="Y48" s="21" t="s">
        <v>317</v>
      </c>
      <c r="Z48" s="21" t="s">
        <v>318</v>
      </c>
      <c r="AA48" s="21" t="s">
        <v>319</v>
      </c>
      <c r="AB48" s="21" t="s">
        <v>171</v>
      </c>
    </row>
    <row r="49" spans="1:28" x14ac:dyDescent="0.25">
      <c r="A49" s="16">
        <v>47</v>
      </c>
      <c r="B49" s="16" t="s">
        <v>162</v>
      </c>
      <c r="C49" s="16" t="s">
        <v>320</v>
      </c>
      <c r="D49" s="16" t="s">
        <v>320</v>
      </c>
      <c r="E49" s="16" t="s">
        <v>138</v>
      </c>
      <c r="F49" s="16" t="s">
        <v>165</v>
      </c>
      <c r="G49" s="17">
        <v>46174</v>
      </c>
      <c r="H49" s="17">
        <v>46538</v>
      </c>
      <c r="I49" s="18" t="s">
        <v>35</v>
      </c>
      <c r="J49" s="18" t="s">
        <v>321</v>
      </c>
      <c r="K49" s="19">
        <v>12000</v>
      </c>
      <c r="L49" s="19">
        <v>12000</v>
      </c>
      <c r="M49" s="19">
        <v>12000</v>
      </c>
      <c r="N49" s="19">
        <v>12000</v>
      </c>
      <c r="O49" s="19">
        <v>12000</v>
      </c>
      <c r="P49" s="19">
        <v>13500</v>
      </c>
      <c r="Q49" s="19">
        <v>13500</v>
      </c>
      <c r="R49" s="19">
        <v>13500</v>
      </c>
      <c r="S49" s="19"/>
      <c r="T49" s="19"/>
      <c r="U49" s="19"/>
      <c r="V49" s="19"/>
      <c r="W49" s="20">
        <f>SUM(K49:V49)</f>
      </c>
      <c r="X49" s="16" t="s">
        <v>35</v>
      </c>
      <c r="Y49" s="21" t="s">
        <v>322</v>
      </c>
      <c r="Z49" s="21" t="s">
        <v>323</v>
      </c>
      <c r="AA49" s="21" t="s">
        <v>324</v>
      </c>
      <c r="AB49" s="21" t="s">
        <v>171</v>
      </c>
    </row>
    <row r="50" spans="1:28" x14ac:dyDescent="0.25">
      <c r="A50" s="16">
        <v>48</v>
      </c>
      <c r="B50" s="16" t="s">
        <v>162</v>
      </c>
      <c r="C50" s="16" t="s">
        <v>325</v>
      </c>
      <c r="D50" s="16" t="s">
        <v>326</v>
      </c>
      <c r="E50" s="16" t="s">
        <v>327</v>
      </c>
      <c r="F50" s="16" t="s">
        <v>165</v>
      </c>
      <c r="G50" s="17">
        <v>46082</v>
      </c>
      <c r="H50" s="17">
        <v>46446</v>
      </c>
      <c r="I50" s="18" t="s">
        <v>35</v>
      </c>
      <c r="J50" s="18" t="s">
        <v>328</v>
      </c>
      <c r="K50" s="19">
        <v>12000</v>
      </c>
      <c r="L50" s="19">
        <v>12000</v>
      </c>
      <c r="M50" s="19">
        <v>14000</v>
      </c>
      <c r="N50" s="19">
        <v>14000</v>
      </c>
      <c r="O50" s="19">
        <v>14000</v>
      </c>
      <c r="P50" s="19">
        <v>14000</v>
      </c>
      <c r="Q50" s="19">
        <v>14000</v>
      </c>
      <c r="R50" s="19">
        <v>14000</v>
      </c>
      <c r="S50" s="19"/>
      <c r="T50" s="19"/>
      <c r="U50" s="19"/>
      <c r="V50" s="19"/>
      <c r="W50" s="20">
        <f>SUM(K50:V50)</f>
      </c>
      <c r="X50" s="16" t="s">
        <v>35</v>
      </c>
      <c r="Y50" s="21" t="s">
        <v>329</v>
      </c>
      <c r="Z50" s="21" t="s">
        <v>330</v>
      </c>
      <c r="AA50" s="21" t="s">
        <v>331</v>
      </c>
      <c r="AB50" s="21" t="s">
        <v>171</v>
      </c>
    </row>
    <row r="51" spans="1:28" x14ac:dyDescent="0.25">
      <c r="A51" s="16">
        <v>49</v>
      </c>
      <c r="B51" s="16" t="s">
        <v>162</v>
      </c>
      <c r="C51" s="16" t="s">
        <v>332</v>
      </c>
      <c r="D51" s="16" t="s">
        <v>333</v>
      </c>
      <c r="E51" s="16" t="s">
        <v>334</v>
      </c>
      <c r="F51" s="16" t="s">
        <v>165</v>
      </c>
      <c r="G51" s="17">
        <v>45302</v>
      </c>
      <c r="H51" s="17">
        <v>46397</v>
      </c>
      <c r="I51" s="18" t="s">
        <v>35</v>
      </c>
      <c r="J51" s="18" t="s">
        <v>335</v>
      </c>
      <c r="K51" s="19">
        <v>14575</v>
      </c>
      <c r="L51" s="19">
        <v>14565</v>
      </c>
      <c r="M51" s="19">
        <v>16035</v>
      </c>
      <c r="N51" s="19">
        <v>16035</v>
      </c>
      <c r="O51" s="19">
        <v>16035</v>
      </c>
      <c r="P51" s="19">
        <v>16035</v>
      </c>
      <c r="Q51" s="19">
        <v>16035</v>
      </c>
      <c r="R51" s="19">
        <v>16035</v>
      </c>
      <c r="S51" s="19"/>
      <c r="T51" s="19"/>
      <c r="U51" s="19"/>
      <c r="V51" s="19"/>
      <c r="W51" s="20">
        <f>SUM(K51:V51)</f>
      </c>
      <c r="X51" s="16" t="s">
        <v>35</v>
      </c>
      <c r="Y51" s="21" t="s">
        <v>336</v>
      </c>
      <c r="Z51" s="21" t="s">
        <v>337</v>
      </c>
      <c r="AA51" s="21" t="s">
        <v>338</v>
      </c>
      <c r="AB51" s="21" t="s">
        <v>171</v>
      </c>
    </row>
    <row r="52" spans="1:28" x14ac:dyDescent="0.25">
      <c r="A52" s="16">
        <v>50</v>
      </c>
      <c r="B52" s="16" t="s">
        <v>162</v>
      </c>
      <c r="C52" s="16" t="s">
        <v>339</v>
      </c>
      <c r="D52" s="16" t="s">
        <v>276</v>
      </c>
      <c r="E52" s="16" t="s">
        <v>340</v>
      </c>
      <c r="F52" s="16" t="s">
        <v>165</v>
      </c>
      <c r="G52" s="17">
        <v>46023</v>
      </c>
      <c r="H52" s="17">
        <v>46387</v>
      </c>
      <c r="I52" s="18" t="s">
        <v>35</v>
      </c>
      <c r="J52" s="18" t="s">
        <v>341</v>
      </c>
      <c r="K52" s="19">
        <v>16500</v>
      </c>
      <c r="L52" s="19">
        <v>16500</v>
      </c>
      <c r="M52" s="19">
        <v>16500</v>
      </c>
      <c r="N52" s="19">
        <v>16500</v>
      </c>
      <c r="O52" s="19">
        <v>16500</v>
      </c>
      <c r="P52" s="19">
        <v>16500</v>
      </c>
      <c r="Q52" s="19">
        <v>16500</v>
      </c>
      <c r="R52" s="19">
        <v>16500</v>
      </c>
      <c r="S52" s="19"/>
      <c r="T52" s="19"/>
      <c r="U52" s="19"/>
      <c r="V52" s="19"/>
      <c r="W52" s="20">
        <f>SUM(K52:V52)</f>
      </c>
      <c r="X52" s="16" t="s">
        <v>342</v>
      </c>
      <c r="Y52" s="21" t="s">
        <v>343</v>
      </c>
      <c r="Z52" s="21" t="s">
        <v>344</v>
      </c>
      <c r="AA52" s="21" t="s">
        <v>345</v>
      </c>
      <c r="AB52" s="21" t="s">
        <v>171</v>
      </c>
    </row>
    <row r="53" spans="1:28" x14ac:dyDescent="0.25">
      <c r="A53" s="16">
        <v>51</v>
      </c>
      <c r="B53" s="16" t="s">
        <v>162</v>
      </c>
      <c r="C53" s="16" t="s">
        <v>346</v>
      </c>
      <c r="D53" s="16" t="s">
        <v>346</v>
      </c>
      <c r="E53" s="16" t="s">
        <v>347</v>
      </c>
      <c r="F53" s="16" t="s">
        <v>165</v>
      </c>
      <c r="G53" s="17">
        <v>45931</v>
      </c>
      <c r="H53" s="17">
        <v>46295</v>
      </c>
      <c r="I53" s="18" t="s">
        <v>35</v>
      </c>
      <c r="J53" s="18" t="s">
        <v>348</v>
      </c>
      <c r="K53" s="19">
        <v>18500</v>
      </c>
      <c r="L53" s="19">
        <v>18500</v>
      </c>
      <c r="M53" s="19">
        <v>18500</v>
      </c>
      <c r="N53" s="19">
        <v>18500</v>
      </c>
      <c r="O53" s="19">
        <v>18500</v>
      </c>
      <c r="P53" s="19">
        <v>18500</v>
      </c>
      <c r="Q53" s="19">
        <v>18500</v>
      </c>
      <c r="R53" s="19">
        <v>18500</v>
      </c>
      <c r="S53" s="19"/>
      <c r="T53" s="19"/>
      <c r="U53" s="19"/>
      <c r="V53" s="19"/>
      <c r="W53" s="20">
        <f>SUM(K53:V53)</f>
      </c>
      <c r="X53" s="16" t="s">
        <v>35</v>
      </c>
      <c r="Y53" s="21" t="s">
        <v>349</v>
      </c>
      <c r="Z53" s="21" t="s">
        <v>350</v>
      </c>
      <c r="AA53" s="21" t="s">
        <v>351</v>
      </c>
      <c r="AB53" s="21" t="s">
        <v>171</v>
      </c>
    </row>
    <row r="54" spans="1:28" x14ac:dyDescent="0.25">
      <c r="A54" s="16">
        <v>52</v>
      </c>
      <c r="B54" s="16" t="s">
        <v>162</v>
      </c>
      <c r="C54" s="16" t="s">
        <v>352</v>
      </c>
      <c r="D54" s="16" t="s">
        <v>353</v>
      </c>
      <c r="E54" s="16" t="s">
        <v>354</v>
      </c>
      <c r="F54" s="16" t="s">
        <v>165</v>
      </c>
      <c r="G54" s="17">
        <v>45870</v>
      </c>
      <c r="H54" s="17">
        <v>46234</v>
      </c>
      <c r="I54" s="18" t="s">
        <v>35</v>
      </c>
      <c r="J54" s="18" t="s">
        <v>355</v>
      </c>
      <c r="K54" s="19">
        <v>15000</v>
      </c>
      <c r="L54" s="19">
        <v>15000</v>
      </c>
      <c r="M54" s="19">
        <v>15000</v>
      </c>
      <c r="N54" s="19">
        <v>15000</v>
      </c>
      <c r="O54" s="19">
        <v>15000</v>
      </c>
      <c r="P54" s="19">
        <v>15000</v>
      </c>
      <c r="Q54" s="19">
        <v>15000</v>
      </c>
      <c r="R54" s="19"/>
      <c r="S54" s="19"/>
      <c r="T54" s="19"/>
      <c r="U54" s="19"/>
      <c r="V54" s="19"/>
      <c r="W54" s="20">
        <f>SUM(K54:V54)</f>
      </c>
      <c r="X54" s="16" t="s">
        <v>35</v>
      </c>
      <c r="Y54" s="21" t="s">
        <v>356</v>
      </c>
      <c r="Z54" s="21" t="s">
        <v>357</v>
      </c>
      <c r="AA54" s="21" t="s">
        <v>358</v>
      </c>
      <c r="AB54" s="21" t="s">
        <v>171</v>
      </c>
    </row>
    <row r="55" spans="1:28" x14ac:dyDescent="0.25">
      <c r="A55" s="16">
        <v>53</v>
      </c>
      <c r="B55" s="16" t="s">
        <v>162</v>
      </c>
      <c r="C55" s="16" t="s">
        <v>352</v>
      </c>
      <c r="D55" s="16" t="s">
        <v>353</v>
      </c>
      <c r="E55" s="16" t="s">
        <v>144</v>
      </c>
      <c r="F55" s="16" t="s">
        <v>165</v>
      </c>
      <c r="G55" s="17">
        <v>45870</v>
      </c>
      <c r="H55" s="17">
        <v>46234</v>
      </c>
      <c r="I55" s="18" t="s">
        <v>35</v>
      </c>
      <c r="J55" s="18" t="s">
        <v>355</v>
      </c>
      <c r="K55" s="19">
        <v>15000</v>
      </c>
      <c r="L55" s="19">
        <v>15000</v>
      </c>
      <c r="M55" s="19">
        <v>15000</v>
      </c>
      <c r="N55" s="19">
        <v>15000</v>
      </c>
      <c r="O55" s="19">
        <v>15000</v>
      </c>
      <c r="P55" s="19">
        <v>15000</v>
      </c>
      <c r="Q55" s="19">
        <v>15000</v>
      </c>
      <c r="R55" s="19"/>
      <c r="S55" s="19"/>
      <c r="T55" s="19"/>
      <c r="U55" s="19"/>
      <c r="V55" s="19"/>
      <c r="W55" s="20">
        <f>SUM(K55:V55)</f>
      </c>
      <c r="X55" s="16" t="s">
        <v>35</v>
      </c>
      <c r="Y55" s="21" t="s">
        <v>359</v>
      </c>
      <c r="Z55" s="21" t="s">
        <v>360</v>
      </c>
      <c r="AA55" s="21" t="s">
        <v>358</v>
      </c>
      <c r="AB55" s="21" t="s">
        <v>171</v>
      </c>
    </row>
    <row r="56" spans="1:28" x14ac:dyDescent="0.25">
      <c r="A56" s="16">
        <v>54</v>
      </c>
      <c r="B56" s="16" t="s">
        <v>162</v>
      </c>
      <c r="C56" s="16" t="s">
        <v>361</v>
      </c>
      <c r="D56" s="16" t="s">
        <v>361</v>
      </c>
      <c r="E56" s="16" t="s">
        <v>151</v>
      </c>
      <c r="F56" s="16" t="s">
        <v>165</v>
      </c>
      <c r="G56" s="17">
        <v>45231</v>
      </c>
      <c r="H56" s="17">
        <v>46326</v>
      </c>
      <c r="I56" s="18" t="s">
        <v>35</v>
      </c>
      <c r="J56" s="18" t="s">
        <v>362</v>
      </c>
      <c r="K56" s="19">
        <v>11195</v>
      </c>
      <c r="L56" s="19">
        <v>11195</v>
      </c>
      <c r="M56" s="19">
        <v>11195</v>
      </c>
      <c r="N56" s="19">
        <v>11195</v>
      </c>
      <c r="O56" s="19">
        <v>11195</v>
      </c>
      <c r="P56" s="19">
        <v>11195</v>
      </c>
      <c r="Q56" s="19">
        <v>11135</v>
      </c>
      <c r="R56" s="19"/>
      <c r="S56" s="19"/>
      <c r="T56" s="19"/>
      <c r="U56" s="19"/>
      <c r="V56" s="19"/>
      <c r="W56" s="20">
        <f>SUM(K56:V56)</f>
      </c>
      <c r="X56" s="16" t="s">
        <v>363</v>
      </c>
      <c r="Y56" s="21" t="s">
        <v>364</v>
      </c>
      <c r="Z56" s="21" t="s">
        <v>365</v>
      </c>
      <c r="AA56" s="21" t="s">
        <v>366</v>
      </c>
      <c r="AB56" s="21" t="s">
        <v>171</v>
      </c>
    </row>
    <row r="57" spans="1:28" x14ac:dyDescent="0.25">
      <c r="A57" s="16">
        <v>55</v>
      </c>
      <c r="B57" s="16" t="s">
        <v>162</v>
      </c>
      <c r="C57" s="16" t="s">
        <v>367</v>
      </c>
      <c r="D57" s="16" t="s">
        <v>368</v>
      </c>
      <c r="E57" s="16" t="s">
        <v>157</v>
      </c>
      <c r="F57" s="16" t="s">
        <v>165</v>
      </c>
      <c r="G57" s="17">
        <v>45901</v>
      </c>
      <c r="H57" s="17">
        <v>46265</v>
      </c>
      <c r="I57" s="18" t="s">
        <v>35</v>
      </c>
      <c r="J57" s="18" t="s">
        <v>369</v>
      </c>
      <c r="K57" s="19">
        <v>10000</v>
      </c>
      <c r="L57" s="19">
        <v>10000</v>
      </c>
      <c r="M57" s="19">
        <v>10000</v>
      </c>
      <c r="N57" s="19">
        <v>10000</v>
      </c>
      <c r="O57" s="19">
        <v>10000</v>
      </c>
      <c r="P57" s="19">
        <v>10000</v>
      </c>
      <c r="Q57" s="19">
        <v>10000</v>
      </c>
      <c r="R57" s="19">
        <v>10000</v>
      </c>
      <c r="S57" s="19"/>
      <c r="T57" s="19"/>
      <c r="U57" s="19"/>
      <c r="V57" s="19"/>
      <c r="W57" s="20">
        <f>SUM(K57:V57)</f>
      </c>
      <c r="X57" s="16" t="s">
        <v>35</v>
      </c>
      <c r="Y57" s="21" t="s">
        <v>370</v>
      </c>
      <c r="Z57" s="21" t="s">
        <v>371</v>
      </c>
      <c r="AA57" s="21" t="s">
        <v>372</v>
      </c>
      <c r="AB57" s="21" t="s">
        <v>171</v>
      </c>
    </row>
    <row r="58" spans="1:28" x14ac:dyDescent="0.25">
      <c r="A58" s="16">
        <v>56</v>
      </c>
      <c r="B58" s="16" t="s">
        <v>162</v>
      </c>
      <c r="C58" s="16" t="s">
        <v>198</v>
      </c>
      <c r="D58" s="16" t="s">
        <v>198</v>
      </c>
      <c r="E58" s="16" t="s">
        <v>373</v>
      </c>
      <c r="F58" s="16" t="s">
        <v>165</v>
      </c>
      <c r="G58" s="17">
        <v>46204</v>
      </c>
      <c r="H58" s="17">
        <v>46568</v>
      </c>
      <c r="I58" s="18" t="s">
        <v>35</v>
      </c>
      <c r="J58" s="18" t="s">
        <v>200</v>
      </c>
      <c r="K58" s="19">
        <v>11000</v>
      </c>
      <c r="L58" s="19">
        <v>11000</v>
      </c>
      <c r="M58" s="19">
        <v>11000</v>
      </c>
      <c r="N58" s="19">
        <v>11000</v>
      </c>
      <c r="O58" s="19">
        <v>11000</v>
      </c>
      <c r="P58" s="19">
        <v>11000</v>
      </c>
      <c r="Q58" s="19">
        <v>13000</v>
      </c>
      <c r="R58" s="19">
        <v>13000</v>
      </c>
      <c r="S58" s="19"/>
      <c r="T58" s="19"/>
      <c r="U58" s="19"/>
      <c r="V58" s="19"/>
      <c r="W58" s="20">
        <f>SUM(K58:V58)</f>
      </c>
      <c r="X58" s="16" t="s">
        <v>35</v>
      </c>
      <c r="Y58" s="21" t="s">
        <v>374</v>
      </c>
      <c r="Z58" s="21" t="s">
        <v>375</v>
      </c>
      <c r="AA58" s="21" t="s">
        <v>203</v>
      </c>
      <c r="AB58" s="21" t="s">
        <v>171</v>
      </c>
    </row>
    <row r="59" spans="1:28" x14ac:dyDescent="0.25">
      <c r="A59" s="16">
        <v>57</v>
      </c>
      <c r="B59" s="16" t="s">
        <v>162</v>
      </c>
      <c r="C59" s="16" t="s">
        <v>376</v>
      </c>
      <c r="D59" s="16" t="s">
        <v>377</v>
      </c>
      <c r="E59" s="16" t="s">
        <v>378</v>
      </c>
      <c r="F59" s="16" t="s">
        <v>165</v>
      </c>
      <c r="G59" s="17">
        <v>46174</v>
      </c>
      <c r="H59" s="17">
        <v>46538</v>
      </c>
      <c r="I59" s="18" t="s">
        <v>35</v>
      </c>
      <c r="J59" s="18" t="s">
        <v>379</v>
      </c>
      <c r="K59" s="19">
        <v>17000</v>
      </c>
      <c r="L59" s="19">
        <v>17000</v>
      </c>
      <c r="M59" s="19">
        <v>17000</v>
      </c>
      <c r="N59" s="19">
        <v>17000</v>
      </c>
      <c r="O59" s="19">
        <v>17000</v>
      </c>
      <c r="P59" s="19">
        <v>19000</v>
      </c>
      <c r="Q59" s="19">
        <v>19000</v>
      </c>
      <c r="R59" s="19">
        <v>19000</v>
      </c>
      <c r="S59" s="19"/>
      <c r="T59" s="19"/>
      <c r="U59" s="19"/>
      <c r="V59" s="19"/>
      <c r="W59" s="20">
        <f>SUM(K59:V59)</f>
      </c>
      <c r="X59" s="16" t="s">
        <v>35</v>
      </c>
      <c r="Y59" s="21" t="s">
        <v>380</v>
      </c>
      <c r="Z59" s="21" t="s">
        <v>381</v>
      </c>
      <c r="AA59" s="21" t="s">
        <v>382</v>
      </c>
      <c r="AB59" s="21" t="s">
        <v>171</v>
      </c>
    </row>
    <row r="60" spans="1:28" x14ac:dyDescent="0.25">
      <c r="A60" s="16">
        <v>58</v>
      </c>
      <c r="B60" s="16" t="s">
        <v>162</v>
      </c>
      <c r="C60" s="16" t="s">
        <v>383</v>
      </c>
      <c r="D60" s="16" t="s">
        <v>384</v>
      </c>
      <c r="E60" s="16" t="s">
        <v>385</v>
      </c>
      <c r="F60" s="16" t="s">
        <v>165</v>
      </c>
      <c r="G60" s="17">
        <v>46180</v>
      </c>
      <c r="H60" s="17">
        <v>46544</v>
      </c>
      <c r="I60" s="18" t="s">
        <v>386</v>
      </c>
      <c r="J60" s="18" t="s">
        <v>387</v>
      </c>
      <c r="K60" s="19"/>
      <c r="L60" s="19"/>
      <c r="M60" s="19"/>
      <c r="N60" s="19"/>
      <c r="O60" s="19"/>
      <c r="P60" s="19">
        <v>13500</v>
      </c>
      <c r="Q60" s="19">
        <v>18000</v>
      </c>
      <c r="R60" s="19">
        <v>18000</v>
      </c>
      <c r="S60" s="19"/>
      <c r="T60" s="19"/>
      <c r="U60" s="19"/>
      <c r="V60" s="19"/>
      <c r="W60" s="20">
        <f>SUM(K60:V60)</f>
      </c>
      <c r="X60" s="16" t="s">
        <v>35</v>
      </c>
      <c r="Y60" s="21" t="s">
        <v>388</v>
      </c>
      <c r="Z60" s="21" t="s">
        <v>389</v>
      </c>
      <c r="AA60" s="21" t="s">
        <v>390</v>
      </c>
      <c r="AB60" s="21" t="s">
        <v>171</v>
      </c>
    </row>
    <row r="61" spans="1:28" x14ac:dyDescent="0.25">
      <c r="A61" s="16">
        <v>59</v>
      </c>
      <c r="B61" s="16" t="s">
        <v>162</v>
      </c>
      <c r="C61" s="16" t="s">
        <v>391</v>
      </c>
      <c r="D61" s="16" t="s">
        <v>392</v>
      </c>
      <c r="E61" s="16" t="s">
        <v>393</v>
      </c>
      <c r="F61" s="16" t="s">
        <v>165</v>
      </c>
      <c r="G61" s="17">
        <v>45170</v>
      </c>
      <c r="H61" s="17">
        <v>46265</v>
      </c>
      <c r="I61" s="18" t="s">
        <v>35</v>
      </c>
      <c r="J61" s="18" t="s">
        <v>394</v>
      </c>
      <c r="K61" s="19">
        <v>9680</v>
      </c>
      <c r="L61" s="19">
        <v>9680</v>
      </c>
      <c r="M61" s="19">
        <v>9680</v>
      </c>
      <c r="N61" s="19">
        <v>9680</v>
      </c>
      <c r="O61" s="19">
        <v>9680</v>
      </c>
      <c r="P61" s="19">
        <v>9680</v>
      </c>
      <c r="Q61" s="19">
        <v>9680</v>
      </c>
      <c r="R61" s="19">
        <v>9680</v>
      </c>
      <c r="S61" s="19"/>
      <c r="T61" s="19"/>
      <c r="U61" s="19"/>
      <c r="V61" s="19"/>
      <c r="W61" s="20">
        <f>SUM(K61:V61)</f>
      </c>
      <c r="X61" s="16" t="s">
        <v>35</v>
      </c>
      <c r="Y61" s="21" t="s">
        <v>395</v>
      </c>
      <c r="Z61" s="21" t="s">
        <v>396</v>
      </c>
      <c r="AA61" s="21" t="s">
        <v>397</v>
      </c>
      <c r="AB61" s="21" t="s">
        <v>171</v>
      </c>
    </row>
    <row r="62" spans="1:28" x14ac:dyDescent="0.25">
      <c r="A62" s="16">
        <v>60</v>
      </c>
      <c r="B62" s="16" t="s">
        <v>162</v>
      </c>
      <c r="C62" s="16" t="s">
        <v>398</v>
      </c>
      <c r="D62" s="16" t="s">
        <v>399</v>
      </c>
      <c r="E62" s="16" t="s">
        <v>400</v>
      </c>
      <c r="F62" s="16" t="s">
        <v>165</v>
      </c>
      <c r="G62" s="17">
        <v>45931</v>
      </c>
      <c r="H62" s="17">
        <v>46295</v>
      </c>
      <c r="I62" s="18" t="s">
        <v>401</v>
      </c>
      <c r="J62" s="18" t="s">
        <v>402</v>
      </c>
      <c r="K62" s="19">
        <v>19000</v>
      </c>
      <c r="L62" s="19">
        <v>19000</v>
      </c>
      <c r="M62" s="19">
        <v>19000</v>
      </c>
      <c r="N62" s="19">
        <v>19000</v>
      </c>
      <c r="O62" s="19">
        <v>19000</v>
      </c>
      <c r="P62" s="19">
        <v>19000</v>
      </c>
      <c r="Q62" s="19">
        <v>19000</v>
      </c>
      <c r="R62" s="19">
        <v>19000</v>
      </c>
      <c r="S62" s="19"/>
      <c r="T62" s="19"/>
      <c r="U62" s="19"/>
      <c r="V62" s="19"/>
      <c r="W62" s="20">
        <f>SUM(K62:V62)</f>
      </c>
      <c r="X62" s="16" t="s">
        <v>35</v>
      </c>
      <c r="Y62" s="21" t="s">
        <v>403</v>
      </c>
      <c r="Z62" s="21" t="s">
        <v>404</v>
      </c>
      <c r="AA62" s="21" t="s">
        <v>405</v>
      </c>
      <c r="AB62" s="21" t="s">
        <v>171</v>
      </c>
    </row>
    <row r="63" spans="1:28" x14ac:dyDescent="0.25">
      <c r="A63" s="16">
        <v>61</v>
      </c>
      <c r="B63" s="16" t="s">
        <v>162</v>
      </c>
      <c r="C63" s="16" t="s">
        <v>406</v>
      </c>
      <c r="D63" s="16" t="s">
        <v>406</v>
      </c>
      <c r="E63" s="16" t="s">
        <v>407</v>
      </c>
      <c r="F63" s="16" t="s">
        <v>165</v>
      </c>
      <c r="G63" s="17">
        <v>45231</v>
      </c>
      <c r="H63" s="17">
        <v>46326</v>
      </c>
      <c r="I63" s="18" t="s">
        <v>35</v>
      </c>
      <c r="J63" s="18" t="s">
        <v>408</v>
      </c>
      <c r="K63" s="19">
        <v>11495</v>
      </c>
      <c r="L63" s="19">
        <v>11495</v>
      </c>
      <c r="M63" s="19">
        <v>11495</v>
      </c>
      <c r="N63" s="19">
        <v>11495</v>
      </c>
      <c r="O63" s="19">
        <v>11495</v>
      </c>
      <c r="P63" s="19">
        <v>11495</v>
      </c>
      <c r="Q63" s="19">
        <v>11495</v>
      </c>
      <c r="R63" s="19">
        <v>11495</v>
      </c>
      <c r="S63" s="19"/>
      <c r="T63" s="19"/>
      <c r="U63" s="19"/>
      <c r="V63" s="19"/>
      <c r="W63" s="20">
        <f>SUM(K63:V63)</f>
      </c>
      <c r="X63" s="16" t="s">
        <v>35</v>
      </c>
      <c r="Y63" s="21" t="s">
        <v>409</v>
      </c>
      <c r="Z63" s="21" t="s">
        <v>410</v>
      </c>
      <c r="AA63" s="21" t="s">
        <v>411</v>
      </c>
      <c r="AB63" s="21" t="s">
        <v>171</v>
      </c>
    </row>
    <row r="64" spans="1:28" x14ac:dyDescent="0.25">
      <c r="A64" s="16">
        <v>62</v>
      </c>
      <c r="B64" s="16" t="s">
        <v>162</v>
      </c>
      <c r="C64" s="16" t="s">
        <v>412</v>
      </c>
      <c r="D64" s="16" t="s">
        <v>412</v>
      </c>
      <c r="E64" s="16" t="s">
        <v>413</v>
      </c>
      <c r="F64" s="16" t="s">
        <v>165</v>
      </c>
      <c r="G64" s="17">
        <v>45962</v>
      </c>
      <c r="H64" s="17">
        <v>46326</v>
      </c>
      <c r="I64" s="18" t="s">
        <v>35</v>
      </c>
      <c r="J64" s="18" t="s">
        <v>414</v>
      </c>
      <c r="K64" s="19">
        <v>11000</v>
      </c>
      <c r="L64" s="19">
        <v>11000</v>
      </c>
      <c r="M64" s="19">
        <v>11000</v>
      </c>
      <c r="N64" s="19">
        <v>11000</v>
      </c>
      <c r="O64" s="19">
        <v>11000</v>
      </c>
      <c r="P64" s="19">
        <v>11000</v>
      </c>
      <c r="Q64" s="19">
        <v>11000</v>
      </c>
      <c r="R64" s="19">
        <v>11000</v>
      </c>
      <c r="S64" s="19"/>
      <c r="T64" s="19"/>
      <c r="U64" s="19"/>
      <c r="V64" s="19"/>
      <c r="W64" s="20">
        <f>SUM(K64:V64)</f>
      </c>
      <c r="X64" s="16" t="s">
        <v>35</v>
      </c>
      <c r="Y64" s="21" t="s">
        <v>415</v>
      </c>
      <c r="Z64" s="21" t="s">
        <v>416</v>
      </c>
      <c r="AA64" s="21" t="s">
        <v>417</v>
      </c>
      <c r="AB64" s="21" t="s">
        <v>171</v>
      </c>
    </row>
    <row r="65" spans="1:28" x14ac:dyDescent="0.25">
      <c r="A65" s="16">
        <v>63</v>
      </c>
      <c r="B65" s="16" t="s">
        <v>162</v>
      </c>
      <c r="C65" s="16" t="s">
        <v>418</v>
      </c>
      <c r="D65" s="16" t="s">
        <v>418</v>
      </c>
      <c r="E65" s="16" t="s">
        <v>419</v>
      </c>
      <c r="F65" s="16" t="s">
        <v>165</v>
      </c>
      <c r="G65" s="17">
        <v>46219</v>
      </c>
      <c r="H65" s="17">
        <v>46583</v>
      </c>
      <c r="I65" s="18" t="s">
        <v>35</v>
      </c>
      <c r="J65" s="18" t="s">
        <v>420</v>
      </c>
      <c r="K65" s="19">
        <v>8775</v>
      </c>
      <c r="L65" s="19">
        <v>8775</v>
      </c>
      <c r="M65" s="19">
        <v>8775</v>
      </c>
      <c r="N65" s="19">
        <v>8775</v>
      </c>
      <c r="O65" s="19">
        <v>8775</v>
      </c>
      <c r="P65" s="19">
        <v>8775</v>
      </c>
      <c r="Q65" s="19">
        <v>11390</v>
      </c>
      <c r="R65" s="19" t="s">
        <v>421</v>
      </c>
      <c r="S65" s="19"/>
      <c r="T65" s="19"/>
      <c r="U65" s="19"/>
      <c r="V65" s="19"/>
      <c r="W65" s="20">
        <f>SUM(K65:V65)</f>
      </c>
      <c r="X65" s="16" t="s">
        <v>422</v>
      </c>
      <c r="Y65" s="21" t="s">
        <v>423</v>
      </c>
      <c r="Z65" s="21" t="s">
        <v>424</v>
      </c>
      <c r="AA65" s="21" t="s">
        <v>425</v>
      </c>
      <c r="AB65" s="21" t="s">
        <v>171</v>
      </c>
    </row>
    <row r="66" spans="1:28" x14ac:dyDescent="0.25">
      <c r="A66" s="16">
        <v>64</v>
      </c>
      <c r="B66" s="16" t="s">
        <v>162</v>
      </c>
      <c r="C66" s="16" t="s">
        <v>426</v>
      </c>
      <c r="D66" s="16" t="s">
        <v>427</v>
      </c>
      <c r="E66" s="16" t="s">
        <v>428</v>
      </c>
      <c r="F66" s="16" t="s">
        <v>165</v>
      </c>
      <c r="G66" s="17">
        <v>46219</v>
      </c>
      <c r="H66" s="17">
        <v>46583</v>
      </c>
      <c r="I66" s="18" t="s">
        <v>35</v>
      </c>
      <c r="J66" s="18" t="s">
        <v>429</v>
      </c>
      <c r="K66" s="19">
        <v>15000</v>
      </c>
      <c r="L66" s="19">
        <v>15000</v>
      </c>
      <c r="M66" s="19">
        <v>15000</v>
      </c>
      <c r="N66" s="19">
        <v>15000</v>
      </c>
      <c r="O66" s="19">
        <v>15000</v>
      </c>
      <c r="P66" s="19">
        <v>15000</v>
      </c>
      <c r="Q66" s="19">
        <v>17000</v>
      </c>
      <c r="R66" s="19">
        <v>19000</v>
      </c>
      <c r="S66" s="19"/>
      <c r="T66" s="19"/>
      <c r="U66" s="19"/>
      <c r="V66" s="19"/>
      <c r="W66" s="20">
        <f>SUM(K66:V66)</f>
      </c>
      <c r="X66" s="16" t="s">
        <v>35</v>
      </c>
      <c r="Y66" s="21" t="s">
        <v>430</v>
      </c>
      <c r="Z66" s="21" t="s">
        <v>431</v>
      </c>
      <c r="AA66" s="21" t="s">
        <v>432</v>
      </c>
      <c r="AB66" s="21" t="s">
        <v>171</v>
      </c>
    </row>
    <row r="67" spans="1:28" x14ac:dyDescent="0.25">
      <c r="A67" s="16">
        <v>65</v>
      </c>
      <c r="B67" s="16" t="s">
        <v>162</v>
      </c>
      <c r="C67" s="16" t="s">
        <v>433</v>
      </c>
      <c r="D67" s="16" t="s">
        <v>434</v>
      </c>
      <c r="E67" s="16" t="s">
        <v>435</v>
      </c>
      <c r="F67" s="16" t="s">
        <v>165</v>
      </c>
      <c r="G67" s="17">
        <v>46143</v>
      </c>
      <c r="H67" s="17">
        <v>46507</v>
      </c>
      <c r="I67" s="18" t="s">
        <v>35</v>
      </c>
      <c r="J67" s="18" t="s">
        <v>436</v>
      </c>
      <c r="K67" s="19">
        <v>10500</v>
      </c>
      <c r="L67" s="19">
        <v>10500</v>
      </c>
      <c r="M67" s="19">
        <v>10500</v>
      </c>
      <c r="N67" s="19">
        <v>10500</v>
      </c>
      <c r="O67" s="19"/>
      <c r="P67" s="19"/>
      <c r="Q67" s="19"/>
      <c r="R67" s="19"/>
      <c r="S67" s="19"/>
      <c r="T67" s="19"/>
      <c r="U67" s="19"/>
      <c r="V67" s="19"/>
      <c r="W67" s="20">
        <f>SUM(K67:V67)</f>
      </c>
      <c r="X67" s="16" t="s">
        <v>437</v>
      </c>
      <c r="Y67" s="21" t="s">
        <v>438</v>
      </c>
      <c r="Z67" s="21" t="s">
        <v>439</v>
      </c>
      <c r="AA67" s="21" t="s">
        <v>440</v>
      </c>
      <c r="AB67" s="21" t="s">
        <v>171</v>
      </c>
    </row>
    <row r="68" spans="1:28" x14ac:dyDescent="0.25">
      <c r="A68" s="16">
        <v>66</v>
      </c>
      <c r="B68" s="16" t="s">
        <v>162</v>
      </c>
      <c r="C68" s="16" t="s">
        <v>441</v>
      </c>
      <c r="D68" s="16" t="s">
        <v>442</v>
      </c>
      <c r="E68" s="16" t="s">
        <v>443</v>
      </c>
      <c r="F68" s="16" t="s">
        <v>165</v>
      </c>
      <c r="G68" s="17">
        <v>45839</v>
      </c>
      <c r="H68" s="17">
        <v>46203</v>
      </c>
      <c r="I68" s="18" t="s">
        <v>35</v>
      </c>
      <c r="J68" s="18" t="s">
        <v>444</v>
      </c>
      <c r="K68" s="19">
        <v>13000</v>
      </c>
      <c r="L68" s="19">
        <v>13000</v>
      </c>
      <c r="M68" s="19">
        <v>13000</v>
      </c>
      <c r="N68" s="19">
        <v>13000</v>
      </c>
      <c r="O68" s="19">
        <v>13000</v>
      </c>
      <c r="P68" s="19">
        <v>13000</v>
      </c>
      <c r="Q68" s="19"/>
      <c r="R68" s="19"/>
      <c r="S68" s="19"/>
      <c r="T68" s="19"/>
      <c r="U68" s="19"/>
      <c r="V68" s="19"/>
      <c r="W68" s="20">
        <f>SUM(K68:V68)</f>
      </c>
      <c r="X68" s="16" t="s">
        <v>35</v>
      </c>
      <c r="Y68" s="21" t="s">
        <v>445</v>
      </c>
      <c r="Z68" s="21" t="s">
        <v>446</v>
      </c>
      <c r="AA68" s="21" t="s">
        <v>447</v>
      </c>
      <c r="AB68" s="21" t="s">
        <v>171</v>
      </c>
    </row>
    <row r="69" spans="1:28" x14ac:dyDescent="0.25">
      <c r="A69" s="16">
        <v>67</v>
      </c>
      <c r="B69" s="16" t="s">
        <v>162</v>
      </c>
      <c r="C69" s="16" t="s">
        <v>448</v>
      </c>
      <c r="D69" s="16" t="s">
        <v>449</v>
      </c>
      <c r="E69" s="16" t="s">
        <v>450</v>
      </c>
      <c r="F69" s="16" t="s">
        <v>165</v>
      </c>
      <c r="G69" s="17">
        <v>45916</v>
      </c>
      <c r="H69" s="17">
        <v>46280</v>
      </c>
      <c r="I69" s="18" t="s">
        <v>451</v>
      </c>
      <c r="J69" s="18" t="s">
        <v>452</v>
      </c>
      <c r="K69" s="19">
        <v>17000</v>
      </c>
      <c r="L69" s="19">
        <v>17000</v>
      </c>
      <c r="M69" s="19">
        <v>17000</v>
      </c>
      <c r="N69" s="19">
        <v>17000</v>
      </c>
      <c r="O69" s="19">
        <v>17000</v>
      </c>
      <c r="P69" s="19">
        <v>17000</v>
      </c>
      <c r="Q69" s="19">
        <v>17000</v>
      </c>
      <c r="R69" s="19">
        <v>17000</v>
      </c>
      <c r="S69" s="19"/>
      <c r="T69" s="19"/>
      <c r="U69" s="19"/>
      <c r="V69" s="19"/>
      <c r="W69" s="20">
        <f>SUM(K69:V69)</f>
      </c>
      <c r="X69" s="16" t="s">
        <v>35</v>
      </c>
      <c r="Y69" s="21" t="s">
        <v>453</v>
      </c>
      <c r="Z69" s="21" t="s">
        <v>454</v>
      </c>
      <c r="AA69" s="21" t="s">
        <v>455</v>
      </c>
      <c r="AB69" s="21" t="s">
        <v>171</v>
      </c>
    </row>
    <row r="70" spans="1:28" x14ac:dyDescent="0.25">
      <c r="A70" s="16">
        <v>68</v>
      </c>
      <c r="B70" s="16" t="s">
        <v>162</v>
      </c>
      <c r="C70" s="16" t="s">
        <v>456</v>
      </c>
      <c r="D70" s="16" t="s">
        <v>457</v>
      </c>
      <c r="E70" s="16" t="s">
        <v>458</v>
      </c>
      <c r="F70" s="16" t="s">
        <v>165</v>
      </c>
      <c r="G70" s="17">
        <v>46204</v>
      </c>
      <c r="H70" s="17">
        <v>46568</v>
      </c>
      <c r="I70" s="18" t="s">
        <v>35</v>
      </c>
      <c r="J70" s="18" t="s">
        <v>459</v>
      </c>
      <c r="K70" s="19"/>
      <c r="L70" s="19"/>
      <c r="M70" s="19"/>
      <c r="N70" s="19"/>
      <c r="O70" s="19"/>
      <c r="P70" s="19"/>
      <c r="Q70" s="19">
        <v>20000</v>
      </c>
      <c r="R70" s="19">
        <v>20000</v>
      </c>
      <c r="S70" s="19"/>
      <c r="T70" s="19"/>
      <c r="U70" s="19"/>
      <c r="V70" s="19"/>
      <c r="W70" s="20">
        <f>SUM(K70:V70)</f>
      </c>
      <c r="X70" s="16" t="s">
        <v>35</v>
      </c>
      <c r="Y70" s="21" t="s">
        <v>460</v>
      </c>
      <c r="Z70" s="21" t="s">
        <v>461</v>
      </c>
      <c r="AA70" s="21" t="s">
        <v>462</v>
      </c>
      <c r="AB70" s="21" t="s">
        <v>171</v>
      </c>
    </row>
    <row r="71" spans="1:28" x14ac:dyDescent="0.25">
      <c r="A71" s="16">
        <v>69</v>
      </c>
      <c r="B71" s="16" t="s">
        <v>162</v>
      </c>
      <c r="C71" s="16" t="s">
        <v>463</v>
      </c>
      <c r="D71" s="16" t="s">
        <v>464</v>
      </c>
      <c r="E71" s="16" t="s">
        <v>465</v>
      </c>
      <c r="F71" s="16" t="s">
        <v>165</v>
      </c>
      <c r="G71" s="17">
        <v>45946</v>
      </c>
      <c r="H71" s="17">
        <v>46310</v>
      </c>
      <c r="I71" s="18" t="s">
        <v>35</v>
      </c>
      <c r="J71" s="18" t="s">
        <v>466</v>
      </c>
      <c r="K71" s="19">
        <v>11000</v>
      </c>
      <c r="L71" s="19">
        <v>11000</v>
      </c>
      <c r="M71" s="19">
        <v>11000</v>
      </c>
      <c r="N71" s="19">
        <v>11000</v>
      </c>
      <c r="O71" s="19">
        <v>11000</v>
      </c>
      <c r="P71" s="19">
        <v>11000</v>
      </c>
      <c r="Q71" s="19">
        <v>11000</v>
      </c>
      <c r="R71" s="19"/>
      <c r="S71" s="19"/>
      <c r="T71" s="19"/>
      <c r="U71" s="19"/>
      <c r="V71" s="19"/>
      <c r="W71" s="20">
        <f>SUM(K71:V71)</f>
      </c>
      <c r="X71" s="16" t="s">
        <v>35</v>
      </c>
      <c r="Y71" s="21" t="s">
        <v>467</v>
      </c>
      <c r="Z71" s="21" t="s">
        <v>468</v>
      </c>
      <c r="AA71" s="21" t="s">
        <v>469</v>
      </c>
      <c r="AB71" s="21" t="s">
        <v>171</v>
      </c>
    </row>
    <row r="72" spans="1:28" x14ac:dyDescent="0.25">
      <c r="A72" s="16">
        <v>70</v>
      </c>
      <c r="B72" s="16" t="s">
        <v>162</v>
      </c>
      <c r="C72" s="16" t="s">
        <v>470</v>
      </c>
      <c r="D72" s="16" t="s">
        <v>470</v>
      </c>
      <c r="E72" s="16" t="s">
        <v>471</v>
      </c>
      <c r="F72" s="16" t="s">
        <v>165</v>
      </c>
      <c r="G72" s="17">
        <v>45938</v>
      </c>
      <c r="H72" s="17">
        <v>46302</v>
      </c>
      <c r="I72" s="18" t="s">
        <v>35</v>
      </c>
      <c r="J72" s="18" t="s">
        <v>472</v>
      </c>
      <c r="K72" s="19">
        <v>11000</v>
      </c>
      <c r="L72" s="19">
        <v>11000</v>
      </c>
      <c r="M72" s="19">
        <v>11000</v>
      </c>
      <c r="N72" s="19">
        <v>11000</v>
      </c>
      <c r="O72" s="19">
        <v>11000</v>
      </c>
      <c r="P72" s="19"/>
      <c r="Q72" s="19"/>
      <c r="R72" s="19"/>
      <c r="S72" s="19"/>
      <c r="T72" s="19"/>
      <c r="U72" s="19"/>
      <c r="V72" s="19"/>
      <c r="W72" s="20">
        <f>SUM(K72:V72)</f>
      </c>
      <c r="X72" s="16" t="s">
        <v>35</v>
      </c>
      <c r="Y72" s="21" t="s">
        <v>473</v>
      </c>
      <c r="Z72" s="21" t="s">
        <v>474</v>
      </c>
      <c r="AA72" s="21" t="s">
        <v>475</v>
      </c>
      <c r="AB72" s="21" t="s">
        <v>171</v>
      </c>
    </row>
    <row r="73" spans="1:28" x14ac:dyDescent="0.25">
      <c r="A73" s="16">
        <v>71</v>
      </c>
      <c r="B73" s="16" t="s">
        <v>162</v>
      </c>
      <c r="C73" s="16" t="s">
        <v>476</v>
      </c>
      <c r="D73" s="16" t="s">
        <v>477</v>
      </c>
      <c r="E73" s="16" t="s">
        <v>478</v>
      </c>
      <c r="F73" s="16" t="s">
        <v>165</v>
      </c>
      <c r="G73" s="17">
        <v>45139</v>
      </c>
      <c r="H73" s="17">
        <v>46234</v>
      </c>
      <c r="I73" s="18" t="s">
        <v>479</v>
      </c>
      <c r="J73" s="18" t="s">
        <v>480</v>
      </c>
      <c r="K73" s="19">
        <v>10890</v>
      </c>
      <c r="L73" s="19">
        <v>10890</v>
      </c>
      <c r="M73" s="19">
        <v>10890</v>
      </c>
      <c r="N73" s="19">
        <v>10890</v>
      </c>
      <c r="O73" s="19">
        <v>10890</v>
      </c>
      <c r="P73" s="19">
        <v>10890</v>
      </c>
      <c r="Q73" s="19"/>
      <c r="R73" s="19"/>
      <c r="S73" s="19"/>
      <c r="T73" s="19"/>
      <c r="U73" s="19"/>
      <c r="V73" s="19"/>
      <c r="W73" s="20">
        <f>SUM(K73:V73)</f>
      </c>
      <c r="X73" s="16" t="s">
        <v>35</v>
      </c>
      <c r="Y73" s="21" t="s">
        <v>481</v>
      </c>
      <c r="Z73" s="21" t="s">
        <v>482</v>
      </c>
      <c r="AA73" s="21" t="s">
        <v>483</v>
      </c>
      <c r="AB73" s="21" t="s">
        <v>171</v>
      </c>
    </row>
    <row r="74" spans="1:28" x14ac:dyDescent="0.25">
      <c r="A74" s="16">
        <v>72</v>
      </c>
      <c r="B74" s="16" t="s">
        <v>162</v>
      </c>
      <c r="C74" s="16" t="s">
        <v>484</v>
      </c>
      <c r="D74" s="16" t="s">
        <v>485</v>
      </c>
      <c r="E74" s="16" t="s">
        <v>486</v>
      </c>
      <c r="F74" s="16" t="s">
        <v>165</v>
      </c>
      <c r="G74" s="17">
        <v>45901</v>
      </c>
      <c r="H74" s="17">
        <v>46265</v>
      </c>
      <c r="I74" s="18" t="s">
        <v>35</v>
      </c>
      <c r="J74" s="18" t="s">
        <v>487</v>
      </c>
      <c r="K74" s="19">
        <v>13000</v>
      </c>
      <c r="L74" s="19">
        <v>13000</v>
      </c>
      <c r="M74" s="19">
        <v>13000</v>
      </c>
      <c r="N74" s="19">
        <v>13000</v>
      </c>
      <c r="O74" s="19">
        <v>13000</v>
      </c>
      <c r="P74" s="19">
        <v>13000</v>
      </c>
      <c r="Q74" s="19">
        <v>13000</v>
      </c>
      <c r="R74" s="19">
        <v>13000</v>
      </c>
      <c r="S74" s="19"/>
      <c r="T74" s="19"/>
      <c r="U74" s="19"/>
      <c r="V74" s="19"/>
      <c r="W74" s="20">
        <f>SUM(K74:V74)</f>
      </c>
      <c r="X74" s="16" t="s">
        <v>35</v>
      </c>
      <c r="Y74" s="21" t="s">
        <v>488</v>
      </c>
      <c r="Z74" s="21" t="s">
        <v>489</v>
      </c>
      <c r="AA74" s="21" t="s">
        <v>490</v>
      </c>
      <c r="AB74" s="21" t="s">
        <v>171</v>
      </c>
    </row>
    <row r="75" spans="1:28" x14ac:dyDescent="0.25">
      <c r="A75" s="16">
        <v>73</v>
      </c>
      <c r="B75" s="16" t="s">
        <v>162</v>
      </c>
      <c r="C75" s="16" t="s">
        <v>484</v>
      </c>
      <c r="D75" s="16" t="s">
        <v>485</v>
      </c>
      <c r="E75" s="16" t="s">
        <v>491</v>
      </c>
      <c r="F75" s="16" t="s">
        <v>165</v>
      </c>
      <c r="G75" s="17">
        <v>45931</v>
      </c>
      <c r="H75" s="17">
        <v>46295</v>
      </c>
      <c r="I75" s="18" t="s">
        <v>35</v>
      </c>
      <c r="J75" s="18" t="s">
        <v>487</v>
      </c>
      <c r="K75" s="19">
        <v>13000</v>
      </c>
      <c r="L75" s="19">
        <v>13000</v>
      </c>
      <c r="M75" s="19">
        <v>13000</v>
      </c>
      <c r="N75" s="19">
        <v>13000</v>
      </c>
      <c r="O75" s="19">
        <v>13000</v>
      </c>
      <c r="P75" s="19">
        <v>13000</v>
      </c>
      <c r="Q75" s="19">
        <v>13000</v>
      </c>
      <c r="R75" s="19">
        <v>13000</v>
      </c>
      <c r="S75" s="19"/>
      <c r="T75" s="19"/>
      <c r="U75" s="19"/>
      <c r="V75" s="19"/>
      <c r="W75" s="20">
        <f>SUM(K75:V75)</f>
      </c>
      <c r="X75" s="16" t="s">
        <v>35</v>
      </c>
      <c r="Y75" s="21" t="s">
        <v>492</v>
      </c>
      <c r="Z75" s="21" t="s">
        <v>493</v>
      </c>
      <c r="AA75" s="21" t="s">
        <v>490</v>
      </c>
      <c r="AB75" s="21" t="s">
        <v>171</v>
      </c>
    </row>
    <row r="76" spans="1:23" x14ac:dyDescent="0.25">
      <c r="A76" s="22"/>
      <c r="B76" s="22"/>
      <c r="C76" s="23" t="s">
        <v>494</v>
      </c>
      <c r="D76" s="22"/>
      <c r="E76" s="22"/>
      <c r="F76" s="22"/>
      <c r="G76" s="22"/>
      <c r="H76" s="22"/>
      <c r="I76" s="22"/>
      <c r="J76" s="22"/>
      <c r="K76" s="24">
        <f>SUM(K3:K75)</f>
      </c>
      <c r="L76" s="24">
        <f>SUM(L3:L75)</f>
      </c>
      <c r="M76" s="24">
        <f>SUM(M3:M75)</f>
      </c>
      <c r="N76" s="24">
        <f>SUM(N3:N75)</f>
      </c>
      <c r="O76" s="24">
        <f>SUM(O3:O75)</f>
      </c>
      <c r="P76" s="24">
        <f>SUM(P3:P75)</f>
      </c>
      <c r="Q76" s="24">
        <f>SUM(Q3:Q75)</f>
      </c>
      <c r="R76" s="24">
        <f>SUM(R3:R75)</f>
      </c>
      <c r="S76" s="24">
        <f>SUM(S3:S75)</f>
      </c>
      <c r="T76" s="24">
        <f>SUM(T3:T75)</f>
      </c>
      <c r="U76" s="24">
        <f>SUM(U3:U75)</f>
      </c>
      <c r="V76" s="24">
        <f>SUM(V3:V75)</f>
      </c>
      <c r="W76" s="24">
        <f>SUM(W3:W75)</f>
      </c>
    </row>
  </sheetData>
  <autoFilter ref="A2:AB75"/>
  <mergeCells count="1">
    <mergeCell ref="K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12" customWidth="1"/>
    <col min="5" max="6" width="10" customWidth="1"/>
    <col min="7" max="7" width="12" customWidth="1"/>
    <col min="8" max="8" width="16" customWidth="1"/>
    <col min="9" max="9" width="12" customWidth="1"/>
  </cols>
  <sheetData>
    <row r="1" ht="28" customHeight="1" spans="1:9" x14ac:dyDescent="0.25">
      <c r="A1" s="3" t="s">
        <v>3</v>
      </c>
      <c r="B1" s="3" t="s">
        <v>495</v>
      </c>
      <c r="C1" s="3" t="s">
        <v>496</v>
      </c>
      <c r="D1" s="3" t="s">
        <v>497</v>
      </c>
      <c r="E1" s="3" t="s">
        <v>498</v>
      </c>
      <c r="F1" s="3" t="s">
        <v>499</v>
      </c>
      <c r="G1" s="3" t="s">
        <v>500</v>
      </c>
      <c r="H1" s="3" t="s">
        <v>501</v>
      </c>
      <c r="I1" s="3" t="s">
        <v>29</v>
      </c>
    </row>
    <row r="2" spans="1:9" x14ac:dyDescent="0.25">
      <c r="A2" t="s">
        <v>30</v>
      </c>
      <c r="B2">
        <f>COUNTIF('2026'!B3:B75,A2)</f>
      </c>
      <c r="C2" s="25">
        <f>SUMIF('2026'!B3:B75,A2,'2026'!W3:W75)</f>
      </c>
      <c r="D2">
        <v>7</v>
      </c>
      <c r="E2">
        <v>2</v>
      </c>
      <c r="F2">
        <v>5</v>
      </c>
      <c r="G2" s="26">
        <v>0.2857142857142857</v>
      </c>
      <c r="H2" s="27">
        <v>283383</v>
      </c>
      <c r="I2" t="s">
        <v>40</v>
      </c>
    </row>
    <row r="3" spans="1:9" x14ac:dyDescent="0.25">
      <c r="A3" t="s">
        <v>79</v>
      </c>
      <c r="B3">
        <f>COUNTIF('2026'!B3:B75,A3)</f>
      </c>
      <c r="C3" s="25">
        <f>SUMIF('2026'!B3:B75,A3,'2026'!W3:W75)</f>
      </c>
      <c r="D3">
        <v>12</v>
      </c>
      <c r="E3">
        <v>10</v>
      </c>
      <c r="F3">
        <v>2</v>
      </c>
      <c r="G3" s="26">
        <v>0.8333333333333334</v>
      </c>
      <c r="H3" s="27">
        <v>752580</v>
      </c>
      <c r="I3" t="s">
        <v>89</v>
      </c>
    </row>
    <row r="4" spans="1:9" x14ac:dyDescent="0.25">
      <c r="A4" t="s">
        <v>162</v>
      </c>
      <c r="B4">
        <f>COUNTIF('2026'!B3:B75,A4)</f>
      </c>
      <c r="C4" s="25">
        <f>SUMIF('2026'!B3:B75,A4,'2026'!W3:W75)</f>
      </c>
      <c r="D4">
        <v>52</v>
      </c>
      <c r="E4">
        <v>35</v>
      </c>
      <c r="F4">
        <v>17</v>
      </c>
      <c r="G4" s="26">
        <v>0.6730769230769231</v>
      </c>
      <c r="H4" s="27">
        <v>1362576</v>
      </c>
      <c r="I4" t="s">
        <v>171</v>
      </c>
    </row>
    <row r="5" spans="1:8" x14ac:dyDescent="0.25">
      <c r="A5" s="23" t="s">
        <v>24</v>
      </c>
      <c r="B5" s="28">
        <f>SUM(B2:B4)</f>
      </c>
      <c r="C5" s="24">
        <f>SUM(C2:C4)</f>
      </c>
      <c r="D5" s="28">
        <f>SUM(D2:D4)</f>
      </c>
      <c r="E5" s="28">
        <f>SUM(E2:E4)</f>
      </c>
      <c r="F5" s="28">
        <f>SUM(F2:F4)</f>
      </c>
      <c r="G5" s="22"/>
      <c r="H5" s="28">
        <f>SUM(H2:H4)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rightToLeft="1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30" customWidth="1"/>
    <col min="4" max="4" width="14" customWidth="1"/>
    <col min="5" max="5" width="30" customWidth="1"/>
    <col min="6" max="6" width="14" customWidth="1"/>
    <col min="7" max="9" width="12" customWidth="1"/>
    <col min="10" max="10" width="14" customWidth="1"/>
    <col min="11" max="11" width="16" customWidth="1"/>
  </cols>
  <sheetData>
    <row r="1" ht="28" customHeight="1" spans="1:11" x14ac:dyDescent="0.25">
      <c r="A1" s="3" t="s">
        <v>29</v>
      </c>
      <c r="B1" s="3" t="s">
        <v>502</v>
      </c>
      <c r="C1" s="3" t="s">
        <v>7</v>
      </c>
      <c r="D1" s="3" t="s">
        <v>503</v>
      </c>
      <c r="E1" s="3" t="s">
        <v>25</v>
      </c>
      <c r="F1" s="3" t="s">
        <v>504</v>
      </c>
      <c r="G1" s="3" t="s">
        <v>505</v>
      </c>
      <c r="H1" s="3" t="s">
        <v>506</v>
      </c>
      <c r="I1" s="3" t="s">
        <v>507</v>
      </c>
      <c r="J1" s="3" t="s">
        <v>508</v>
      </c>
      <c r="K1" s="3" t="s">
        <v>509</v>
      </c>
    </row>
    <row r="2" spans="1:11" x14ac:dyDescent="0.25">
      <c r="A2" t="s">
        <v>40</v>
      </c>
      <c r="B2" t="s">
        <v>30</v>
      </c>
      <c r="C2" t="s">
        <v>34</v>
      </c>
      <c r="E2" t="s">
        <v>35</v>
      </c>
      <c r="F2" s="29"/>
      <c r="G2" s="30">
        <v>7</v>
      </c>
      <c r="H2" s="30">
        <v>2</v>
      </c>
      <c r="I2" s="30">
        <v>5</v>
      </c>
      <c r="J2" s="31">
        <v>283383</v>
      </c>
      <c r="K2" s="31">
        <v>1818148</v>
      </c>
    </row>
    <row r="3" spans="1:11" x14ac:dyDescent="0.25">
      <c r="A3" t="s">
        <v>89</v>
      </c>
      <c r="B3" t="s">
        <v>79</v>
      </c>
      <c r="C3" t="s">
        <v>83</v>
      </c>
      <c r="E3" t="s">
        <v>35</v>
      </c>
      <c r="F3" s="29"/>
      <c r="G3" s="30">
        <v>12</v>
      </c>
      <c r="H3" s="30">
        <v>10</v>
      </c>
      <c r="I3" s="30">
        <v>2</v>
      </c>
      <c r="J3" s="31">
        <v>752580</v>
      </c>
      <c r="K3" s="31">
        <v>3071865</v>
      </c>
    </row>
    <row r="4" spans="1:11" x14ac:dyDescent="0.25">
      <c r="A4" t="s">
        <v>171</v>
      </c>
      <c r="B4" t="s">
        <v>162</v>
      </c>
      <c r="C4" t="s">
        <v>165</v>
      </c>
      <c r="E4" t="s">
        <v>35</v>
      </c>
      <c r="F4" s="29"/>
      <c r="G4" s="30">
        <v>52</v>
      </c>
      <c r="H4" s="30">
        <v>35</v>
      </c>
      <c r="I4" s="30">
        <v>17</v>
      </c>
      <c r="J4" s="31">
        <v>1362576</v>
      </c>
      <c r="K4" s="31">
        <v>5449810</v>
      </c>
    </row>
  </sheetData>
  <autoFilter ref="A1:K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workbookViewId="0" rightToLeft="1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4" width="16" customWidth="1"/>
    <col min="5" max="5" width="10" customWidth="1"/>
    <col min="6" max="6" width="8" customWidth="1"/>
    <col min="7" max="7" width="10" customWidth="1"/>
    <col min="8" max="8" width="30" customWidth="1"/>
    <col min="9" max="9" width="14" customWidth="1"/>
    <col min="10" max="10" width="36" customWidth="1"/>
    <col min="11" max="11" width="14" customWidth="1"/>
    <col min="12" max="12" width="26" customWidth="1"/>
    <col min="13" max="13" width="12" customWidth="1"/>
    <col min="14" max="15" width="14" customWidth="1"/>
    <col min="16" max="16" width="12" customWidth="1"/>
  </cols>
  <sheetData>
    <row r="1" ht="28" customHeight="1" spans="1:16" x14ac:dyDescent="0.25">
      <c r="A1" s="3" t="s">
        <v>27</v>
      </c>
      <c r="B1" s="3" t="s">
        <v>29</v>
      </c>
      <c r="C1" s="3" t="s">
        <v>3</v>
      </c>
      <c r="D1" s="3" t="s">
        <v>510</v>
      </c>
      <c r="E1" s="3" t="s">
        <v>511</v>
      </c>
      <c r="F1" s="3" t="s">
        <v>512</v>
      </c>
      <c r="G1" s="3" t="s">
        <v>513</v>
      </c>
      <c r="H1" s="3" t="s">
        <v>25</v>
      </c>
      <c r="I1" s="3" t="s">
        <v>504</v>
      </c>
      <c r="J1" s="3" t="s">
        <v>514</v>
      </c>
      <c r="K1" s="3" t="s">
        <v>515</v>
      </c>
      <c r="L1" s="3" t="s">
        <v>516</v>
      </c>
      <c r="M1" s="3" t="s">
        <v>517</v>
      </c>
      <c r="N1" s="3" t="s">
        <v>518</v>
      </c>
      <c r="O1" s="3" t="s">
        <v>519</v>
      </c>
      <c r="P1" s="3" t="s">
        <v>520</v>
      </c>
    </row>
    <row r="2" spans="1:16" x14ac:dyDescent="0.25">
      <c r="A2" t="s">
        <v>38</v>
      </c>
      <c r="B2" t="s">
        <v>40</v>
      </c>
      <c r="C2" s="30" t="s">
        <v>30</v>
      </c>
      <c r="D2" t="s">
        <v>33</v>
      </c>
      <c r="E2" t="s">
        <v>521</v>
      </c>
      <c r="F2" t="s">
        <v>522</v>
      </c>
      <c r="H2" t="s">
        <v>35</v>
      </c>
      <c r="I2" s="29"/>
      <c r="J2" s="30" t="s">
        <v>35</v>
      </c>
      <c r="K2" s="30" t="s">
        <v>499</v>
      </c>
      <c r="L2" s="30" t="s">
        <v>35</v>
      </c>
      <c r="M2" s="30" t="s">
        <v>35</v>
      </c>
      <c r="N2" s="30" t="s">
        <v>35</v>
      </c>
      <c r="O2" s="30" t="s">
        <v>523</v>
      </c>
      <c r="P2" s="30">
        <v>130</v>
      </c>
    </row>
    <row r="3" spans="1:16" x14ac:dyDescent="0.25">
      <c r="A3" t="s">
        <v>45</v>
      </c>
      <c r="B3" t="s">
        <v>40</v>
      </c>
      <c r="C3" s="30" t="s">
        <v>30</v>
      </c>
      <c r="D3" t="s">
        <v>33</v>
      </c>
      <c r="E3" t="s">
        <v>521</v>
      </c>
      <c r="F3" t="s">
        <v>522</v>
      </c>
      <c r="H3" t="s">
        <v>35</v>
      </c>
      <c r="I3" s="29"/>
      <c r="J3" s="30" t="s">
        <v>35</v>
      </c>
      <c r="K3" s="30" t="s">
        <v>499</v>
      </c>
      <c r="L3" s="30" t="s">
        <v>35</v>
      </c>
      <c r="M3" s="30" t="s">
        <v>35</v>
      </c>
      <c r="N3" s="30" t="s">
        <v>35</v>
      </c>
      <c r="O3" s="30" t="s">
        <v>524</v>
      </c>
      <c r="P3" s="30">
        <v>161</v>
      </c>
    </row>
    <row r="4" spans="1:16" x14ac:dyDescent="0.25">
      <c r="A4" t="s">
        <v>53</v>
      </c>
      <c r="B4" t="s">
        <v>40</v>
      </c>
      <c r="C4" s="30" t="s">
        <v>30</v>
      </c>
      <c r="D4" t="s">
        <v>49</v>
      </c>
      <c r="E4" t="s">
        <v>525</v>
      </c>
      <c r="F4" t="s">
        <v>526</v>
      </c>
      <c r="H4" t="s">
        <v>35</v>
      </c>
      <c r="I4" s="29"/>
      <c r="J4" s="30" t="s">
        <v>35</v>
      </c>
      <c r="K4" s="30" t="s">
        <v>498</v>
      </c>
      <c r="L4" s="30" t="s">
        <v>47</v>
      </c>
      <c r="M4" s="30" t="s">
        <v>52</v>
      </c>
      <c r="N4" s="31">
        <v>49610</v>
      </c>
      <c r="O4" s="30" t="s">
        <v>35</v>
      </c>
      <c r="P4" s="30">
        <v>0</v>
      </c>
    </row>
    <row r="5" spans="1:16" x14ac:dyDescent="0.25">
      <c r="A5" t="s">
        <v>60</v>
      </c>
      <c r="B5" t="s">
        <v>40</v>
      </c>
      <c r="C5" s="30" t="s">
        <v>30</v>
      </c>
      <c r="D5" t="s">
        <v>57</v>
      </c>
      <c r="E5" t="s">
        <v>525</v>
      </c>
      <c r="F5" t="s">
        <v>526</v>
      </c>
      <c r="H5" t="s">
        <v>35</v>
      </c>
      <c r="I5" s="29"/>
      <c r="J5" s="30" t="s">
        <v>35</v>
      </c>
      <c r="K5" s="30" t="s">
        <v>499</v>
      </c>
      <c r="L5" s="30" t="s">
        <v>35</v>
      </c>
      <c r="M5" s="30" t="s">
        <v>35</v>
      </c>
      <c r="N5" s="30" t="s">
        <v>35</v>
      </c>
      <c r="O5" s="30" t="s">
        <v>523</v>
      </c>
      <c r="P5" s="30">
        <v>130</v>
      </c>
    </row>
    <row r="6" spans="1:16" x14ac:dyDescent="0.25">
      <c r="A6" t="s">
        <v>64</v>
      </c>
      <c r="B6" t="s">
        <v>40</v>
      </c>
      <c r="C6" s="30" t="s">
        <v>30</v>
      </c>
      <c r="D6" t="s">
        <v>62</v>
      </c>
      <c r="E6" t="s">
        <v>525</v>
      </c>
      <c r="F6" t="s">
        <v>527</v>
      </c>
      <c r="H6" t="s">
        <v>35</v>
      </c>
      <c r="I6" s="29"/>
      <c r="J6" s="30" t="s">
        <v>35</v>
      </c>
      <c r="K6" s="30" t="s">
        <v>498</v>
      </c>
      <c r="L6" s="30" t="s">
        <v>47</v>
      </c>
      <c r="M6" s="30" t="s">
        <v>63</v>
      </c>
      <c r="N6" s="31">
        <v>91960</v>
      </c>
      <c r="O6" s="30" t="s">
        <v>35</v>
      </c>
      <c r="P6" s="30">
        <v>0</v>
      </c>
    </row>
    <row r="7" spans="1:16" x14ac:dyDescent="0.25">
      <c r="A7" t="s">
        <v>71</v>
      </c>
      <c r="B7" t="s">
        <v>40</v>
      </c>
      <c r="C7" s="30" t="s">
        <v>30</v>
      </c>
      <c r="D7" t="s">
        <v>67</v>
      </c>
      <c r="E7" t="s">
        <v>525</v>
      </c>
      <c r="F7" t="s">
        <v>528</v>
      </c>
      <c r="H7" t="s">
        <v>35</v>
      </c>
      <c r="I7" s="29"/>
      <c r="J7" s="30" t="s">
        <v>35</v>
      </c>
      <c r="K7" s="30" t="s">
        <v>499</v>
      </c>
      <c r="L7" s="30" t="s">
        <v>35</v>
      </c>
      <c r="M7" s="30" t="s">
        <v>35</v>
      </c>
      <c r="N7" s="30" t="s">
        <v>35</v>
      </c>
      <c r="O7" s="30" t="s">
        <v>529</v>
      </c>
      <c r="P7" s="30">
        <v>50</v>
      </c>
    </row>
    <row r="8" spans="1:16" x14ac:dyDescent="0.25">
      <c r="A8" t="s">
        <v>77</v>
      </c>
      <c r="B8" t="s">
        <v>40</v>
      </c>
      <c r="C8" s="30" t="s">
        <v>30</v>
      </c>
      <c r="D8" t="s">
        <v>74</v>
      </c>
      <c r="E8" t="s">
        <v>525</v>
      </c>
      <c r="F8" t="s">
        <v>530</v>
      </c>
      <c r="H8" t="s">
        <v>35</v>
      </c>
      <c r="I8" s="29"/>
      <c r="J8" s="30" t="s">
        <v>35</v>
      </c>
      <c r="K8" s="30" t="s">
        <v>499</v>
      </c>
      <c r="L8" s="30" t="s">
        <v>35</v>
      </c>
      <c r="M8" s="30" t="s">
        <v>35</v>
      </c>
      <c r="N8" s="30" t="s">
        <v>35</v>
      </c>
      <c r="O8" s="30" t="s">
        <v>531</v>
      </c>
      <c r="P8" s="30">
        <v>191</v>
      </c>
    </row>
    <row r="9" spans="1:16" x14ac:dyDescent="0.25">
      <c r="A9" t="s">
        <v>87</v>
      </c>
      <c r="B9" t="s">
        <v>89</v>
      </c>
      <c r="C9" s="30" t="s">
        <v>79</v>
      </c>
      <c r="D9" t="s">
        <v>82</v>
      </c>
      <c r="E9" t="s">
        <v>525</v>
      </c>
      <c r="F9" t="s">
        <v>526</v>
      </c>
      <c r="H9" t="s">
        <v>35</v>
      </c>
      <c r="I9" s="29"/>
      <c r="J9" s="30" t="s">
        <v>35</v>
      </c>
      <c r="K9" s="30" t="s">
        <v>498</v>
      </c>
      <c r="L9" s="30" t="s">
        <v>80</v>
      </c>
      <c r="M9" s="30" t="s">
        <v>86</v>
      </c>
      <c r="N9" s="31">
        <v>46585</v>
      </c>
      <c r="O9" s="30" t="s">
        <v>35</v>
      </c>
      <c r="P9" s="30">
        <v>0</v>
      </c>
    </row>
    <row r="10" spans="1:16" x14ac:dyDescent="0.25">
      <c r="A10" t="s">
        <v>96</v>
      </c>
      <c r="B10" t="s">
        <v>89</v>
      </c>
      <c r="C10" s="30" t="s">
        <v>79</v>
      </c>
      <c r="D10" t="s">
        <v>92</v>
      </c>
      <c r="E10" t="s">
        <v>525</v>
      </c>
      <c r="F10" t="s">
        <v>526</v>
      </c>
      <c r="H10" t="s">
        <v>35</v>
      </c>
      <c r="I10" s="29"/>
      <c r="J10" s="30" t="s">
        <v>35</v>
      </c>
      <c r="K10" s="30" t="s">
        <v>532</v>
      </c>
      <c r="L10" s="30" t="s">
        <v>90</v>
      </c>
      <c r="M10" s="30" t="s">
        <v>95</v>
      </c>
      <c r="N10" s="31">
        <v>25410</v>
      </c>
      <c r="O10" s="30" t="s">
        <v>35</v>
      </c>
      <c r="P10" s="30">
        <v>0</v>
      </c>
    </row>
    <row r="11" spans="1:16" x14ac:dyDescent="0.25">
      <c r="A11" t="s">
        <v>104</v>
      </c>
      <c r="B11" t="s">
        <v>89</v>
      </c>
      <c r="C11" s="30" t="s">
        <v>79</v>
      </c>
      <c r="D11" t="s">
        <v>100</v>
      </c>
      <c r="E11" t="s">
        <v>525</v>
      </c>
      <c r="F11" t="s">
        <v>527</v>
      </c>
      <c r="H11" t="s">
        <v>35</v>
      </c>
      <c r="I11" s="29"/>
      <c r="J11" s="30" t="s">
        <v>35</v>
      </c>
      <c r="K11" s="30" t="s">
        <v>532</v>
      </c>
      <c r="L11" s="30" t="s">
        <v>98</v>
      </c>
      <c r="M11" s="30" t="s">
        <v>103</v>
      </c>
      <c r="N11" s="31">
        <v>46585</v>
      </c>
      <c r="O11" s="30" t="s">
        <v>35</v>
      </c>
      <c r="P11" s="30">
        <v>0</v>
      </c>
    </row>
    <row r="12" spans="1:16" x14ac:dyDescent="0.25">
      <c r="A12" t="s">
        <v>110</v>
      </c>
      <c r="B12" t="s">
        <v>89</v>
      </c>
      <c r="C12" s="30" t="s">
        <v>79</v>
      </c>
      <c r="D12" t="s">
        <v>107</v>
      </c>
      <c r="E12" t="s">
        <v>525</v>
      </c>
      <c r="F12" t="s">
        <v>533</v>
      </c>
      <c r="H12" t="s">
        <v>35</v>
      </c>
      <c r="I12" s="29"/>
      <c r="J12" s="30" t="s">
        <v>35</v>
      </c>
      <c r="K12" s="30" t="s">
        <v>498</v>
      </c>
      <c r="L12" s="30" t="s">
        <v>106</v>
      </c>
      <c r="M12" s="30" t="s">
        <v>109</v>
      </c>
      <c r="N12" s="31">
        <v>37000</v>
      </c>
      <c r="O12" s="30" t="s">
        <v>35</v>
      </c>
      <c r="P12" s="30">
        <v>0</v>
      </c>
    </row>
    <row r="13" spans="1:16" x14ac:dyDescent="0.25">
      <c r="A13" t="s">
        <v>116</v>
      </c>
      <c r="B13" t="s">
        <v>89</v>
      </c>
      <c r="C13" s="30" t="s">
        <v>79</v>
      </c>
      <c r="D13" t="s">
        <v>113</v>
      </c>
      <c r="E13" t="s">
        <v>525</v>
      </c>
      <c r="F13" t="s">
        <v>533</v>
      </c>
      <c r="H13" t="s">
        <v>35</v>
      </c>
      <c r="I13" s="29"/>
      <c r="J13" s="30" t="s">
        <v>35</v>
      </c>
      <c r="K13" s="30" t="s">
        <v>498</v>
      </c>
      <c r="L13" s="30" t="s">
        <v>112</v>
      </c>
      <c r="M13" s="30" t="s">
        <v>115</v>
      </c>
      <c r="N13" s="31">
        <v>38500</v>
      </c>
      <c r="O13" s="30" t="s">
        <v>35</v>
      </c>
      <c r="P13" s="30">
        <v>0</v>
      </c>
    </row>
    <row r="14" spans="1:16" x14ac:dyDescent="0.25">
      <c r="A14" t="s">
        <v>124</v>
      </c>
      <c r="B14" t="s">
        <v>89</v>
      </c>
      <c r="C14" s="30" t="s">
        <v>79</v>
      </c>
      <c r="D14" t="s">
        <v>120</v>
      </c>
      <c r="E14" t="s">
        <v>525</v>
      </c>
      <c r="F14" t="s">
        <v>533</v>
      </c>
      <c r="H14" t="s">
        <v>35</v>
      </c>
      <c r="I14" s="29"/>
      <c r="J14" s="30" t="s">
        <v>35</v>
      </c>
      <c r="K14" s="30" t="s">
        <v>498</v>
      </c>
      <c r="L14" s="30" t="s">
        <v>118</v>
      </c>
      <c r="M14" s="30" t="s">
        <v>123</v>
      </c>
      <c r="N14" s="31">
        <v>49450</v>
      </c>
      <c r="O14" s="30" t="s">
        <v>35</v>
      </c>
      <c r="P14" s="30">
        <v>0</v>
      </c>
    </row>
    <row r="15" spans="1:16" x14ac:dyDescent="0.25">
      <c r="A15" t="s">
        <v>128</v>
      </c>
      <c r="B15" t="s">
        <v>89</v>
      </c>
      <c r="C15" s="30" t="s">
        <v>79</v>
      </c>
      <c r="D15" t="s">
        <v>126</v>
      </c>
      <c r="E15" t="s">
        <v>525</v>
      </c>
      <c r="F15" t="s">
        <v>533</v>
      </c>
      <c r="H15" t="s">
        <v>35</v>
      </c>
      <c r="I15" s="29"/>
      <c r="J15" s="30" t="s">
        <v>35</v>
      </c>
      <c r="K15" s="30" t="s">
        <v>498</v>
      </c>
      <c r="L15" s="30" t="s">
        <v>118</v>
      </c>
      <c r="M15" s="30" t="s">
        <v>127</v>
      </c>
      <c r="N15" s="31">
        <v>27830</v>
      </c>
      <c r="O15" s="30" t="s">
        <v>35</v>
      </c>
      <c r="P15" s="30">
        <v>0</v>
      </c>
    </row>
    <row r="16" spans="1:16" x14ac:dyDescent="0.25">
      <c r="A16" t="s">
        <v>134</v>
      </c>
      <c r="B16" t="s">
        <v>89</v>
      </c>
      <c r="C16" s="30" t="s">
        <v>79</v>
      </c>
      <c r="D16" t="s">
        <v>131</v>
      </c>
      <c r="E16" t="s">
        <v>525</v>
      </c>
      <c r="F16" t="s">
        <v>528</v>
      </c>
      <c r="H16" t="s">
        <v>35</v>
      </c>
      <c r="I16" s="29"/>
      <c r="J16" s="30" t="s">
        <v>35</v>
      </c>
      <c r="K16" s="30" t="s">
        <v>498</v>
      </c>
      <c r="L16" s="30" t="s">
        <v>129</v>
      </c>
      <c r="M16" s="30" t="s">
        <v>133</v>
      </c>
      <c r="N16" s="31">
        <v>37665</v>
      </c>
      <c r="O16" s="30" t="s">
        <v>35</v>
      </c>
      <c r="P16" s="30">
        <v>0</v>
      </c>
    </row>
    <row r="17" spans="1:16" x14ac:dyDescent="0.25">
      <c r="A17" t="s">
        <v>141</v>
      </c>
      <c r="B17" t="s">
        <v>89</v>
      </c>
      <c r="C17" s="30" t="s">
        <v>79</v>
      </c>
      <c r="D17" t="s">
        <v>138</v>
      </c>
      <c r="E17" t="s">
        <v>525</v>
      </c>
      <c r="F17" t="s">
        <v>528</v>
      </c>
      <c r="H17" t="s">
        <v>35</v>
      </c>
      <c r="I17" s="29"/>
      <c r="J17" s="30" t="s">
        <v>35</v>
      </c>
      <c r="K17" s="30" t="s">
        <v>532</v>
      </c>
      <c r="L17" s="30" t="s">
        <v>136</v>
      </c>
      <c r="M17" s="30" t="s">
        <v>140</v>
      </c>
      <c r="N17" s="31">
        <v>30250</v>
      </c>
      <c r="O17" s="30" t="s">
        <v>35</v>
      </c>
      <c r="P17" s="30">
        <v>0</v>
      </c>
    </row>
    <row r="18" spans="1:16" x14ac:dyDescent="0.25">
      <c r="A18" t="s">
        <v>147</v>
      </c>
      <c r="B18" t="s">
        <v>89</v>
      </c>
      <c r="C18" s="30" t="s">
        <v>79</v>
      </c>
      <c r="D18" t="s">
        <v>144</v>
      </c>
      <c r="E18" t="s">
        <v>525</v>
      </c>
      <c r="F18" t="s">
        <v>534</v>
      </c>
      <c r="H18" t="s">
        <v>35</v>
      </c>
      <c r="I18" s="29"/>
      <c r="J18" s="30" t="s">
        <v>35</v>
      </c>
      <c r="K18" s="30" t="s">
        <v>499</v>
      </c>
      <c r="L18" s="30" t="s">
        <v>35</v>
      </c>
      <c r="M18" s="30" t="s">
        <v>35</v>
      </c>
      <c r="N18" s="30" t="s">
        <v>35</v>
      </c>
      <c r="O18" s="30" t="s">
        <v>535</v>
      </c>
      <c r="P18" s="30">
        <v>38</v>
      </c>
    </row>
    <row r="19" spans="1:16" x14ac:dyDescent="0.25">
      <c r="A19" t="s">
        <v>154</v>
      </c>
      <c r="B19" t="s">
        <v>89</v>
      </c>
      <c r="C19" s="30" t="s">
        <v>79</v>
      </c>
      <c r="D19" t="s">
        <v>151</v>
      </c>
      <c r="E19" t="s">
        <v>525</v>
      </c>
      <c r="F19" t="s">
        <v>534</v>
      </c>
      <c r="H19" t="s">
        <v>35</v>
      </c>
      <c r="I19" s="29"/>
      <c r="J19" s="30" t="s">
        <v>35</v>
      </c>
      <c r="K19" s="30" t="s">
        <v>499</v>
      </c>
      <c r="L19" s="30" t="s">
        <v>35</v>
      </c>
      <c r="M19" s="30" t="s">
        <v>35</v>
      </c>
      <c r="N19" s="30" t="s">
        <v>35</v>
      </c>
      <c r="O19" s="30" t="s">
        <v>536</v>
      </c>
      <c r="P19" s="30">
        <v>8</v>
      </c>
    </row>
    <row r="20" spans="1:16" x14ac:dyDescent="0.25">
      <c r="A20" t="s">
        <v>160</v>
      </c>
      <c r="B20" t="s">
        <v>89</v>
      </c>
      <c r="C20" s="30" t="s">
        <v>79</v>
      </c>
      <c r="D20" t="s">
        <v>157</v>
      </c>
      <c r="E20" t="s">
        <v>525</v>
      </c>
      <c r="F20" t="s">
        <v>534</v>
      </c>
      <c r="H20" t="s">
        <v>35</v>
      </c>
      <c r="I20" s="29"/>
      <c r="J20" s="30" t="s">
        <v>35</v>
      </c>
      <c r="K20" s="30" t="s">
        <v>532</v>
      </c>
      <c r="L20" s="30" t="s">
        <v>156</v>
      </c>
      <c r="M20" s="30" t="s">
        <v>159</v>
      </c>
      <c r="N20" s="31">
        <v>25410</v>
      </c>
      <c r="O20" s="30" t="s">
        <v>35</v>
      </c>
      <c r="P20" s="30">
        <v>0</v>
      </c>
    </row>
    <row r="21" spans="1:16" x14ac:dyDescent="0.25">
      <c r="A21" t="s">
        <v>169</v>
      </c>
      <c r="B21" t="s">
        <v>171</v>
      </c>
      <c r="C21" s="30" t="s">
        <v>162</v>
      </c>
      <c r="D21" t="s">
        <v>82</v>
      </c>
      <c r="E21" t="s">
        <v>525</v>
      </c>
      <c r="F21" t="s">
        <v>526</v>
      </c>
      <c r="H21" t="s">
        <v>35</v>
      </c>
      <c r="I21" s="29"/>
      <c r="J21" s="30" t="s">
        <v>35</v>
      </c>
      <c r="K21" s="30" t="s">
        <v>498</v>
      </c>
      <c r="L21" s="30" t="s">
        <v>163</v>
      </c>
      <c r="M21" s="30" t="s">
        <v>168</v>
      </c>
      <c r="N21" s="31">
        <v>44770</v>
      </c>
      <c r="O21" s="30" t="s">
        <v>35</v>
      </c>
      <c r="P21" s="30">
        <v>0</v>
      </c>
    </row>
    <row r="22" spans="1:16" x14ac:dyDescent="0.25">
      <c r="A22" t="s">
        <v>175</v>
      </c>
      <c r="B22" t="s">
        <v>171</v>
      </c>
      <c r="C22" s="30" t="s">
        <v>162</v>
      </c>
      <c r="D22" t="s">
        <v>92</v>
      </c>
      <c r="E22" t="s">
        <v>525</v>
      </c>
      <c r="F22" t="s">
        <v>526</v>
      </c>
      <c r="H22" t="s">
        <v>35</v>
      </c>
      <c r="I22" s="29"/>
      <c r="J22" s="30" t="s">
        <v>35</v>
      </c>
      <c r="K22" s="30" t="s">
        <v>498</v>
      </c>
      <c r="L22" s="30" t="s">
        <v>172</v>
      </c>
      <c r="M22" s="30" t="s">
        <v>174</v>
      </c>
      <c r="N22" s="31">
        <v>44770</v>
      </c>
      <c r="O22" s="30" t="s">
        <v>35</v>
      </c>
      <c r="P22" s="30">
        <v>0</v>
      </c>
    </row>
    <row r="23" spans="1:16" x14ac:dyDescent="0.25">
      <c r="A23" t="s">
        <v>181</v>
      </c>
      <c r="B23" t="s">
        <v>171</v>
      </c>
      <c r="C23" s="30" t="s">
        <v>162</v>
      </c>
      <c r="D23" t="s">
        <v>178</v>
      </c>
      <c r="E23" t="s">
        <v>525</v>
      </c>
      <c r="F23" t="s">
        <v>537</v>
      </c>
      <c r="H23" t="s">
        <v>35</v>
      </c>
      <c r="I23" s="29"/>
      <c r="J23" s="30" t="s">
        <v>35</v>
      </c>
      <c r="K23" s="30" t="s">
        <v>498</v>
      </c>
      <c r="L23" s="30" t="s">
        <v>177</v>
      </c>
      <c r="M23" s="30" t="s">
        <v>180</v>
      </c>
      <c r="N23" s="31">
        <v>20000</v>
      </c>
      <c r="O23" s="30" t="s">
        <v>35</v>
      </c>
      <c r="P23" s="30">
        <v>0</v>
      </c>
    </row>
    <row r="24" spans="1:16" x14ac:dyDescent="0.25">
      <c r="A24" t="s">
        <v>187</v>
      </c>
      <c r="B24" t="s">
        <v>171</v>
      </c>
      <c r="C24" s="30" t="s">
        <v>162</v>
      </c>
      <c r="D24" t="s">
        <v>184</v>
      </c>
      <c r="E24" t="s">
        <v>525</v>
      </c>
      <c r="F24" t="s">
        <v>537</v>
      </c>
      <c r="H24" t="s">
        <v>35</v>
      </c>
      <c r="I24" s="29"/>
      <c r="J24" s="30" t="s">
        <v>35</v>
      </c>
      <c r="K24" s="30" t="s">
        <v>532</v>
      </c>
      <c r="L24" s="30" t="s">
        <v>183</v>
      </c>
      <c r="M24" s="30" t="s">
        <v>186</v>
      </c>
      <c r="N24" s="31">
        <v>7000</v>
      </c>
      <c r="O24" s="30" t="s">
        <v>35</v>
      </c>
      <c r="P24" s="30">
        <v>0</v>
      </c>
    </row>
    <row r="25" spans="1:16" x14ac:dyDescent="0.25">
      <c r="A25" t="s">
        <v>193</v>
      </c>
      <c r="B25" t="s">
        <v>171</v>
      </c>
      <c r="C25" s="30" t="s">
        <v>162</v>
      </c>
      <c r="D25" t="s">
        <v>190</v>
      </c>
      <c r="E25" t="s">
        <v>525</v>
      </c>
      <c r="F25" t="s">
        <v>537</v>
      </c>
      <c r="H25" t="s">
        <v>35</v>
      </c>
      <c r="I25" s="29"/>
      <c r="J25" s="30" t="s">
        <v>35</v>
      </c>
      <c r="K25" s="30" t="s">
        <v>498</v>
      </c>
      <c r="L25" s="30" t="s">
        <v>189</v>
      </c>
      <c r="M25" s="30" t="s">
        <v>192</v>
      </c>
      <c r="N25" s="31">
        <v>15000</v>
      </c>
      <c r="O25" s="30" t="s">
        <v>35</v>
      </c>
      <c r="P25" s="30">
        <v>0</v>
      </c>
    </row>
    <row r="26" spans="1:16" x14ac:dyDescent="0.25">
      <c r="A26" t="s">
        <v>197</v>
      </c>
      <c r="B26" t="s">
        <v>171</v>
      </c>
      <c r="C26" s="30" t="s">
        <v>162</v>
      </c>
      <c r="D26" t="s">
        <v>195</v>
      </c>
      <c r="E26" t="s">
        <v>525</v>
      </c>
      <c r="F26" t="s">
        <v>537</v>
      </c>
      <c r="H26" t="s">
        <v>35</v>
      </c>
      <c r="I26" s="29"/>
      <c r="J26" s="30" t="s">
        <v>35</v>
      </c>
      <c r="K26" s="30" t="s">
        <v>498</v>
      </c>
      <c r="L26" s="30" t="s">
        <v>177</v>
      </c>
      <c r="M26" s="30" t="s">
        <v>196</v>
      </c>
      <c r="N26" s="31">
        <v>15000</v>
      </c>
      <c r="O26" s="30" t="s">
        <v>35</v>
      </c>
      <c r="P26" s="30">
        <v>0</v>
      </c>
    </row>
    <row r="27" spans="1:16" x14ac:dyDescent="0.25">
      <c r="A27" t="s">
        <v>202</v>
      </c>
      <c r="B27" t="s">
        <v>171</v>
      </c>
      <c r="C27" s="30" t="s">
        <v>162</v>
      </c>
      <c r="D27" t="s">
        <v>199</v>
      </c>
      <c r="E27" t="s">
        <v>525</v>
      </c>
      <c r="F27" t="s">
        <v>537</v>
      </c>
      <c r="H27" t="s">
        <v>35</v>
      </c>
      <c r="I27" s="29"/>
      <c r="J27" s="30" t="s">
        <v>35</v>
      </c>
      <c r="K27" s="30" t="s">
        <v>532</v>
      </c>
      <c r="L27" s="30" t="s">
        <v>198</v>
      </c>
      <c r="M27" s="30" t="s">
        <v>201</v>
      </c>
      <c r="N27" s="31">
        <v>7000</v>
      </c>
      <c r="O27" s="30" t="s">
        <v>35</v>
      </c>
      <c r="P27" s="30">
        <v>0</v>
      </c>
    </row>
    <row r="28" spans="1:16" x14ac:dyDescent="0.25">
      <c r="A28" t="s">
        <v>206</v>
      </c>
      <c r="B28" t="s">
        <v>171</v>
      </c>
      <c r="C28" s="30" t="s">
        <v>162</v>
      </c>
      <c r="D28" t="s">
        <v>204</v>
      </c>
      <c r="E28" t="s">
        <v>525</v>
      </c>
      <c r="F28" t="s">
        <v>537</v>
      </c>
      <c r="H28" t="s">
        <v>35</v>
      </c>
      <c r="I28" s="29"/>
      <c r="J28" s="30" t="s">
        <v>35</v>
      </c>
      <c r="K28" s="30" t="s">
        <v>498</v>
      </c>
      <c r="L28" s="30" t="s">
        <v>198</v>
      </c>
      <c r="M28" s="30" t="s">
        <v>205</v>
      </c>
      <c r="N28" s="31">
        <v>8000</v>
      </c>
      <c r="O28" s="30" t="s">
        <v>35</v>
      </c>
      <c r="P28" s="30">
        <v>0</v>
      </c>
    </row>
    <row r="29" spans="1:16" x14ac:dyDescent="0.25">
      <c r="A29" t="s">
        <v>209</v>
      </c>
      <c r="B29" t="s">
        <v>171</v>
      </c>
      <c r="C29" s="30" t="s">
        <v>162</v>
      </c>
      <c r="D29" t="s">
        <v>207</v>
      </c>
      <c r="E29" t="s">
        <v>525</v>
      </c>
      <c r="F29" t="s">
        <v>537</v>
      </c>
      <c r="H29" t="s">
        <v>35</v>
      </c>
      <c r="I29" s="29"/>
      <c r="J29" s="30" t="s">
        <v>35</v>
      </c>
      <c r="K29" s="30" t="s">
        <v>498</v>
      </c>
      <c r="L29" s="30" t="s">
        <v>198</v>
      </c>
      <c r="M29" s="30" t="s">
        <v>208</v>
      </c>
      <c r="N29" s="31">
        <v>8000</v>
      </c>
      <c r="O29" s="30" t="s">
        <v>35</v>
      </c>
      <c r="P29" s="30">
        <v>0</v>
      </c>
    </row>
    <row r="30" spans="1:16" x14ac:dyDescent="0.25">
      <c r="A30" t="s">
        <v>215</v>
      </c>
      <c r="B30" t="s">
        <v>171</v>
      </c>
      <c r="C30" s="30" t="s">
        <v>162</v>
      </c>
      <c r="D30" t="s">
        <v>212</v>
      </c>
      <c r="E30" t="s">
        <v>525</v>
      </c>
      <c r="F30" t="s">
        <v>527</v>
      </c>
      <c r="H30" t="s">
        <v>35</v>
      </c>
      <c r="I30" s="29"/>
      <c r="J30" s="30" t="s">
        <v>35</v>
      </c>
      <c r="K30" s="30" t="s">
        <v>499</v>
      </c>
      <c r="L30" s="30" t="s">
        <v>35</v>
      </c>
      <c r="M30" s="30" t="s">
        <v>35</v>
      </c>
      <c r="N30" s="30" t="s">
        <v>35</v>
      </c>
      <c r="O30" s="30" t="s">
        <v>523</v>
      </c>
      <c r="P30" s="30">
        <v>130</v>
      </c>
    </row>
    <row r="31" spans="1:16" x14ac:dyDescent="0.25">
      <c r="A31" t="s">
        <v>221</v>
      </c>
      <c r="B31" t="s">
        <v>171</v>
      </c>
      <c r="C31" s="30" t="s">
        <v>162</v>
      </c>
      <c r="D31" t="s">
        <v>100</v>
      </c>
      <c r="E31" t="s">
        <v>525</v>
      </c>
      <c r="F31" t="s">
        <v>527</v>
      </c>
      <c r="H31" t="s">
        <v>35</v>
      </c>
      <c r="I31" s="29"/>
      <c r="J31" s="30" t="s">
        <v>35</v>
      </c>
      <c r="K31" s="30" t="s">
        <v>499</v>
      </c>
      <c r="L31" s="30" t="s">
        <v>35</v>
      </c>
      <c r="M31" s="30" t="s">
        <v>35</v>
      </c>
      <c r="N31" s="30" t="s">
        <v>35</v>
      </c>
      <c r="O31" s="30" t="s">
        <v>535</v>
      </c>
      <c r="P31" s="30">
        <v>38</v>
      </c>
    </row>
    <row r="32" spans="1:16" x14ac:dyDescent="0.25">
      <c r="A32" t="s">
        <v>228</v>
      </c>
      <c r="B32" t="s">
        <v>171</v>
      </c>
      <c r="C32" s="30" t="s">
        <v>162</v>
      </c>
      <c r="D32" t="s">
        <v>225</v>
      </c>
      <c r="E32" t="s">
        <v>525</v>
      </c>
      <c r="F32" t="s">
        <v>527</v>
      </c>
      <c r="H32" t="s">
        <v>35</v>
      </c>
      <c r="I32" s="29"/>
      <c r="J32" s="30" t="s">
        <v>35</v>
      </c>
      <c r="K32" s="30" t="s">
        <v>498</v>
      </c>
      <c r="L32" s="30" t="s">
        <v>230</v>
      </c>
      <c r="M32" s="30" t="s">
        <v>233</v>
      </c>
      <c r="N32" s="31">
        <v>14500</v>
      </c>
      <c r="O32" s="30" t="s">
        <v>35</v>
      </c>
      <c r="P32" s="30">
        <v>0</v>
      </c>
    </row>
    <row r="33" spans="1:16" x14ac:dyDescent="0.25">
      <c r="A33" t="s">
        <v>239</v>
      </c>
      <c r="B33" t="s">
        <v>171</v>
      </c>
      <c r="C33" s="30" t="s">
        <v>162</v>
      </c>
      <c r="D33" t="s">
        <v>236</v>
      </c>
      <c r="E33" t="s">
        <v>525</v>
      </c>
      <c r="F33" t="s">
        <v>527</v>
      </c>
      <c r="H33" t="s">
        <v>35</v>
      </c>
      <c r="I33" s="29"/>
      <c r="J33" s="30" t="s">
        <v>35</v>
      </c>
      <c r="K33" s="30" t="s">
        <v>532</v>
      </c>
      <c r="L33" s="30" t="s">
        <v>235</v>
      </c>
      <c r="M33" s="30" t="s">
        <v>238</v>
      </c>
      <c r="N33" s="31">
        <v>14000</v>
      </c>
      <c r="O33" s="30" t="s">
        <v>35</v>
      </c>
      <c r="P33" s="30">
        <v>0</v>
      </c>
    </row>
    <row r="34" spans="1:16" x14ac:dyDescent="0.25">
      <c r="A34" t="s">
        <v>246</v>
      </c>
      <c r="B34" t="s">
        <v>171</v>
      </c>
      <c r="C34" s="30" t="s">
        <v>162</v>
      </c>
      <c r="D34" t="s">
        <v>243</v>
      </c>
      <c r="E34" t="s">
        <v>525</v>
      </c>
      <c r="F34" t="s">
        <v>527</v>
      </c>
      <c r="H34" t="s">
        <v>35</v>
      </c>
      <c r="I34" s="29"/>
      <c r="J34" s="30" t="s">
        <v>35</v>
      </c>
      <c r="K34" s="30" t="s">
        <v>499</v>
      </c>
      <c r="L34" s="30" t="s">
        <v>35</v>
      </c>
      <c r="M34" s="30" t="s">
        <v>35</v>
      </c>
      <c r="N34" s="30" t="s">
        <v>35</v>
      </c>
      <c r="O34" s="30" t="s">
        <v>538</v>
      </c>
      <c r="P34" s="30">
        <v>39</v>
      </c>
    </row>
    <row r="35" spans="1:16" x14ac:dyDescent="0.25">
      <c r="A35" t="s">
        <v>253</v>
      </c>
      <c r="B35" t="s">
        <v>171</v>
      </c>
      <c r="C35" s="30" t="s">
        <v>162</v>
      </c>
      <c r="D35" t="s">
        <v>250</v>
      </c>
      <c r="E35" t="s">
        <v>525</v>
      </c>
      <c r="F35" t="s">
        <v>527</v>
      </c>
      <c r="H35" t="s">
        <v>35</v>
      </c>
      <c r="I35" s="29"/>
      <c r="J35" s="30" t="s">
        <v>35</v>
      </c>
      <c r="K35" s="30" t="s">
        <v>498</v>
      </c>
      <c r="L35" s="30" t="s">
        <v>248</v>
      </c>
      <c r="M35" s="30" t="s">
        <v>252</v>
      </c>
      <c r="N35" s="31">
        <v>20000</v>
      </c>
      <c r="O35" s="30" t="s">
        <v>35</v>
      </c>
      <c r="P35" s="30">
        <v>0</v>
      </c>
    </row>
    <row r="36" spans="1:16" x14ac:dyDescent="0.25">
      <c r="A36" t="s">
        <v>261</v>
      </c>
      <c r="B36" t="s">
        <v>171</v>
      </c>
      <c r="C36" s="30" t="s">
        <v>162</v>
      </c>
      <c r="D36" t="s">
        <v>257</v>
      </c>
      <c r="E36" t="s">
        <v>525</v>
      </c>
      <c r="F36" t="s">
        <v>527</v>
      </c>
      <c r="H36" t="s">
        <v>35</v>
      </c>
      <c r="I36" s="29"/>
      <c r="J36" s="30" t="s">
        <v>35</v>
      </c>
      <c r="K36" s="30" t="s">
        <v>498</v>
      </c>
      <c r="L36" s="30" t="s">
        <v>255</v>
      </c>
      <c r="M36" s="30" t="s">
        <v>260</v>
      </c>
      <c r="N36" s="31">
        <v>21175</v>
      </c>
      <c r="O36" s="30" t="s">
        <v>35</v>
      </c>
      <c r="P36" s="30">
        <v>0</v>
      </c>
    </row>
    <row r="37" spans="1:16" x14ac:dyDescent="0.25">
      <c r="A37" t="s">
        <v>266</v>
      </c>
      <c r="B37" t="s">
        <v>171</v>
      </c>
      <c r="C37" s="30" t="s">
        <v>162</v>
      </c>
      <c r="D37" t="s">
        <v>107</v>
      </c>
      <c r="E37" t="s">
        <v>525</v>
      </c>
      <c r="F37" t="s">
        <v>533</v>
      </c>
      <c r="H37" t="s">
        <v>35</v>
      </c>
      <c r="I37" s="29"/>
      <c r="J37" s="30" t="s">
        <v>35</v>
      </c>
      <c r="K37" s="30" t="s">
        <v>499</v>
      </c>
      <c r="L37" s="30" t="s">
        <v>35</v>
      </c>
      <c r="M37" s="30" t="s">
        <v>35</v>
      </c>
      <c r="N37" s="30" t="s">
        <v>35</v>
      </c>
      <c r="O37" s="30" t="s">
        <v>539</v>
      </c>
      <c r="P37" s="30">
        <v>19</v>
      </c>
    </row>
    <row r="38" spans="1:16" x14ac:dyDescent="0.25">
      <c r="A38" t="s">
        <v>272</v>
      </c>
      <c r="B38" t="s">
        <v>171</v>
      </c>
      <c r="C38" s="30" t="s">
        <v>162</v>
      </c>
      <c r="D38" t="s">
        <v>113</v>
      </c>
      <c r="E38" t="s">
        <v>525</v>
      </c>
      <c r="F38" t="s">
        <v>533</v>
      </c>
      <c r="H38" t="s">
        <v>35</v>
      </c>
      <c r="I38" s="29"/>
      <c r="J38" s="30" t="s">
        <v>35</v>
      </c>
      <c r="K38" s="30" t="s">
        <v>499</v>
      </c>
      <c r="L38" s="30" t="s">
        <v>35</v>
      </c>
      <c r="M38" s="30" t="s">
        <v>35</v>
      </c>
      <c r="N38" s="30" t="s">
        <v>35</v>
      </c>
      <c r="O38" s="30" t="s">
        <v>540</v>
      </c>
      <c r="P38" s="30">
        <v>23</v>
      </c>
    </row>
    <row r="39" spans="1:16" x14ac:dyDescent="0.25">
      <c r="A39" t="s">
        <v>275</v>
      </c>
      <c r="B39" t="s">
        <v>171</v>
      </c>
      <c r="C39" s="30" t="s">
        <v>162</v>
      </c>
      <c r="D39" t="s">
        <v>120</v>
      </c>
      <c r="E39" t="s">
        <v>525</v>
      </c>
      <c r="F39" t="s">
        <v>533</v>
      </c>
      <c r="H39" t="s">
        <v>35</v>
      </c>
      <c r="I39" s="29"/>
      <c r="J39" s="30" t="s">
        <v>35</v>
      </c>
      <c r="K39" s="30" t="s">
        <v>498</v>
      </c>
      <c r="L39" s="30" t="s">
        <v>177</v>
      </c>
      <c r="M39" s="30" t="s">
        <v>274</v>
      </c>
      <c r="N39" s="31">
        <v>19000</v>
      </c>
      <c r="O39" s="30" t="s">
        <v>35</v>
      </c>
      <c r="P39" s="30">
        <v>0</v>
      </c>
    </row>
    <row r="40" spans="1:16" x14ac:dyDescent="0.25">
      <c r="A40" t="s">
        <v>279</v>
      </c>
      <c r="B40" t="s">
        <v>171</v>
      </c>
      <c r="C40" s="30" t="s">
        <v>162</v>
      </c>
      <c r="D40" t="s">
        <v>126</v>
      </c>
      <c r="E40" t="s">
        <v>525</v>
      </c>
      <c r="F40" t="s">
        <v>533</v>
      </c>
      <c r="H40" t="s">
        <v>35</v>
      </c>
      <c r="I40" s="29"/>
      <c r="J40" s="30" t="s">
        <v>35</v>
      </c>
      <c r="K40" s="30" t="s">
        <v>498</v>
      </c>
      <c r="L40" s="30" t="s">
        <v>281</v>
      </c>
      <c r="M40" s="30" t="s">
        <v>283</v>
      </c>
      <c r="N40" s="31">
        <v>14000</v>
      </c>
      <c r="O40" s="30" t="s">
        <v>35</v>
      </c>
      <c r="P40" s="30">
        <v>0</v>
      </c>
    </row>
    <row r="41" spans="1:16" x14ac:dyDescent="0.25">
      <c r="A41" t="s">
        <v>291</v>
      </c>
      <c r="B41" t="s">
        <v>171</v>
      </c>
      <c r="C41" s="30" t="s">
        <v>162</v>
      </c>
      <c r="D41" t="s">
        <v>287</v>
      </c>
      <c r="E41" t="s">
        <v>525</v>
      </c>
      <c r="F41" t="s">
        <v>533</v>
      </c>
      <c r="H41" t="s">
        <v>35</v>
      </c>
      <c r="I41" s="29"/>
      <c r="J41" s="30" t="s">
        <v>35</v>
      </c>
      <c r="K41" s="30" t="s">
        <v>532</v>
      </c>
      <c r="L41" s="30" t="s">
        <v>285</v>
      </c>
      <c r="M41" s="30" t="s">
        <v>290</v>
      </c>
      <c r="N41" s="31">
        <v>11500</v>
      </c>
      <c r="O41" s="30" t="s">
        <v>35</v>
      </c>
      <c r="P41" s="30">
        <v>0</v>
      </c>
    </row>
    <row r="42" spans="1:16" x14ac:dyDescent="0.25">
      <c r="A42" t="s">
        <v>297</v>
      </c>
      <c r="B42" t="s">
        <v>171</v>
      </c>
      <c r="C42" s="30" t="s">
        <v>162</v>
      </c>
      <c r="D42" t="s">
        <v>294</v>
      </c>
      <c r="E42" t="s">
        <v>525</v>
      </c>
      <c r="F42" t="s">
        <v>533</v>
      </c>
      <c r="H42" t="s">
        <v>35</v>
      </c>
      <c r="I42" s="29"/>
      <c r="J42" s="30" t="s">
        <v>35</v>
      </c>
      <c r="K42" s="30" t="s">
        <v>532</v>
      </c>
      <c r="L42" s="30" t="s">
        <v>293</v>
      </c>
      <c r="M42" s="30" t="s">
        <v>296</v>
      </c>
      <c r="N42" s="31">
        <v>11195</v>
      </c>
      <c r="O42" s="30" t="s">
        <v>35</v>
      </c>
      <c r="P42" s="30">
        <v>0</v>
      </c>
    </row>
    <row r="43" spans="1:16" x14ac:dyDescent="0.25">
      <c r="A43" t="s">
        <v>304</v>
      </c>
      <c r="B43" t="s">
        <v>171</v>
      </c>
      <c r="C43" s="30" t="s">
        <v>162</v>
      </c>
      <c r="D43" t="s">
        <v>301</v>
      </c>
      <c r="E43" t="s">
        <v>525</v>
      </c>
      <c r="F43" t="s">
        <v>533</v>
      </c>
      <c r="H43" t="s">
        <v>35</v>
      </c>
      <c r="I43" s="29"/>
      <c r="J43" s="30" t="s">
        <v>35</v>
      </c>
      <c r="K43" s="30" t="s">
        <v>498</v>
      </c>
      <c r="L43" s="30" t="s">
        <v>299</v>
      </c>
      <c r="M43" s="30" t="s">
        <v>303</v>
      </c>
      <c r="N43" s="31">
        <v>12100</v>
      </c>
      <c r="O43" s="30" t="s">
        <v>35</v>
      </c>
      <c r="P43" s="30">
        <v>0</v>
      </c>
    </row>
    <row r="44" spans="1:16" x14ac:dyDescent="0.25">
      <c r="A44" t="s">
        <v>311</v>
      </c>
      <c r="B44" t="s">
        <v>171</v>
      </c>
      <c r="C44" s="30" t="s">
        <v>162</v>
      </c>
      <c r="D44" t="s">
        <v>131</v>
      </c>
      <c r="E44" t="s">
        <v>525</v>
      </c>
      <c r="F44" t="s">
        <v>528</v>
      </c>
      <c r="H44" t="s">
        <v>35</v>
      </c>
      <c r="I44" s="29"/>
      <c r="J44" s="30" t="s">
        <v>35</v>
      </c>
      <c r="K44" s="30" t="s">
        <v>498</v>
      </c>
      <c r="L44" s="30" t="s">
        <v>306</v>
      </c>
      <c r="M44" s="30" t="s">
        <v>310</v>
      </c>
      <c r="N44" s="31">
        <v>12100</v>
      </c>
      <c r="O44" s="30" t="s">
        <v>35</v>
      </c>
      <c r="P44" s="30">
        <v>0</v>
      </c>
    </row>
    <row r="45" spans="1:16" x14ac:dyDescent="0.25">
      <c r="A45" t="s">
        <v>318</v>
      </c>
      <c r="B45" t="s">
        <v>171</v>
      </c>
      <c r="C45" s="30" t="s">
        <v>162</v>
      </c>
      <c r="D45" t="s">
        <v>315</v>
      </c>
      <c r="E45" t="s">
        <v>525</v>
      </c>
      <c r="F45" t="s">
        <v>528</v>
      </c>
      <c r="H45" t="s">
        <v>35</v>
      </c>
      <c r="I45" s="29"/>
      <c r="J45" s="30" t="s">
        <v>35</v>
      </c>
      <c r="K45" s="30" t="s">
        <v>498</v>
      </c>
      <c r="L45" s="30" t="s">
        <v>313</v>
      </c>
      <c r="M45" s="30" t="s">
        <v>317</v>
      </c>
      <c r="N45" s="31">
        <v>14850</v>
      </c>
      <c r="O45" s="30" t="s">
        <v>35</v>
      </c>
      <c r="P45" s="30">
        <v>0</v>
      </c>
    </row>
    <row r="46" spans="1:16" x14ac:dyDescent="0.25">
      <c r="A46" t="s">
        <v>323</v>
      </c>
      <c r="B46" t="s">
        <v>171</v>
      </c>
      <c r="C46" s="30" t="s">
        <v>162</v>
      </c>
      <c r="D46" t="s">
        <v>138</v>
      </c>
      <c r="E46" t="s">
        <v>525</v>
      </c>
      <c r="F46" t="s">
        <v>528</v>
      </c>
      <c r="H46" t="s">
        <v>35</v>
      </c>
      <c r="I46" s="29"/>
      <c r="J46" s="30" t="s">
        <v>35</v>
      </c>
      <c r="K46" s="30" t="s">
        <v>498</v>
      </c>
      <c r="L46" s="30" t="s">
        <v>320</v>
      </c>
      <c r="M46" s="30" t="s">
        <v>322</v>
      </c>
      <c r="N46" s="31">
        <v>13500</v>
      </c>
      <c r="O46" s="30" t="s">
        <v>35</v>
      </c>
      <c r="P46" s="30">
        <v>0</v>
      </c>
    </row>
    <row r="47" spans="1:16" x14ac:dyDescent="0.25">
      <c r="A47" t="s">
        <v>330</v>
      </c>
      <c r="B47" t="s">
        <v>171</v>
      </c>
      <c r="C47" s="30" t="s">
        <v>162</v>
      </c>
      <c r="D47" t="s">
        <v>327</v>
      </c>
      <c r="E47" t="s">
        <v>525</v>
      </c>
      <c r="F47" t="s">
        <v>528</v>
      </c>
      <c r="H47" t="s">
        <v>35</v>
      </c>
      <c r="I47" s="29"/>
      <c r="J47" s="30" t="s">
        <v>35</v>
      </c>
      <c r="K47" s="30" t="s">
        <v>498</v>
      </c>
      <c r="L47" s="30" t="s">
        <v>325</v>
      </c>
      <c r="M47" s="30" t="s">
        <v>329</v>
      </c>
      <c r="N47" s="31">
        <v>14000</v>
      </c>
      <c r="O47" s="30" t="s">
        <v>35</v>
      </c>
      <c r="P47" s="30">
        <v>0</v>
      </c>
    </row>
    <row r="48" spans="1:16" x14ac:dyDescent="0.25">
      <c r="A48" t="s">
        <v>337</v>
      </c>
      <c r="B48" t="s">
        <v>171</v>
      </c>
      <c r="C48" s="30" t="s">
        <v>162</v>
      </c>
      <c r="D48" t="s">
        <v>334</v>
      </c>
      <c r="E48" t="s">
        <v>525</v>
      </c>
      <c r="F48" t="s">
        <v>528</v>
      </c>
      <c r="H48" t="s">
        <v>35</v>
      </c>
      <c r="I48" s="29"/>
      <c r="J48" s="30" t="s">
        <v>35</v>
      </c>
      <c r="K48" s="30" t="s">
        <v>498</v>
      </c>
      <c r="L48" s="30" t="s">
        <v>332</v>
      </c>
      <c r="M48" s="30" t="s">
        <v>336</v>
      </c>
      <c r="N48" s="31">
        <v>14565</v>
      </c>
      <c r="O48" s="30" t="s">
        <v>35</v>
      </c>
      <c r="P48" s="30">
        <v>0</v>
      </c>
    </row>
    <row r="49" spans="1:16" x14ac:dyDescent="0.25">
      <c r="A49" t="s">
        <v>344</v>
      </c>
      <c r="B49" t="s">
        <v>171</v>
      </c>
      <c r="C49" s="30" t="s">
        <v>162</v>
      </c>
      <c r="D49" t="s">
        <v>340</v>
      </c>
      <c r="E49" t="s">
        <v>525</v>
      </c>
      <c r="F49" t="s">
        <v>528</v>
      </c>
      <c r="H49" t="s">
        <v>35</v>
      </c>
      <c r="I49" s="29"/>
      <c r="J49" s="30" t="s">
        <v>35</v>
      </c>
      <c r="K49" s="30" t="s">
        <v>532</v>
      </c>
      <c r="L49" s="30" t="s">
        <v>339</v>
      </c>
      <c r="M49" s="30" t="s">
        <v>343</v>
      </c>
      <c r="N49" s="31">
        <v>16500</v>
      </c>
      <c r="O49" s="30" t="s">
        <v>35</v>
      </c>
      <c r="P49" s="30">
        <v>0</v>
      </c>
    </row>
    <row r="50" spans="1:16" x14ac:dyDescent="0.25">
      <c r="A50" t="s">
        <v>350</v>
      </c>
      <c r="B50" t="s">
        <v>171</v>
      </c>
      <c r="C50" s="30" t="s">
        <v>162</v>
      </c>
      <c r="D50" t="s">
        <v>347</v>
      </c>
      <c r="E50" t="s">
        <v>525</v>
      </c>
      <c r="F50" t="s">
        <v>528</v>
      </c>
      <c r="H50" t="s">
        <v>35</v>
      </c>
      <c r="I50" s="29"/>
      <c r="J50" s="30" t="s">
        <v>35</v>
      </c>
      <c r="K50" s="30" t="s">
        <v>499</v>
      </c>
      <c r="L50" s="30" t="s">
        <v>35</v>
      </c>
      <c r="M50" s="30" t="s">
        <v>35</v>
      </c>
      <c r="N50" s="30" t="s">
        <v>35</v>
      </c>
      <c r="O50" s="30" t="s">
        <v>536</v>
      </c>
      <c r="P50" s="30">
        <v>8</v>
      </c>
    </row>
    <row r="51" spans="1:16" x14ac:dyDescent="0.25">
      <c r="A51" t="s">
        <v>357</v>
      </c>
      <c r="B51" t="s">
        <v>171</v>
      </c>
      <c r="C51" s="30" t="s">
        <v>162</v>
      </c>
      <c r="D51" t="s">
        <v>354</v>
      </c>
      <c r="E51" t="s">
        <v>525</v>
      </c>
      <c r="F51" t="s">
        <v>534</v>
      </c>
      <c r="H51" t="s">
        <v>35</v>
      </c>
      <c r="I51" s="29"/>
      <c r="J51" s="30" t="s">
        <v>35</v>
      </c>
      <c r="K51" s="30" t="s">
        <v>499</v>
      </c>
      <c r="L51" s="30" t="s">
        <v>35</v>
      </c>
      <c r="M51" s="30" t="s">
        <v>35</v>
      </c>
      <c r="N51" s="30" t="s">
        <v>35</v>
      </c>
      <c r="O51" s="30" t="s">
        <v>541</v>
      </c>
      <c r="P51" s="30">
        <v>69</v>
      </c>
    </row>
    <row r="52" spans="1:16" x14ac:dyDescent="0.25">
      <c r="A52" t="s">
        <v>360</v>
      </c>
      <c r="B52" t="s">
        <v>171</v>
      </c>
      <c r="C52" s="30" t="s">
        <v>162</v>
      </c>
      <c r="D52" t="s">
        <v>144</v>
      </c>
      <c r="E52" t="s">
        <v>525</v>
      </c>
      <c r="F52" t="s">
        <v>534</v>
      </c>
      <c r="H52" t="s">
        <v>35</v>
      </c>
      <c r="I52" s="29"/>
      <c r="J52" s="30" t="s">
        <v>35</v>
      </c>
      <c r="K52" s="30" t="s">
        <v>499</v>
      </c>
      <c r="L52" s="30" t="s">
        <v>35</v>
      </c>
      <c r="M52" s="30" t="s">
        <v>35</v>
      </c>
      <c r="N52" s="30" t="s">
        <v>35</v>
      </c>
      <c r="O52" s="30" t="s">
        <v>541</v>
      </c>
      <c r="P52" s="30">
        <v>69</v>
      </c>
    </row>
    <row r="53" spans="1:16" x14ac:dyDescent="0.25">
      <c r="A53" t="s">
        <v>365</v>
      </c>
      <c r="B53" t="s">
        <v>171</v>
      </c>
      <c r="C53" s="30" t="s">
        <v>162</v>
      </c>
      <c r="D53" t="s">
        <v>151</v>
      </c>
      <c r="E53" t="s">
        <v>525</v>
      </c>
      <c r="F53" t="s">
        <v>534</v>
      </c>
      <c r="H53" t="s">
        <v>35</v>
      </c>
      <c r="I53" s="29"/>
      <c r="J53" s="30" t="s">
        <v>35</v>
      </c>
      <c r="K53" s="30" t="s">
        <v>532</v>
      </c>
      <c r="L53" s="30" t="s">
        <v>361</v>
      </c>
      <c r="M53" s="30" t="s">
        <v>364</v>
      </c>
      <c r="N53" s="31">
        <v>11195</v>
      </c>
      <c r="O53" s="30" t="s">
        <v>35</v>
      </c>
      <c r="P53" s="30">
        <v>0</v>
      </c>
    </row>
    <row r="54" spans="1:16" x14ac:dyDescent="0.25">
      <c r="A54" t="s">
        <v>371</v>
      </c>
      <c r="B54" t="s">
        <v>171</v>
      </c>
      <c r="C54" s="30" t="s">
        <v>162</v>
      </c>
      <c r="D54" t="s">
        <v>157</v>
      </c>
      <c r="E54" t="s">
        <v>525</v>
      </c>
      <c r="F54" t="s">
        <v>534</v>
      </c>
      <c r="H54" t="s">
        <v>35</v>
      </c>
      <c r="I54" s="29"/>
      <c r="J54" s="30" t="s">
        <v>35</v>
      </c>
      <c r="K54" s="30" t="s">
        <v>499</v>
      </c>
      <c r="L54" s="30" t="s">
        <v>35</v>
      </c>
      <c r="M54" s="30" t="s">
        <v>35</v>
      </c>
      <c r="N54" s="30" t="s">
        <v>35</v>
      </c>
      <c r="O54" s="30" t="s">
        <v>535</v>
      </c>
      <c r="P54" s="30">
        <v>38</v>
      </c>
    </row>
    <row r="55" spans="1:16" x14ac:dyDescent="0.25">
      <c r="A55" t="s">
        <v>375</v>
      </c>
      <c r="B55" t="s">
        <v>171</v>
      </c>
      <c r="C55" s="30" t="s">
        <v>162</v>
      </c>
      <c r="D55" t="s">
        <v>373</v>
      </c>
      <c r="E55" t="s">
        <v>525</v>
      </c>
      <c r="F55" t="s">
        <v>534</v>
      </c>
      <c r="H55" t="s">
        <v>35</v>
      </c>
      <c r="I55" s="29"/>
      <c r="J55" s="30" t="s">
        <v>35</v>
      </c>
      <c r="K55" s="30" t="s">
        <v>498</v>
      </c>
      <c r="L55" s="30" t="s">
        <v>198</v>
      </c>
      <c r="M55" s="30" t="s">
        <v>374</v>
      </c>
      <c r="N55" s="31">
        <v>13000</v>
      </c>
      <c r="O55" s="30" t="s">
        <v>35</v>
      </c>
      <c r="P55" s="30">
        <v>0</v>
      </c>
    </row>
    <row r="56" spans="1:16" x14ac:dyDescent="0.25">
      <c r="A56" t="s">
        <v>381</v>
      </c>
      <c r="B56" t="s">
        <v>171</v>
      </c>
      <c r="C56" s="30" t="s">
        <v>162</v>
      </c>
      <c r="D56" t="s">
        <v>378</v>
      </c>
      <c r="E56" t="s">
        <v>525</v>
      </c>
      <c r="F56" t="s">
        <v>534</v>
      </c>
      <c r="H56" t="s">
        <v>35</v>
      </c>
      <c r="I56" s="29"/>
      <c r="J56" s="30" t="s">
        <v>35</v>
      </c>
      <c r="K56" s="30" t="s">
        <v>498</v>
      </c>
      <c r="L56" s="30" t="s">
        <v>376</v>
      </c>
      <c r="M56" s="30" t="s">
        <v>380</v>
      </c>
      <c r="N56" s="31">
        <v>19000</v>
      </c>
      <c r="O56" s="30" t="s">
        <v>35</v>
      </c>
      <c r="P56" s="30">
        <v>0</v>
      </c>
    </row>
    <row r="57" spans="1:16" x14ac:dyDescent="0.25">
      <c r="A57" t="s">
        <v>389</v>
      </c>
      <c r="B57" t="s">
        <v>171</v>
      </c>
      <c r="C57" s="30" t="s">
        <v>162</v>
      </c>
      <c r="D57" t="s">
        <v>385</v>
      </c>
      <c r="E57" t="s">
        <v>525</v>
      </c>
      <c r="F57" t="s">
        <v>534</v>
      </c>
      <c r="H57" t="s">
        <v>35</v>
      </c>
      <c r="I57" s="29"/>
      <c r="J57" s="30" t="s">
        <v>35</v>
      </c>
      <c r="K57" s="30" t="s">
        <v>498</v>
      </c>
      <c r="L57" s="30" t="s">
        <v>383</v>
      </c>
      <c r="M57" s="30" t="s">
        <v>388</v>
      </c>
      <c r="N57" s="31">
        <v>18000</v>
      </c>
      <c r="O57" s="30" t="s">
        <v>35</v>
      </c>
      <c r="P57" s="30">
        <v>0</v>
      </c>
    </row>
    <row r="58" spans="1:16" x14ac:dyDescent="0.25">
      <c r="A58" t="s">
        <v>396</v>
      </c>
      <c r="B58" t="s">
        <v>171</v>
      </c>
      <c r="C58" s="30" t="s">
        <v>162</v>
      </c>
      <c r="D58" t="s">
        <v>393</v>
      </c>
      <c r="E58" t="s">
        <v>525</v>
      </c>
      <c r="F58" t="s">
        <v>530</v>
      </c>
      <c r="H58" t="s">
        <v>35</v>
      </c>
      <c r="I58" s="29"/>
      <c r="J58" s="30" t="s">
        <v>35</v>
      </c>
      <c r="K58" s="30" t="s">
        <v>499</v>
      </c>
      <c r="L58" s="30" t="s">
        <v>35</v>
      </c>
      <c r="M58" s="30" t="s">
        <v>35</v>
      </c>
      <c r="N58" s="30" t="s">
        <v>35</v>
      </c>
      <c r="O58" s="30" t="s">
        <v>535</v>
      </c>
      <c r="P58" s="30">
        <v>38</v>
      </c>
    </row>
    <row r="59" spans="1:16" x14ac:dyDescent="0.25">
      <c r="A59" t="s">
        <v>404</v>
      </c>
      <c r="B59" t="s">
        <v>171</v>
      </c>
      <c r="C59" s="30" t="s">
        <v>162</v>
      </c>
      <c r="D59" t="s">
        <v>400</v>
      </c>
      <c r="E59" t="s">
        <v>525</v>
      </c>
      <c r="F59" t="s">
        <v>530</v>
      </c>
      <c r="H59" t="s">
        <v>35</v>
      </c>
      <c r="I59" s="29"/>
      <c r="J59" s="30" t="s">
        <v>35</v>
      </c>
      <c r="K59" s="30" t="s">
        <v>499</v>
      </c>
      <c r="L59" s="30" t="s">
        <v>35</v>
      </c>
      <c r="M59" s="30" t="s">
        <v>35</v>
      </c>
      <c r="N59" s="30" t="s">
        <v>35</v>
      </c>
      <c r="O59" s="30" t="s">
        <v>536</v>
      </c>
      <c r="P59" s="30">
        <v>8</v>
      </c>
    </row>
    <row r="60" spans="1:16" x14ac:dyDescent="0.25">
      <c r="A60" t="s">
        <v>410</v>
      </c>
      <c r="B60" t="s">
        <v>171</v>
      </c>
      <c r="C60" s="30" t="s">
        <v>162</v>
      </c>
      <c r="D60" t="s">
        <v>407</v>
      </c>
      <c r="E60" t="s">
        <v>525</v>
      </c>
      <c r="F60" t="s">
        <v>530</v>
      </c>
      <c r="H60" t="s">
        <v>35</v>
      </c>
      <c r="I60" s="29"/>
      <c r="J60" s="30" t="s">
        <v>35</v>
      </c>
      <c r="K60" s="30" t="s">
        <v>532</v>
      </c>
      <c r="L60" s="30" t="s">
        <v>406</v>
      </c>
      <c r="M60" s="30" t="s">
        <v>409</v>
      </c>
      <c r="N60" s="31">
        <v>11495</v>
      </c>
      <c r="O60" s="30" t="s">
        <v>35</v>
      </c>
      <c r="P60" s="30">
        <v>0</v>
      </c>
    </row>
    <row r="61" spans="1:16" x14ac:dyDescent="0.25">
      <c r="A61" t="s">
        <v>416</v>
      </c>
      <c r="B61" t="s">
        <v>171</v>
      </c>
      <c r="C61" s="30" t="s">
        <v>162</v>
      </c>
      <c r="D61" t="s">
        <v>413</v>
      </c>
      <c r="E61" t="s">
        <v>525</v>
      </c>
      <c r="F61" t="s">
        <v>530</v>
      </c>
      <c r="H61" t="s">
        <v>35</v>
      </c>
      <c r="I61" s="29"/>
      <c r="J61" s="30" t="s">
        <v>35</v>
      </c>
      <c r="K61" s="30" t="s">
        <v>532</v>
      </c>
      <c r="L61" s="30" t="s">
        <v>412</v>
      </c>
      <c r="M61" s="30" t="s">
        <v>415</v>
      </c>
      <c r="N61" s="31">
        <v>11000</v>
      </c>
      <c r="O61" s="30" t="s">
        <v>35</v>
      </c>
      <c r="P61" s="30">
        <v>0</v>
      </c>
    </row>
    <row r="62" spans="1:16" x14ac:dyDescent="0.25">
      <c r="A62" t="s">
        <v>424</v>
      </c>
      <c r="B62" t="s">
        <v>171</v>
      </c>
      <c r="C62" s="30" t="s">
        <v>162</v>
      </c>
      <c r="D62" t="s">
        <v>419</v>
      </c>
      <c r="E62" t="s">
        <v>525</v>
      </c>
      <c r="F62" t="s">
        <v>530</v>
      </c>
      <c r="H62" t="s">
        <v>35</v>
      </c>
      <c r="I62" s="29"/>
      <c r="J62" s="30" t="s">
        <v>35</v>
      </c>
      <c r="K62" s="30" t="s">
        <v>498</v>
      </c>
      <c r="L62" s="30" t="s">
        <v>418</v>
      </c>
      <c r="M62" s="30" t="s">
        <v>423</v>
      </c>
      <c r="N62" s="31">
        <v>8775</v>
      </c>
      <c r="O62" s="30" t="s">
        <v>35</v>
      </c>
      <c r="P62" s="30">
        <v>0</v>
      </c>
    </row>
    <row r="63" spans="1:16" x14ac:dyDescent="0.25">
      <c r="A63" t="s">
        <v>431</v>
      </c>
      <c r="B63" t="s">
        <v>171</v>
      </c>
      <c r="C63" s="30" t="s">
        <v>162</v>
      </c>
      <c r="D63" t="s">
        <v>428</v>
      </c>
      <c r="E63" t="s">
        <v>525</v>
      </c>
      <c r="F63" t="s">
        <v>530</v>
      </c>
      <c r="H63" t="s">
        <v>35</v>
      </c>
      <c r="I63" s="29"/>
      <c r="J63" s="30" t="s">
        <v>35</v>
      </c>
      <c r="K63" s="30" t="s">
        <v>498</v>
      </c>
      <c r="L63" s="30" t="s">
        <v>426</v>
      </c>
      <c r="M63" s="30" t="s">
        <v>430</v>
      </c>
      <c r="N63" s="31">
        <v>19000</v>
      </c>
      <c r="O63" s="30" t="s">
        <v>35</v>
      </c>
      <c r="P63" s="30">
        <v>0</v>
      </c>
    </row>
    <row r="64" spans="1:16" x14ac:dyDescent="0.25">
      <c r="A64" t="s">
        <v>439</v>
      </c>
      <c r="B64" t="s">
        <v>171</v>
      </c>
      <c r="C64" s="30" t="s">
        <v>162</v>
      </c>
      <c r="D64" t="s">
        <v>435</v>
      </c>
      <c r="E64" t="s">
        <v>525</v>
      </c>
      <c r="F64" t="s">
        <v>530</v>
      </c>
      <c r="H64" t="s">
        <v>35</v>
      </c>
      <c r="I64" s="29"/>
      <c r="J64" s="30" t="s">
        <v>35</v>
      </c>
      <c r="K64" s="30" t="s">
        <v>498</v>
      </c>
      <c r="L64" s="30" t="s">
        <v>433</v>
      </c>
      <c r="M64" s="30" t="s">
        <v>438</v>
      </c>
      <c r="N64" s="31">
        <v>10500</v>
      </c>
      <c r="O64" s="30" t="s">
        <v>35</v>
      </c>
      <c r="P64" s="30">
        <v>0</v>
      </c>
    </row>
    <row r="65" spans="1:16" x14ac:dyDescent="0.25">
      <c r="A65" t="s">
        <v>446</v>
      </c>
      <c r="B65" t="s">
        <v>171</v>
      </c>
      <c r="C65" s="30" t="s">
        <v>162</v>
      </c>
      <c r="D65" t="s">
        <v>443</v>
      </c>
      <c r="E65" t="s">
        <v>525</v>
      </c>
      <c r="F65" t="s">
        <v>530</v>
      </c>
      <c r="H65" t="s">
        <v>35</v>
      </c>
      <c r="I65" s="29"/>
      <c r="J65" s="30" t="s">
        <v>35</v>
      </c>
      <c r="K65" s="30" t="s">
        <v>499</v>
      </c>
      <c r="L65" s="30" t="s">
        <v>35</v>
      </c>
      <c r="M65" s="30" t="s">
        <v>35</v>
      </c>
      <c r="N65" s="30" t="s">
        <v>35</v>
      </c>
      <c r="O65" s="30" t="s">
        <v>542</v>
      </c>
      <c r="P65" s="30">
        <v>100</v>
      </c>
    </row>
    <row r="66" spans="1:16" x14ac:dyDescent="0.25">
      <c r="A66" t="s">
        <v>454</v>
      </c>
      <c r="B66" t="s">
        <v>171</v>
      </c>
      <c r="C66" s="30" t="s">
        <v>162</v>
      </c>
      <c r="D66" t="s">
        <v>450</v>
      </c>
      <c r="E66" t="s">
        <v>525</v>
      </c>
      <c r="F66" t="s">
        <v>543</v>
      </c>
      <c r="H66" t="s">
        <v>35</v>
      </c>
      <c r="I66" s="29"/>
      <c r="J66" s="30" t="s">
        <v>35</v>
      </c>
      <c r="K66" s="30" t="s">
        <v>499</v>
      </c>
      <c r="L66" s="30" t="s">
        <v>35</v>
      </c>
      <c r="M66" s="30" t="s">
        <v>35</v>
      </c>
      <c r="N66" s="30" t="s">
        <v>35</v>
      </c>
      <c r="O66" s="30" t="s">
        <v>540</v>
      </c>
      <c r="P66" s="30">
        <v>23</v>
      </c>
    </row>
    <row r="67" spans="1:16" x14ac:dyDescent="0.25">
      <c r="A67" t="s">
        <v>461</v>
      </c>
      <c r="B67" t="s">
        <v>171</v>
      </c>
      <c r="C67" s="30" t="s">
        <v>162</v>
      </c>
      <c r="D67" t="s">
        <v>458</v>
      </c>
      <c r="E67" t="s">
        <v>525</v>
      </c>
      <c r="F67" t="s">
        <v>543</v>
      </c>
      <c r="H67" t="s">
        <v>35</v>
      </c>
      <c r="I67" s="29"/>
      <c r="J67" s="30" t="s">
        <v>35</v>
      </c>
      <c r="K67" s="30" t="s">
        <v>498</v>
      </c>
      <c r="L67" s="30" t="s">
        <v>456</v>
      </c>
      <c r="M67" s="30" t="s">
        <v>460</v>
      </c>
      <c r="N67" s="31">
        <v>20000</v>
      </c>
      <c r="O67" s="30" t="s">
        <v>35</v>
      </c>
      <c r="P67" s="30">
        <v>0</v>
      </c>
    </row>
    <row r="68" spans="1:16" x14ac:dyDescent="0.25">
      <c r="A68" t="s">
        <v>468</v>
      </c>
      <c r="B68" t="s">
        <v>171</v>
      </c>
      <c r="C68" s="30" t="s">
        <v>162</v>
      </c>
      <c r="D68" t="s">
        <v>465</v>
      </c>
      <c r="E68" t="s">
        <v>525</v>
      </c>
      <c r="F68" t="s">
        <v>543</v>
      </c>
      <c r="H68" t="s">
        <v>35</v>
      </c>
      <c r="I68" s="29"/>
      <c r="J68" s="30" t="s">
        <v>35</v>
      </c>
      <c r="K68" s="30" t="s">
        <v>532</v>
      </c>
      <c r="L68" s="30" t="s">
        <v>463</v>
      </c>
      <c r="M68" s="30" t="s">
        <v>467</v>
      </c>
      <c r="N68" s="31">
        <v>11000</v>
      </c>
      <c r="O68" s="30" t="s">
        <v>35</v>
      </c>
      <c r="P68" s="30">
        <v>0</v>
      </c>
    </row>
    <row r="69" spans="1:16" x14ac:dyDescent="0.25">
      <c r="A69" t="s">
        <v>474</v>
      </c>
      <c r="B69" t="s">
        <v>171</v>
      </c>
      <c r="C69" s="30" t="s">
        <v>162</v>
      </c>
      <c r="D69" t="s">
        <v>471</v>
      </c>
      <c r="E69" t="s">
        <v>525</v>
      </c>
      <c r="F69" t="s">
        <v>543</v>
      </c>
      <c r="H69" t="s">
        <v>35</v>
      </c>
      <c r="I69" s="29"/>
      <c r="J69" s="30" t="s">
        <v>35</v>
      </c>
      <c r="K69" s="30" t="s">
        <v>499</v>
      </c>
      <c r="L69" s="30" t="s">
        <v>35</v>
      </c>
      <c r="M69" s="30" t="s">
        <v>35</v>
      </c>
      <c r="N69" s="30" t="s">
        <v>35</v>
      </c>
      <c r="O69" s="30" t="s">
        <v>544</v>
      </c>
      <c r="P69" s="30">
        <v>1</v>
      </c>
    </row>
    <row r="70" spans="1:16" x14ac:dyDescent="0.25">
      <c r="A70" t="s">
        <v>482</v>
      </c>
      <c r="B70" t="s">
        <v>171</v>
      </c>
      <c r="C70" s="30" t="s">
        <v>162</v>
      </c>
      <c r="D70" t="s">
        <v>478</v>
      </c>
      <c r="E70" t="s">
        <v>525</v>
      </c>
      <c r="F70" t="s">
        <v>543</v>
      </c>
      <c r="H70" t="s">
        <v>35</v>
      </c>
      <c r="I70" s="29"/>
      <c r="J70" s="30" t="s">
        <v>35</v>
      </c>
      <c r="K70" s="30" t="s">
        <v>499</v>
      </c>
      <c r="L70" s="30" t="s">
        <v>35</v>
      </c>
      <c r="M70" s="30" t="s">
        <v>35</v>
      </c>
      <c r="N70" s="30" t="s">
        <v>35</v>
      </c>
      <c r="O70" s="30" t="s">
        <v>541</v>
      </c>
      <c r="P70" s="30">
        <v>69</v>
      </c>
    </row>
    <row r="71" spans="1:16" x14ac:dyDescent="0.25">
      <c r="A71" t="s">
        <v>489</v>
      </c>
      <c r="B71" t="s">
        <v>171</v>
      </c>
      <c r="C71" s="30" t="s">
        <v>162</v>
      </c>
      <c r="D71" t="s">
        <v>486</v>
      </c>
      <c r="E71" t="s">
        <v>525</v>
      </c>
      <c r="F71" t="s">
        <v>543</v>
      </c>
      <c r="H71" t="s">
        <v>35</v>
      </c>
      <c r="I71" s="29"/>
      <c r="J71" s="30" t="s">
        <v>35</v>
      </c>
      <c r="K71" s="30" t="s">
        <v>499</v>
      </c>
      <c r="L71" s="30" t="s">
        <v>35</v>
      </c>
      <c r="M71" s="30" t="s">
        <v>35</v>
      </c>
      <c r="N71" s="30" t="s">
        <v>35</v>
      </c>
      <c r="O71" s="30" t="s">
        <v>535</v>
      </c>
      <c r="P71" s="30">
        <v>38</v>
      </c>
    </row>
    <row r="72" spans="1:16" x14ac:dyDescent="0.25">
      <c r="A72" t="s">
        <v>493</v>
      </c>
      <c r="B72" t="s">
        <v>171</v>
      </c>
      <c r="C72" s="30" t="s">
        <v>162</v>
      </c>
      <c r="D72" t="s">
        <v>491</v>
      </c>
      <c r="E72" t="s">
        <v>525</v>
      </c>
      <c r="F72" t="s">
        <v>543</v>
      </c>
      <c r="H72" t="s">
        <v>35</v>
      </c>
      <c r="I72" s="29"/>
      <c r="J72" s="30" t="s">
        <v>35</v>
      </c>
      <c r="K72" s="30" t="s">
        <v>499</v>
      </c>
      <c r="L72" s="30" t="s">
        <v>35</v>
      </c>
      <c r="M72" s="30" t="s">
        <v>35</v>
      </c>
      <c r="N72" s="30" t="s">
        <v>35</v>
      </c>
      <c r="O72" s="30" t="s">
        <v>536</v>
      </c>
      <c r="P72" s="30">
        <v>8</v>
      </c>
    </row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</sheetData>
  <autoFilter ref="A1:P72"/>
  <dataValidations count="2">
    <dataValidation type="list" allowBlank="1" showErrorMessage="1" errorTitle="قيمة غير مسموحة" error="اختر من القائمة: تجارية / سكنية / إدارية / جراج" sqref="E10:E200">
      <formula1>"تجارية,سكنية,إدارية,جراج"</formula1>
    </dataValidation>
    <dataValidation type="list" allowBlank="1" showErrorMessage="1" errorTitle="قيمة غير مسموحة" error="اختر من القائمة: تجارية / سكنية / إدارية / جراج" sqref="E2:E200">
      <formula1>"تجارية,سكنية,إدارية,جراج"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0"/>
  <sheetViews>
    <sheetView workbookViewId="0" rightToLeft="1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0" customWidth="1"/>
    <col min="4" max="4" width="40" customWidth="1"/>
  </cols>
  <sheetData>
    <row r="1" ht="28" customHeight="1" spans="1:4" x14ac:dyDescent="0.25">
      <c r="A1" s="3" t="s">
        <v>27</v>
      </c>
      <c r="B1" s="3" t="s">
        <v>545</v>
      </c>
      <c r="C1" s="3" t="s">
        <v>546</v>
      </c>
      <c r="D1" s="3" t="s">
        <v>547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</sheetData>
  <autoFilter ref="A1:D2"/>
  <dataValidations count="2">
    <dataValidation type="list" allowBlank="1" showErrorMessage="1" errorTitle="قيمة غير مسموحة" error="اختر من القائمة: نعم / لا" sqref="C10:C400">
      <formula1>"نعم,لا"</formula1>
    </dataValidation>
    <dataValidation type="list" allowBlank="1" showErrorMessage="1" errorTitle="قيمة غير مسموحة" error="اختر من القائمة: نعم / لا" sqref="C2:C400">
      <formula1>"نعم,لا"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workbookViewId="0" rightToLeft="1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8" customWidth="1"/>
    <col min="4" max="4" width="28" customWidth="1"/>
    <col min="5" max="5" width="18" customWidth="1"/>
    <col min="6" max="8" width="14" customWidth="1"/>
    <col min="9" max="9" width="20" customWidth="1"/>
    <col min="10" max="10" width="26" customWidth="1"/>
    <col min="11" max="11" width="30" customWidth="1"/>
    <col min="12" max="12" width="12" customWidth="1"/>
    <col min="13" max="14" width="10" customWidth="1"/>
    <col min="15" max="15" width="14" customWidth="1"/>
    <col min="16" max="16" width="16" customWidth="1"/>
  </cols>
  <sheetData>
    <row r="1" ht="28" customHeight="1" spans="1:16" x14ac:dyDescent="0.25">
      <c r="A1" s="3" t="s">
        <v>28</v>
      </c>
      <c r="B1" s="3" t="s">
        <v>4</v>
      </c>
      <c r="C1" s="3" t="s">
        <v>511</v>
      </c>
      <c r="D1" s="3" t="s">
        <v>5</v>
      </c>
      <c r="E1" s="3" t="s">
        <v>11</v>
      </c>
      <c r="F1" s="3" t="s">
        <v>10</v>
      </c>
      <c r="G1" s="3" t="s">
        <v>548</v>
      </c>
      <c r="H1" s="3" t="s">
        <v>549</v>
      </c>
      <c r="I1" s="3" t="s">
        <v>550</v>
      </c>
      <c r="J1" s="3" t="s">
        <v>7</v>
      </c>
      <c r="K1" s="3" t="s">
        <v>25</v>
      </c>
      <c r="L1" s="3" t="s">
        <v>504</v>
      </c>
      <c r="M1" s="3" t="s">
        <v>551</v>
      </c>
      <c r="N1" s="3" t="s">
        <v>552</v>
      </c>
      <c r="O1" s="3" t="s">
        <v>508</v>
      </c>
      <c r="P1" s="3" t="s">
        <v>553</v>
      </c>
    </row>
    <row r="2" spans="1:16" x14ac:dyDescent="0.25">
      <c r="A2" t="s">
        <v>39</v>
      </c>
      <c r="B2" t="s">
        <v>31</v>
      </c>
      <c r="C2" t="s">
        <v>554</v>
      </c>
      <c r="D2" t="s">
        <v>32</v>
      </c>
      <c r="E2" s="32" t="s">
        <v>36</v>
      </c>
      <c r="F2" s="32" t="s">
        <v>35</v>
      </c>
      <c r="G2" s="32" t="s">
        <v>35</v>
      </c>
      <c r="H2" s="32" t="s">
        <v>35</v>
      </c>
      <c r="I2" t="s">
        <v>35</v>
      </c>
      <c r="J2" t="s">
        <v>35</v>
      </c>
      <c r="K2" t="s">
        <v>35</v>
      </c>
      <c r="L2" s="29"/>
      <c r="M2" s="30">
        <v>1</v>
      </c>
      <c r="N2" s="30">
        <v>0</v>
      </c>
      <c r="O2" s="31">
        <v>0</v>
      </c>
      <c r="P2" s="31">
        <v>63525</v>
      </c>
    </row>
    <row r="3" spans="1:16" x14ac:dyDescent="0.25">
      <c r="A3" t="s">
        <v>46</v>
      </c>
      <c r="B3" t="s">
        <v>41</v>
      </c>
      <c r="C3" t="s">
        <v>555</v>
      </c>
      <c r="D3" t="s">
        <v>42</v>
      </c>
      <c r="E3" s="32" t="s">
        <v>43</v>
      </c>
      <c r="F3" s="32" t="s">
        <v>35</v>
      </c>
      <c r="G3" s="32" t="s">
        <v>35</v>
      </c>
      <c r="H3" s="32" t="s">
        <v>35</v>
      </c>
      <c r="I3" t="s">
        <v>35</v>
      </c>
      <c r="J3" t="s">
        <v>35</v>
      </c>
      <c r="K3" t="s">
        <v>35</v>
      </c>
      <c r="L3" s="29"/>
      <c r="M3" s="30">
        <v>1</v>
      </c>
      <c r="N3" s="30">
        <v>0</v>
      </c>
      <c r="O3" s="31">
        <v>0</v>
      </c>
      <c r="P3" s="31">
        <v>122000</v>
      </c>
    </row>
    <row r="4" spans="1:16" x14ac:dyDescent="0.25">
      <c r="A4" t="s">
        <v>54</v>
      </c>
      <c r="B4" t="s">
        <v>47</v>
      </c>
      <c r="C4" t="s">
        <v>555</v>
      </c>
      <c r="D4" t="s">
        <v>48</v>
      </c>
      <c r="E4" s="32" t="s">
        <v>51</v>
      </c>
      <c r="F4" s="32" t="s">
        <v>50</v>
      </c>
      <c r="G4" s="32" t="s">
        <v>35</v>
      </c>
      <c r="H4" s="32" t="s">
        <v>35</v>
      </c>
      <c r="I4" t="s">
        <v>35</v>
      </c>
      <c r="J4" t="s">
        <v>35</v>
      </c>
      <c r="K4" t="s">
        <v>35</v>
      </c>
      <c r="L4" s="29"/>
      <c r="M4" s="30">
        <v>2</v>
      </c>
      <c r="N4" s="30">
        <v>2</v>
      </c>
      <c r="O4" s="31">
        <v>283383</v>
      </c>
      <c r="P4" s="31">
        <v>1094793</v>
      </c>
    </row>
    <row r="5" spans="1:16" x14ac:dyDescent="0.25">
      <c r="A5" t="s">
        <v>61</v>
      </c>
      <c r="B5" t="s">
        <v>55</v>
      </c>
      <c r="C5" t="s">
        <v>555</v>
      </c>
      <c r="D5" t="s">
        <v>56</v>
      </c>
      <c r="E5" s="32" t="s">
        <v>58</v>
      </c>
      <c r="F5" s="32" t="s">
        <v>35</v>
      </c>
      <c r="G5" s="32" t="s">
        <v>35</v>
      </c>
      <c r="H5" s="32" t="s">
        <v>35</v>
      </c>
      <c r="I5" t="s">
        <v>35</v>
      </c>
      <c r="J5" t="s">
        <v>35</v>
      </c>
      <c r="K5" t="s">
        <v>35</v>
      </c>
      <c r="L5" s="29"/>
      <c r="M5" s="30">
        <v>1</v>
      </c>
      <c r="N5" s="30">
        <v>0</v>
      </c>
      <c r="O5" s="31">
        <v>0</v>
      </c>
      <c r="P5" s="31">
        <v>209000</v>
      </c>
    </row>
    <row r="6" spans="1:16" x14ac:dyDescent="0.25">
      <c r="A6" t="s">
        <v>72</v>
      </c>
      <c r="B6" t="s">
        <v>65</v>
      </c>
      <c r="C6" t="s">
        <v>555</v>
      </c>
      <c r="D6" t="s">
        <v>66</v>
      </c>
      <c r="E6" s="32" t="s">
        <v>69</v>
      </c>
      <c r="F6" s="32" t="s">
        <v>68</v>
      </c>
      <c r="G6" s="32" t="s">
        <v>35</v>
      </c>
      <c r="H6" s="32" t="s">
        <v>35</v>
      </c>
      <c r="I6" t="s">
        <v>35</v>
      </c>
      <c r="J6" t="s">
        <v>35</v>
      </c>
      <c r="K6" t="s">
        <v>35</v>
      </c>
      <c r="L6" s="29"/>
      <c r="M6" s="30">
        <v>1</v>
      </c>
      <c r="N6" s="30">
        <v>0</v>
      </c>
      <c r="O6" s="31">
        <v>0</v>
      </c>
      <c r="P6" s="31">
        <v>255840</v>
      </c>
    </row>
    <row r="7" spans="1:16" x14ac:dyDescent="0.25">
      <c r="A7" t="s">
        <v>78</v>
      </c>
      <c r="B7" t="s">
        <v>73</v>
      </c>
      <c r="C7" t="s">
        <v>554</v>
      </c>
      <c r="D7" t="s">
        <v>35</v>
      </c>
      <c r="E7" s="32" t="s">
        <v>75</v>
      </c>
      <c r="F7" s="32" t="s">
        <v>35</v>
      </c>
      <c r="G7" s="32" t="s">
        <v>35</v>
      </c>
      <c r="H7" s="32" t="s">
        <v>35</v>
      </c>
      <c r="I7" t="s">
        <v>35</v>
      </c>
      <c r="J7" t="s">
        <v>35</v>
      </c>
      <c r="K7" t="s">
        <v>35</v>
      </c>
      <c r="L7" s="29"/>
      <c r="M7" s="30">
        <v>1</v>
      </c>
      <c r="N7" s="30">
        <v>0</v>
      </c>
      <c r="O7" s="31">
        <v>0</v>
      </c>
      <c r="P7" s="31">
        <v>72990</v>
      </c>
    </row>
    <row r="8" spans="1:16" x14ac:dyDescent="0.25">
      <c r="A8" t="s">
        <v>88</v>
      </c>
      <c r="B8" t="s">
        <v>80</v>
      </c>
      <c r="C8" t="s">
        <v>555</v>
      </c>
      <c r="D8" t="s">
        <v>81</v>
      </c>
      <c r="E8" s="32" t="s">
        <v>85</v>
      </c>
      <c r="F8" s="32" t="s">
        <v>84</v>
      </c>
      <c r="G8" s="32" t="s">
        <v>35</v>
      </c>
      <c r="H8" s="32" t="s">
        <v>35</v>
      </c>
      <c r="I8" t="s">
        <v>35</v>
      </c>
      <c r="J8" t="s">
        <v>35</v>
      </c>
      <c r="K8" t="s">
        <v>35</v>
      </c>
      <c r="L8" s="29"/>
      <c r="M8" s="30">
        <v>1</v>
      </c>
      <c r="N8" s="30">
        <v>1</v>
      </c>
      <c r="O8" s="31">
        <v>93170</v>
      </c>
      <c r="P8" s="31">
        <v>343035</v>
      </c>
    </row>
    <row r="9" spans="1:16" x14ac:dyDescent="0.25">
      <c r="A9" t="s">
        <v>97</v>
      </c>
      <c r="B9" t="s">
        <v>90</v>
      </c>
      <c r="C9" t="s">
        <v>555</v>
      </c>
      <c r="D9" t="s">
        <v>91</v>
      </c>
      <c r="E9" s="32" t="s">
        <v>94</v>
      </c>
      <c r="F9" s="32" t="s">
        <v>93</v>
      </c>
      <c r="G9" s="32" t="s">
        <v>35</v>
      </c>
      <c r="H9" s="32" t="s">
        <v>35</v>
      </c>
      <c r="I9" t="s">
        <v>35</v>
      </c>
      <c r="J9" t="s">
        <v>35</v>
      </c>
      <c r="K9" t="s">
        <v>35</v>
      </c>
      <c r="L9" s="29"/>
      <c r="M9" s="30">
        <v>1</v>
      </c>
      <c r="N9" s="30">
        <v>1</v>
      </c>
      <c r="O9" s="31">
        <v>50820</v>
      </c>
      <c r="P9" s="31">
        <v>203280</v>
      </c>
    </row>
    <row r="10" spans="1:16" x14ac:dyDescent="0.25">
      <c r="A10" t="s">
        <v>105</v>
      </c>
      <c r="B10" t="s">
        <v>98</v>
      </c>
      <c r="C10" t="s">
        <v>555</v>
      </c>
      <c r="D10" t="s">
        <v>99</v>
      </c>
      <c r="E10" s="32" t="s">
        <v>102</v>
      </c>
      <c r="F10" s="32" t="s">
        <v>101</v>
      </c>
      <c r="G10" s="32" t="s">
        <v>35</v>
      </c>
      <c r="H10" s="32" t="s">
        <v>35</v>
      </c>
      <c r="I10" t="s">
        <v>35</v>
      </c>
      <c r="J10" t="s">
        <v>35</v>
      </c>
      <c r="K10" t="s">
        <v>35</v>
      </c>
      <c r="L10" s="29"/>
      <c r="M10" s="30">
        <v>1</v>
      </c>
      <c r="N10" s="30">
        <v>1</v>
      </c>
      <c r="O10" s="31">
        <v>93170</v>
      </c>
      <c r="P10" s="31">
        <v>372680</v>
      </c>
    </row>
    <row r="11" spans="1:16" x14ac:dyDescent="0.25">
      <c r="A11" t="s">
        <v>111</v>
      </c>
      <c r="B11" t="s">
        <v>106</v>
      </c>
      <c r="C11" t="s">
        <v>554</v>
      </c>
      <c r="D11" t="s">
        <v>35</v>
      </c>
      <c r="E11" s="32" t="s">
        <v>108</v>
      </c>
      <c r="F11" s="32" t="s">
        <v>35</v>
      </c>
      <c r="G11" s="32" t="s">
        <v>35</v>
      </c>
      <c r="H11" s="32" t="s">
        <v>35</v>
      </c>
      <c r="I11" t="s">
        <v>35</v>
      </c>
      <c r="J11" t="s">
        <v>35</v>
      </c>
      <c r="K11" t="s">
        <v>35</v>
      </c>
      <c r="L11" s="29"/>
      <c r="M11" s="30">
        <v>1</v>
      </c>
      <c r="N11" s="30">
        <v>1</v>
      </c>
      <c r="O11" s="31">
        <v>74000</v>
      </c>
      <c r="P11" s="31">
        <v>239960</v>
      </c>
    </row>
    <row r="12" spans="1:16" x14ac:dyDescent="0.25">
      <c r="A12" t="s">
        <v>117</v>
      </c>
      <c r="B12" t="s">
        <v>112</v>
      </c>
      <c r="C12" t="s">
        <v>554</v>
      </c>
      <c r="D12" t="s">
        <v>35</v>
      </c>
      <c r="E12" s="32" t="s">
        <v>114</v>
      </c>
      <c r="F12" s="32" t="s">
        <v>35</v>
      </c>
      <c r="G12" s="32" t="s">
        <v>35</v>
      </c>
      <c r="H12" s="32" t="s">
        <v>35</v>
      </c>
      <c r="I12" t="s">
        <v>35</v>
      </c>
      <c r="J12" t="s">
        <v>35</v>
      </c>
      <c r="K12" t="s">
        <v>35</v>
      </c>
      <c r="L12" s="29"/>
      <c r="M12" s="30">
        <v>1</v>
      </c>
      <c r="N12" s="30">
        <v>1</v>
      </c>
      <c r="O12" s="31">
        <v>78000</v>
      </c>
      <c r="P12" s="31">
        <v>293000</v>
      </c>
    </row>
    <row r="13" spans="1:16" x14ac:dyDescent="0.25">
      <c r="A13" t="s">
        <v>125</v>
      </c>
      <c r="B13" t="s">
        <v>118</v>
      </c>
      <c r="C13" t="s">
        <v>555</v>
      </c>
      <c r="D13" t="s">
        <v>119</v>
      </c>
      <c r="E13" s="32" t="s">
        <v>122</v>
      </c>
      <c r="F13" s="32" t="s">
        <v>121</v>
      </c>
      <c r="G13" s="32" t="s">
        <v>35</v>
      </c>
      <c r="H13" s="32" t="s">
        <v>35</v>
      </c>
      <c r="I13" t="s">
        <v>35</v>
      </c>
      <c r="J13" t="s">
        <v>35</v>
      </c>
      <c r="K13" t="s">
        <v>35</v>
      </c>
      <c r="L13" s="29"/>
      <c r="M13" s="30">
        <v>2</v>
      </c>
      <c r="N13" s="30">
        <v>2</v>
      </c>
      <c r="O13" s="31">
        <v>154560</v>
      </c>
      <c r="P13" s="31">
        <v>557910</v>
      </c>
    </row>
    <row r="14" spans="1:16" x14ac:dyDescent="0.25">
      <c r="A14" t="s">
        <v>135</v>
      </c>
      <c r="B14" t="s">
        <v>129</v>
      </c>
      <c r="C14" t="s">
        <v>554</v>
      </c>
      <c r="D14" t="s">
        <v>130</v>
      </c>
      <c r="E14" s="32" t="s">
        <v>132</v>
      </c>
      <c r="F14" s="32" t="s">
        <v>35</v>
      </c>
      <c r="G14" s="32" t="s">
        <v>35</v>
      </c>
      <c r="H14" s="32" t="s">
        <v>35</v>
      </c>
      <c r="I14" t="s">
        <v>35</v>
      </c>
      <c r="J14" t="s">
        <v>35</v>
      </c>
      <c r="K14" t="s">
        <v>35</v>
      </c>
      <c r="L14" s="29"/>
      <c r="M14" s="30">
        <v>1</v>
      </c>
      <c r="N14" s="30">
        <v>1</v>
      </c>
      <c r="O14" s="31">
        <v>76970</v>
      </c>
      <c r="P14" s="31">
        <v>299680</v>
      </c>
    </row>
    <row r="15" spans="1:16" x14ac:dyDescent="0.25">
      <c r="A15" t="s">
        <v>142</v>
      </c>
      <c r="B15" t="s">
        <v>136</v>
      </c>
      <c r="C15" t="s">
        <v>554</v>
      </c>
      <c r="D15" t="s">
        <v>137</v>
      </c>
      <c r="E15" s="32" t="s">
        <v>139</v>
      </c>
      <c r="F15" s="32" t="s">
        <v>35</v>
      </c>
      <c r="G15" s="32" t="s">
        <v>35</v>
      </c>
      <c r="H15" s="32" t="s">
        <v>35</v>
      </c>
      <c r="I15" t="s">
        <v>35</v>
      </c>
      <c r="J15" t="s">
        <v>35</v>
      </c>
      <c r="K15" t="s">
        <v>35</v>
      </c>
      <c r="L15" s="29"/>
      <c r="M15" s="30">
        <v>1</v>
      </c>
      <c r="N15" s="30">
        <v>1</v>
      </c>
      <c r="O15" s="31">
        <v>60500</v>
      </c>
      <c r="P15" s="31">
        <v>242000</v>
      </c>
    </row>
    <row r="16" spans="1:16" x14ac:dyDescent="0.25">
      <c r="A16" t="s">
        <v>148</v>
      </c>
      <c r="B16" t="s">
        <v>143</v>
      </c>
      <c r="C16" t="s">
        <v>554</v>
      </c>
      <c r="D16" t="s">
        <v>35</v>
      </c>
      <c r="E16" s="32" t="s">
        <v>145</v>
      </c>
      <c r="F16" s="32" t="s">
        <v>35</v>
      </c>
      <c r="G16" s="32" t="s">
        <v>35</v>
      </c>
      <c r="H16" s="32" t="s">
        <v>35</v>
      </c>
      <c r="I16" t="s">
        <v>35</v>
      </c>
      <c r="J16" t="s">
        <v>35</v>
      </c>
      <c r="K16" t="s">
        <v>35</v>
      </c>
      <c r="L16" s="29"/>
      <c r="M16" s="30">
        <v>1</v>
      </c>
      <c r="N16" s="30">
        <v>0</v>
      </c>
      <c r="O16" s="31">
        <v>0</v>
      </c>
      <c r="P16" s="31">
        <v>152480</v>
      </c>
    </row>
    <row r="17" spans="1:16" x14ac:dyDescent="0.25">
      <c r="A17" t="s">
        <v>155</v>
      </c>
      <c r="B17" t="s">
        <v>149</v>
      </c>
      <c r="C17" t="s">
        <v>554</v>
      </c>
      <c r="D17" t="s">
        <v>150</v>
      </c>
      <c r="E17" s="32" t="s">
        <v>152</v>
      </c>
      <c r="F17" s="32" t="s">
        <v>35</v>
      </c>
      <c r="G17" s="32" t="s">
        <v>35</v>
      </c>
      <c r="H17" s="32" t="s">
        <v>35</v>
      </c>
      <c r="I17" t="s">
        <v>35</v>
      </c>
      <c r="J17" t="s">
        <v>35</v>
      </c>
      <c r="K17" t="s">
        <v>35</v>
      </c>
      <c r="L17" s="29"/>
      <c r="M17" s="30">
        <v>1</v>
      </c>
      <c r="N17" s="30">
        <v>0</v>
      </c>
      <c r="O17" s="31">
        <v>20570</v>
      </c>
      <c r="P17" s="31">
        <v>164560</v>
      </c>
    </row>
    <row r="18" spans="1:16" x14ac:dyDescent="0.25">
      <c r="A18" t="s">
        <v>161</v>
      </c>
      <c r="B18" t="s">
        <v>156</v>
      </c>
      <c r="C18" t="s">
        <v>554</v>
      </c>
      <c r="D18" t="s">
        <v>35</v>
      </c>
      <c r="E18" s="32" t="s">
        <v>158</v>
      </c>
      <c r="F18" s="32" t="s">
        <v>35</v>
      </c>
      <c r="G18" s="32" t="s">
        <v>35</v>
      </c>
      <c r="H18" s="32" t="s">
        <v>35</v>
      </c>
      <c r="I18" t="s">
        <v>35</v>
      </c>
      <c r="J18" t="s">
        <v>35</v>
      </c>
      <c r="K18" t="s">
        <v>35</v>
      </c>
      <c r="L18" s="29"/>
      <c r="M18" s="30">
        <v>1</v>
      </c>
      <c r="N18" s="30">
        <v>1</v>
      </c>
      <c r="O18" s="31">
        <v>50820</v>
      </c>
      <c r="P18" s="31">
        <v>203280</v>
      </c>
    </row>
    <row r="19" spans="1:16" x14ac:dyDescent="0.25">
      <c r="A19" t="s">
        <v>170</v>
      </c>
      <c r="B19" t="s">
        <v>163</v>
      </c>
      <c r="C19" t="s">
        <v>555</v>
      </c>
      <c r="D19" t="s">
        <v>164</v>
      </c>
      <c r="E19" s="32" t="s">
        <v>167</v>
      </c>
      <c r="F19" s="32" t="s">
        <v>166</v>
      </c>
      <c r="G19" s="32" t="s">
        <v>35</v>
      </c>
      <c r="H19" s="32" t="s">
        <v>35</v>
      </c>
      <c r="I19" t="s">
        <v>35</v>
      </c>
      <c r="J19" t="s">
        <v>35</v>
      </c>
      <c r="K19" t="s">
        <v>35</v>
      </c>
      <c r="L19" s="29"/>
      <c r="M19" s="30">
        <v>1</v>
      </c>
      <c r="N19" s="30">
        <v>1</v>
      </c>
      <c r="O19" s="31">
        <v>89540</v>
      </c>
      <c r="P19" s="31">
        <v>329670</v>
      </c>
    </row>
    <row r="20" spans="1:16" x14ac:dyDescent="0.25">
      <c r="A20" t="s">
        <v>176</v>
      </c>
      <c r="B20" t="s">
        <v>172</v>
      </c>
      <c r="C20" t="s">
        <v>555</v>
      </c>
      <c r="D20" t="s">
        <v>164</v>
      </c>
      <c r="E20" s="32" t="s">
        <v>167</v>
      </c>
      <c r="F20" s="32" t="s">
        <v>173</v>
      </c>
      <c r="G20" s="32" t="s">
        <v>35</v>
      </c>
      <c r="H20" s="32" t="s">
        <v>35</v>
      </c>
      <c r="I20" t="s">
        <v>35</v>
      </c>
      <c r="J20" t="s">
        <v>35</v>
      </c>
      <c r="K20" t="s">
        <v>35</v>
      </c>
      <c r="L20" s="29"/>
      <c r="M20" s="30">
        <v>1</v>
      </c>
      <c r="N20" s="30">
        <v>1</v>
      </c>
      <c r="O20" s="31">
        <v>89540</v>
      </c>
      <c r="P20" s="31">
        <v>329670</v>
      </c>
    </row>
    <row r="21" spans="1:16" x14ac:dyDescent="0.25">
      <c r="A21" t="s">
        <v>182</v>
      </c>
      <c r="B21" t="s">
        <v>177</v>
      </c>
      <c r="C21" t="s">
        <v>554</v>
      </c>
      <c r="D21" t="s">
        <v>35</v>
      </c>
      <c r="E21" s="32" t="s">
        <v>179</v>
      </c>
      <c r="F21" s="32" t="s">
        <v>35</v>
      </c>
      <c r="G21" s="32" t="s">
        <v>35</v>
      </c>
      <c r="H21" s="32" t="s">
        <v>35</v>
      </c>
      <c r="I21" t="s">
        <v>35</v>
      </c>
      <c r="J21" t="s">
        <v>35</v>
      </c>
      <c r="K21" t="s">
        <v>35</v>
      </c>
      <c r="L21" s="29"/>
      <c r="M21" s="30">
        <v>3</v>
      </c>
      <c r="N21" s="30">
        <v>3</v>
      </c>
      <c r="O21" s="31">
        <v>122000</v>
      </c>
      <c r="P21" s="31">
        <v>375000</v>
      </c>
    </row>
    <row r="22" spans="1:16" x14ac:dyDescent="0.25">
      <c r="A22" t="s">
        <v>188</v>
      </c>
      <c r="B22" t="s">
        <v>183</v>
      </c>
      <c r="C22" t="s">
        <v>554</v>
      </c>
      <c r="D22" t="s">
        <v>35</v>
      </c>
      <c r="E22" s="32" t="s">
        <v>185</v>
      </c>
      <c r="F22" s="32" t="s">
        <v>35</v>
      </c>
      <c r="G22" s="32" t="s">
        <v>35</v>
      </c>
      <c r="H22" s="32" t="s">
        <v>35</v>
      </c>
      <c r="I22" t="s">
        <v>35</v>
      </c>
      <c r="J22" t="s">
        <v>35</v>
      </c>
      <c r="K22" t="s">
        <v>35</v>
      </c>
      <c r="L22" s="29"/>
      <c r="M22" s="30">
        <v>1</v>
      </c>
      <c r="N22" s="30">
        <v>1</v>
      </c>
      <c r="O22" s="31">
        <v>14000</v>
      </c>
      <c r="P22" s="31">
        <v>56000</v>
      </c>
    </row>
    <row r="23" spans="1:16" x14ac:dyDescent="0.25">
      <c r="A23" t="s">
        <v>194</v>
      </c>
      <c r="B23" t="s">
        <v>189</v>
      </c>
      <c r="C23" t="s">
        <v>554</v>
      </c>
      <c r="D23" t="s">
        <v>35</v>
      </c>
      <c r="E23" s="32" t="s">
        <v>191</v>
      </c>
      <c r="F23" s="32" t="s">
        <v>35</v>
      </c>
      <c r="G23" s="32" t="s">
        <v>35</v>
      </c>
      <c r="H23" s="32" t="s">
        <v>35</v>
      </c>
      <c r="I23" t="s">
        <v>35</v>
      </c>
      <c r="J23" t="s">
        <v>35</v>
      </c>
      <c r="K23" t="s">
        <v>35</v>
      </c>
      <c r="L23" s="29"/>
      <c r="M23" s="30">
        <v>1</v>
      </c>
      <c r="N23" s="30">
        <v>1</v>
      </c>
      <c r="O23" s="31">
        <v>30000</v>
      </c>
      <c r="P23" s="31">
        <v>108000</v>
      </c>
    </row>
    <row r="24" spans="1:16" x14ac:dyDescent="0.25">
      <c r="A24" t="s">
        <v>203</v>
      </c>
      <c r="B24" t="s">
        <v>198</v>
      </c>
      <c r="C24" t="s">
        <v>554</v>
      </c>
      <c r="D24" t="s">
        <v>35</v>
      </c>
      <c r="E24" s="32" t="s">
        <v>200</v>
      </c>
      <c r="F24" s="32" t="s">
        <v>35</v>
      </c>
      <c r="G24" s="32" t="s">
        <v>35</v>
      </c>
      <c r="H24" s="32" t="s">
        <v>35</v>
      </c>
      <c r="I24" t="s">
        <v>35</v>
      </c>
      <c r="J24" t="s">
        <v>35</v>
      </c>
      <c r="K24" t="s">
        <v>35</v>
      </c>
      <c r="L24" s="29"/>
      <c r="M24" s="30">
        <v>4</v>
      </c>
      <c r="N24" s="30">
        <v>4</v>
      </c>
      <c r="O24" s="31">
        <v>72000</v>
      </c>
      <c r="P24" s="31">
        <v>256000</v>
      </c>
    </row>
    <row r="25" spans="1:16" x14ac:dyDescent="0.25">
      <c r="A25" t="s">
        <v>216</v>
      </c>
      <c r="B25" t="s">
        <v>210</v>
      </c>
      <c r="C25" t="s">
        <v>554</v>
      </c>
      <c r="D25" t="s">
        <v>211</v>
      </c>
      <c r="E25" s="32" t="s">
        <v>213</v>
      </c>
      <c r="F25" s="32" t="s">
        <v>35</v>
      </c>
      <c r="G25" s="32" t="s">
        <v>35</v>
      </c>
      <c r="H25" s="32" t="s">
        <v>35</v>
      </c>
      <c r="I25" t="s">
        <v>35</v>
      </c>
      <c r="J25" t="s">
        <v>35</v>
      </c>
      <c r="K25" t="s">
        <v>35</v>
      </c>
      <c r="L25" s="29"/>
      <c r="M25" s="30">
        <v>1</v>
      </c>
      <c r="N25" s="30">
        <v>0</v>
      </c>
      <c r="O25" s="31">
        <v>0</v>
      </c>
      <c r="P25" s="31">
        <v>57475</v>
      </c>
    </row>
    <row r="26" spans="1:16" x14ac:dyDescent="0.25">
      <c r="A26" t="s">
        <v>222</v>
      </c>
      <c r="B26" t="s">
        <v>217</v>
      </c>
      <c r="C26" t="s">
        <v>554</v>
      </c>
      <c r="D26" t="s">
        <v>218</v>
      </c>
      <c r="E26" s="32" t="s">
        <v>219</v>
      </c>
      <c r="F26" s="32" t="s">
        <v>35</v>
      </c>
      <c r="G26" s="32" t="s">
        <v>35</v>
      </c>
      <c r="H26" s="32" t="s">
        <v>35</v>
      </c>
      <c r="I26" t="s">
        <v>35</v>
      </c>
      <c r="J26" t="s">
        <v>35</v>
      </c>
      <c r="K26" t="s">
        <v>35</v>
      </c>
      <c r="L26" s="29"/>
      <c r="M26" s="30">
        <v>1</v>
      </c>
      <c r="N26" s="30">
        <v>0</v>
      </c>
      <c r="O26" s="31">
        <v>0</v>
      </c>
      <c r="P26" s="31">
        <v>132000</v>
      </c>
    </row>
    <row r="27" spans="1:16" x14ac:dyDescent="0.25">
      <c r="A27" t="s">
        <v>229</v>
      </c>
      <c r="B27" t="s">
        <v>223</v>
      </c>
      <c r="C27" t="s">
        <v>554</v>
      </c>
      <c r="D27" t="s">
        <v>224</v>
      </c>
      <c r="E27" s="32" t="s">
        <v>226</v>
      </c>
      <c r="F27" s="32" t="s">
        <v>35</v>
      </c>
      <c r="G27" s="32" t="s">
        <v>35</v>
      </c>
      <c r="H27" s="32" t="s">
        <v>35</v>
      </c>
      <c r="I27" t="s">
        <v>35</v>
      </c>
      <c r="J27" t="s">
        <v>35</v>
      </c>
      <c r="K27" t="s">
        <v>35</v>
      </c>
      <c r="L27" s="29"/>
      <c r="M27" s="30">
        <v>1</v>
      </c>
      <c r="N27" s="30">
        <v>0</v>
      </c>
      <c r="O27" s="31">
        <v>0</v>
      </c>
      <c r="P27" s="31">
        <v>75000</v>
      </c>
    </row>
    <row r="28" spans="1:16" x14ac:dyDescent="0.25">
      <c r="A28" t="s">
        <v>234</v>
      </c>
      <c r="B28" t="s">
        <v>230</v>
      </c>
      <c r="C28" t="s">
        <v>554</v>
      </c>
      <c r="D28" t="s">
        <v>231</v>
      </c>
      <c r="E28" s="32" t="s">
        <v>232</v>
      </c>
      <c r="F28" s="32" t="s">
        <v>35</v>
      </c>
      <c r="G28" s="32" t="s">
        <v>35</v>
      </c>
      <c r="H28" s="32" t="s">
        <v>35</v>
      </c>
      <c r="I28" t="s">
        <v>35</v>
      </c>
      <c r="J28" t="s">
        <v>35</v>
      </c>
      <c r="K28" t="s">
        <v>35</v>
      </c>
      <c r="L28" s="29"/>
      <c r="M28" s="30">
        <v>1</v>
      </c>
      <c r="N28" s="30">
        <v>1</v>
      </c>
      <c r="O28" s="31">
        <v>29000</v>
      </c>
      <c r="P28" s="31">
        <v>29000</v>
      </c>
    </row>
    <row r="29" spans="1:16" x14ac:dyDescent="0.25">
      <c r="A29" t="s">
        <v>240</v>
      </c>
      <c r="B29" t="s">
        <v>235</v>
      </c>
      <c r="C29" t="s">
        <v>554</v>
      </c>
      <c r="D29" t="s">
        <v>35</v>
      </c>
      <c r="E29" s="32" t="s">
        <v>237</v>
      </c>
      <c r="F29" s="32" t="s">
        <v>35</v>
      </c>
      <c r="G29" s="32" t="s">
        <v>35</v>
      </c>
      <c r="H29" s="32" t="s">
        <v>35</v>
      </c>
      <c r="I29" t="s">
        <v>35</v>
      </c>
      <c r="J29" t="s">
        <v>35</v>
      </c>
      <c r="K29" t="s">
        <v>35</v>
      </c>
      <c r="L29" s="29"/>
      <c r="M29" s="30">
        <v>1</v>
      </c>
      <c r="N29" s="30">
        <v>1</v>
      </c>
      <c r="O29" s="31">
        <v>28000</v>
      </c>
      <c r="P29" s="31">
        <v>112000</v>
      </c>
    </row>
    <row r="30" spans="1:16" x14ac:dyDescent="0.25">
      <c r="A30" t="s">
        <v>247</v>
      </c>
      <c r="B30" t="s">
        <v>241</v>
      </c>
      <c r="C30" t="s">
        <v>555</v>
      </c>
      <c r="D30" t="s">
        <v>242</v>
      </c>
      <c r="E30" s="32" t="s">
        <v>244</v>
      </c>
      <c r="F30" s="32" t="s">
        <v>35</v>
      </c>
      <c r="G30" s="32" t="s">
        <v>35</v>
      </c>
      <c r="H30" s="32" t="s">
        <v>35</v>
      </c>
      <c r="I30" t="s">
        <v>35</v>
      </c>
      <c r="J30" t="s">
        <v>35</v>
      </c>
      <c r="K30" t="s">
        <v>35</v>
      </c>
      <c r="L30" s="29"/>
      <c r="M30" s="30">
        <v>1</v>
      </c>
      <c r="N30" s="30">
        <v>0</v>
      </c>
      <c r="O30" s="31">
        <v>0</v>
      </c>
      <c r="P30" s="31">
        <v>132000</v>
      </c>
    </row>
    <row r="31" spans="1:16" x14ac:dyDescent="0.25">
      <c r="A31" t="s">
        <v>254</v>
      </c>
      <c r="B31" t="s">
        <v>248</v>
      </c>
      <c r="C31" t="s">
        <v>554</v>
      </c>
      <c r="D31" t="s">
        <v>249</v>
      </c>
      <c r="E31" s="32" t="s">
        <v>251</v>
      </c>
      <c r="F31" s="32" t="s">
        <v>35</v>
      </c>
      <c r="G31" s="32" t="s">
        <v>35</v>
      </c>
      <c r="H31" s="32" t="s">
        <v>35</v>
      </c>
      <c r="I31" t="s">
        <v>35</v>
      </c>
      <c r="J31" t="s">
        <v>35</v>
      </c>
      <c r="K31" t="s">
        <v>35</v>
      </c>
      <c r="L31" s="29"/>
      <c r="M31" s="30">
        <v>1</v>
      </c>
      <c r="N31" s="30">
        <v>1</v>
      </c>
      <c r="O31" s="31">
        <v>40000</v>
      </c>
      <c r="P31" s="31">
        <v>80000</v>
      </c>
    </row>
    <row r="32" spans="1:16" x14ac:dyDescent="0.25">
      <c r="A32" t="s">
        <v>262</v>
      </c>
      <c r="B32" t="s">
        <v>255</v>
      </c>
      <c r="C32" t="s">
        <v>555</v>
      </c>
      <c r="D32" t="s">
        <v>256</v>
      </c>
      <c r="E32" s="32" t="s">
        <v>259</v>
      </c>
      <c r="F32" s="32" t="s">
        <v>258</v>
      </c>
      <c r="G32" s="32" t="s">
        <v>35</v>
      </c>
      <c r="H32" s="32" t="s">
        <v>35</v>
      </c>
      <c r="I32" t="s">
        <v>35</v>
      </c>
      <c r="J32" t="s">
        <v>35</v>
      </c>
      <c r="K32" t="s">
        <v>35</v>
      </c>
      <c r="L32" s="29"/>
      <c r="M32" s="30">
        <v>1</v>
      </c>
      <c r="N32" s="30">
        <v>1</v>
      </c>
      <c r="O32" s="31">
        <v>42350</v>
      </c>
      <c r="P32" s="31">
        <v>163625</v>
      </c>
    </row>
    <row r="33" spans="1:16" x14ac:dyDescent="0.25">
      <c r="A33" t="s">
        <v>267</v>
      </c>
      <c r="B33" t="s">
        <v>263</v>
      </c>
      <c r="C33" t="s">
        <v>554</v>
      </c>
      <c r="D33" t="s">
        <v>35</v>
      </c>
      <c r="E33" s="32" t="s">
        <v>264</v>
      </c>
      <c r="F33" s="32" t="s">
        <v>35</v>
      </c>
      <c r="G33" s="32" t="s">
        <v>35</v>
      </c>
      <c r="H33" s="32" t="s">
        <v>35</v>
      </c>
      <c r="I33" t="s">
        <v>35</v>
      </c>
      <c r="J33" t="s">
        <v>35</v>
      </c>
      <c r="K33" t="s">
        <v>35</v>
      </c>
      <c r="L33" s="29"/>
      <c r="M33" s="30">
        <v>1</v>
      </c>
      <c r="N33" s="30">
        <v>0</v>
      </c>
      <c r="O33" s="31">
        <v>61767</v>
      </c>
      <c r="P33" s="31">
        <v>85000</v>
      </c>
    </row>
    <row r="34" spans="1:16" x14ac:dyDescent="0.25">
      <c r="A34" t="s">
        <v>273</v>
      </c>
      <c r="B34" t="s">
        <v>268</v>
      </c>
      <c r="C34" t="s">
        <v>554</v>
      </c>
      <c r="D34" t="s">
        <v>35</v>
      </c>
      <c r="E34" s="32" t="s">
        <v>270</v>
      </c>
      <c r="F34" s="32" t="s">
        <v>269</v>
      </c>
      <c r="G34" s="32" t="s">
        <v>35</v>
      </c>
      <c r="H34" s="32" t="s">
        <v>35</v>
      </c>
      <c r="I34" t="s">
        <v>35</v>
      </c>
      <c r="J34" t="s">
        <v>35</v>
      </c>
      <c r="K34" t="s">
        <v>35</v>
      </c>
      <c r="L34" s="29"/>
      <c r="M34" s="30">
        <v>1</v>
      </c>
      <c r="N34" s="30">
        <v>0</v>
      </c>
      <c r="O34" s="31">
        <v>8500</v>
      </c>
      <c r="P34" s="31">
        <v>136000</v>
      </c>
    </row>
    <row r="35" spans="1:16" x14ac:dyDescent="0.25">
      <c r="A35" t="s">
        <v>280</v>
      </c>
      <c r="B35" t="s">
        <v>276</v>
      </c>
      <c r="C35" t="s">
        <v>554</v>
      </c>
      <c r="D35" t="s">
        <v>35</v>
      </c>
      <c r="E35" s="32" t="s">
        <v>277</v>
      </c>
      <c r="F35" s="32" t="s">
        <v>35</v>
      </c>
      <c r="G35" s="32" t="s">
        <v>35</v>
      </c>
      <c r="H35" s="32" t="s">
        <v>35</v>
      </c>
      <c r="I35" t="s">
        <v>35</v>
      </c>
      <c r="J35" t="s">
        <v>35</v>
      </c>
      <c r="K35" t="s">
        <v>35</v>
      </c>
      <c r="L35" s="29"/>
      <c r="M35" s="30">
        <v>1</v>
      </c>
      <c r="N35" s="30">
        <v>0</v>
      </c>
      <c r="O35" s="31">
        <v>2702</v>
      </c>
      <c r="P35" s="31">
        <v>7565</v>
      </c>
    </row>
    <row r="36" spans="1:16" x14ac:dyDescent="0.25">
      <c r="A36" t="s">
        <v>284</v>
      </c>
      <c r="B36" t="s">
        <v>281</v>
      </c>
      <c r="C36" t="s">
        <v>554</v>
      </c>
      <c r="D36" t="s">
        <v>35</v>
      </c>
      <c r="E36" s="32" t="s">
        <v>282</v>
      </c>
      <c r="F36" s="32" t="s">
        <v>35</v>
      </c>
      <c r="G36" s="32" t="s">
        <v>35</v>
      </c>
      <c r="H36" s="32" t="s">
        <v>35</v>
      </c>
      <c r="I36" t="s">
        <v>35</v>
      </c>
      <c r="J36" t="s">
        <v>35</v>
      </c>
      <c r="K36" t="s">
        <v>35</v>
      </c>
      <c r="L36" s="29"/>
      <c r="M36" s="30">
        <v>1</v>
      </c>
      <c r="N36" s="30">
        <v>1</v>
      </c>
      <c r="O36" s="31">
        <v>28000</v>
      </c>
      <c r="P36" s="31">
        <v>14000</v>
      </c>
    </row>
    <row r="37" spans="1:16" x14ac:dyDescent="0.25">
      <c r="A37" t="s">
        <v>292</v>
      </c>
      <c r="B37" t="s">
        <v>285</v>
      </c>
      <c r="C37" t="s">
        <v>555</v>
      </c>
      <c r="D37" t="s">
        <v>286</v>
      </c>
      <c r="E37" s="32" t="s">
        <v>289</v>
      </c>
      <c r="F37" s="32" t="s">
        <v>288</v>
      </c>
      <c r="G37" s="32" t="s">
        <v>35</v>
      </c>
      <c r="H37" s="32" t="s">
        <v>35</v>
      </c>
      <c r="I37" t="s">
        <v>35</v>
      </c>
      <c r="J37" t="s">
        <v>35</v>
      </c>
      <c r="K37" t="s">
        <v>35</v>
      </c>
      <c r="L37" s="29"/>
      <c r="M37" s="30">
        <v>1</v>
      </c>
      <c r="N37" s="30">
        <v>1</v>
      </c>
      <c r="O37" s="31">
        <v>23000</v>
      </c>
      <c r="P37" s="31">
        <v>92000</v>
      </c>
    </row>
    <row r="38" spans="1:16" x14ac:dyDescent="0.25">
      <c r="A38" t="s">
        <v>298</v>
      </c>
      <c r="B38" t="s">
        <v>293</v>
      </c>
      <c r="C38" t="s">
        <v>554</v>
      </c>
      <c r="D38" t="s">
        <v>35</v>
      </c>
      <c r="E38" s="32" t="s">
        <v>295</v>
      </c>
      <c r="F38" s="32" t="s">
        <v>35</v>
      </c>
      <c r="G38" s="32" t="s">
        <v>35</v>
      </c>
      <c r="H38" s="32" t="s">
        <v>35</v>
      </c>
      <c r="I38" t="s">
        <v>35</v>
      </c>
      <c r="J38" t="s">
        <v>35</v>
      </c>
      <c r="K38" t="s">
        <v>35</v>
      </c>
      <c r="L38" s="29"/>
      <c r="M38" s="30">
        <v>1</v>
      </c>
      <c r="N38" s="30">
        <v>1</v>
      </c>
      <c r="O38" s="31">
        <v>22390</v>
      </c>
      <c r="P38" s="31">
        <v>89560</v>
      </c>
    </row>
    <row r="39" spans="1:16" x14ac:dyDescent="0.25">
      <c r="A39" t="s">
        <v>305</v>
      </c>
      <c r="B39" t="s">
        <v>299</v>
      </c>
      <c r="C39" t="s">
        <v>554</v>
      </c>
      <c r="D39" t="s">
        <v>300</v>
      </c>
      <c r="E39" s="32" t="s">
        <v>302</v>
      </c>
      <c r="F39" s="32" t="s">
        <v>35</v>
      </c>
      <c r="G39" s="32" t="s">
        <v>35</v>
      </c>
      <c r="H39" s="32" t="s">
        <v>35</v>
      </c>
      <c r="I39" t="s">
        <v>35</v>
      </c>
      <c r="J39" t="s">
        <v>35</v>
      </c>
      <c r="K39" t="s">
        <v>35</v>
      </c>
      <c r="L39" s="29"/>
      <c r="M39" s="30">
        <v>1</v>
      </c>
      <c r="N39" s="30">
        <v>1</v>
      </c>
      <c r="O39" s="31">
        <v>24200</v>
      </c>
      <c r="P39" s="31">
        <v>96800</v>
      </c>
    </row>
    <row r="40" spans="1:16" x14ac:dyDescent="0.25">
      <c r="A40" t="s">
        <v>312</v>
      </c>
      <c r="B40" t="s">
        <v>306</v>
      </c>
      <c r="C40" t="s">
        <v>555</v>
      </c>
      <c r="D40" t="s">
        <v>307</v>
      </c>
      <c r="E40" s="32" t="s">
        <v>309</v>
      </c>
      <c r="F40" s="32" t="s">
        <v>308</v>
      </c>
      <c r="G40" s="32" t="s">
        <v>35</v>
      </c>
      <c r="H40" s="32" t="s">
        <v>35</v>
      </c>
      <c r="I40" t="s">
        <v>35</v>
      </c>
      <c r="J40" t="s">
        <v>35</v>
      </c>
      <c r="K40" t="s">
        <v>35</v>
      </c>
      <c r="L40" s="29"/>
      <c r="M40" s="30">
        <v>1</v>
      </c>
      <c r="N40" s="30">
        <v>1</v>
      </c>
      <c r="O40" s="31">
        <v>24200</v>
      </c>
      <c r="P40" s="31">
        <v>91300</v>
      </c>
    </row>
    <row r="41" spans="1:16" x14ac:dyDescent="0.25">
      <c r="A41" t="s">
        <v>319</v>
      </c>
      <c r="B41" t="s">
        <v>313</v>
      </c>
      <c r="C41" t="s">
        <v>555</v>
      </c>
      <c r="D41" t="s">
        <v>314</v>
      </c>
      <c r="E41" s="32" t="s">
        <v>316</v>
      </c>
      <c r="F41" s="32" t="s">
        <v>35</v>
      </c>
      <c r="G41" s="32" t="s">
        <v>35</v>
      </c>
      <c r="H41" s="32" t="s">
        <v>35</v>
      </c>
      <c r="I41" t="s">
        <v>35</v>
      </c>
      <c r="J41" t="s">
        <v>35</v>
      </c>
      <c r="K41" t="s">
        <v>35</v>
      </c>
      <c r="L41" s="29"/>
      <c r="M41" s="30">
        <v>1</v>
      </c>
      <c r="N41" s="30">
        <v>1</v>
      </c>
      <c r="O41" s="31">
        <v>29700</v>
      </c>
      <c r="P41" s="31">
        <v>127710</v>
      </c>
    </row>
    <row r="42" spans="1:16" x14ac:dyDescent="0.25">
      <c r="A42" t="s">
        <v>324</v>
      </c>
      <c r="B42" t="s">
        <v>320</v>
      </c>
      <c r="C42" t="s">
        <v>554</v>
      </c>
      <c r="D42" t="s">
        <v>35</v>
      </c>
      <c r="E42" s="32" t="s">
        <v>321</v>
      </c>
      <c r="F42" s="32" t="s">
        <v>35</v>
      </c>
      <c r="G42" s="32" t="s">
        <v>35</v>
      </c>
      <c r="H42" s="32" t="s">
        <v>35</v>
      </c>
      <c r="I42" t="s">
        <v>35</v>
      </c>
      <c r="J42" t="s">
        <v>35</v>
      </c>
      <c r="K42" t="s">
        <v>35</v>
      </c>
      <c r="L42" s="29"/>
      <c r="M42" s="30">
        <v>1</v>
      </c>
      <c r="N42" s="30">
        <v>1</v>
      </c>
      <c r="O42" s="31">
        <v>27000</v>
      </c>
      <c r="P42" s="31">
        <v>100500</v>
      </c>
    </row>
    <row r="43" spans="1:16" x14ac:dyDescent="0.25">
      <c r="A43" t="s">
        <v>331</v>
      </c>
      <c r="B43" t="s">
        <v>325</v>
      </c>
      <c r="C43" t="s">
        <v>555</v>
      </c>
      <c r="D43" t="s">
        <v>326</v>
      </c>
      <c r="E43" s="32" t="s">
        <v>328</v>
      </c>
      <c r="F43" s="32" t="s">
        <v>35</v>
      </c>
      <c r="G43" s="32" t="s">
        <v>35</v>
      </c>
      <c r="H43" s="32" t="s">
        <v>35</v>
      </c>
      <c r="I43" t="s">
        <v>35</v>
      </c>
      <c r="J43" t="s">
        <v>35</v>
      </c>
      <c r="K43" t="s">
        <v>35</v>
      </c>
      <c r="L43" s="29"/>
      <c r="M43" s="30">
        <v>1</v>
      </c>
      <c r="N43" s="30">
        <v>1</v>
      </c>
      <c r="O43" s="31">
        <v>28000</v>
      </c>
      <c r="P43" s="31">
        <v>108000</v>
      </c>
    </row>
    <row r="44" spans="1:16" x14ac:dyDescent="0.25">
      <c r="A44" t="s">
        <v>338</v>
      </c>
      <c r="B44" t="s">
        <v>332</v>
      </c>
      <c r="C44" t="s">
        <v>555</v>
      </c>
      <c r="D44" t="s">
        <v>333</v>
      </c>
      <c r="E44" s="32" t="s">
        <v>335</v>
      </c>
      <c r="F44" s="32" t="s">
        <v>35</v>
      </c>
      <c r="G44" s="32" t="s">
        <v>35</v>
      </c>
      <c r="H44" s="32" t="s">
        <v>35</v>
      </c>
      <c r="I44" t="s">
        <v>35</v>
      </c>
      <c r="J44" t="s">
        <v>35</v>
      </c>
      <c r="K44" t="s">
        <v>35</v>
      </c>
      <c r="L44" s="29"/>
      <c r="M44" s="30">
        <v>1</v>
      </c>
      <c r="N44" s="30">
        <v>1</v>
      </c>
      <c r="O44" s="31">
        <v>29130</v>
      </c>
      <c r="P44" s="31">
        <v>125350</v>
      </c>
    </row>
    <row r="45" spans="1:16" x14ac:dyDescent="0.25">
      <c r="A45" t="s">
        <v>345</v>
      </c>
      <c r="B45" t="s">
        <v>339</v>
      </c>
      <c r="C45" t="s">
        <v>555</v>
      </c>
      <c r="D45" t="s">
        <v>276</v>
      </c>
      <c r="E45" s="32" t="s">
        <v>341</v>
      </c>
      <c r="F45" s="32" t="s">
        <v>35</v>
      </c>
      <c r="G45" s="32" t="s">
        <v>35</v>
      </c>
      <c r="H45" s="32" t="s">
        <v>35</v>
      </c>
      <c r="I45" t="s">
        <v>35</v>
      </c>
      <c r="J45" t="s">
        <v>35</v>
      </c>
      <c r="K45" t="s">
        <v>35</v>
      </c>
      <c r="L45" s="29"/>
      <c r="M45" s="30">
        <v>1</v>
      </c>
      <c r="N45" s="30">
        <v>1</v>
      </c>
      <c r="O45" s="31">
        <v>33000</v>
      </c>
      <c r="P45" s="31">
        <v>132000</v>
      </c>
    </row>
    <row r="46" spans="1:16" x14ac:dyDescent="0.25">
      <c r="A46" t="s">
        <v>351</v>
      </c>
      <c r="B46" t="s">
        <v>346</v>
      </c>
      <c r="C46" t="s">
        <v>554</v>
      </c>
      <c r="D46" t="s">
        <v>35</v>
      </c>
      <c r="E46" s="32" t="s">
        <v>348</v>
      </c>
      <c r="F46" s="32" t="s">
        <v>35</v>
      </c>
      <c r="G46" s="32" t="s">
        <v>35</v>
      </c>
      <c r="H46" s="32" t="s">
        <v>35</v>
      </c>
      <c r="I46" t="s">
        <v>35</v>
      </c>
      <c r="J46" t="s">
        <v>35</v>
      </c>
      <c r="K46" t="s">
        <v>35</v>
      </c>
      <c r="L46" s="29"/>
      <c r="M46" s="30">
        <v>1</v>
      </c>
      <c r="N46" s="30">
        <v>0</v>
      </c>
      <c r="O46" s="31">
        <v>18500</v>
      </c>
      <c r="P46" s="31">
        <v>148000</v>
      </c>
    </row>
    <row r="47" spans="1:16" x14ac:dyDescent="0.25">
      <c r="A47" t="s">
        <v>358</v>
      </c>
      <c r="B47" t="s">
        <v>352</v>
      </c>
      <c r="C47" t="s">
        <v>555</v>
      </c>
      <c r="D47" t="s">
        <v>353</v>
      </c>
      <c r="E47" s="32" t="s">
        <v>355</v>
      </c>
      <c r="F47" s="32" t="s">
        <v>35</v>
      </c>
      <c r="G47" s="32" t="s">
        <v>35</v>
      </c>
      <c r="H47" s="32" t="s">
        <v>35</v>
      </c>
      <c r="I47" t="s">
        <v>35</v>
      </c>
      <c r="J47" t="s">
        <v>35</v>
      </c>
      <c r="K47" t="s">
        <v>35</v>
      </c>
      <c r="L47" s="29"/>
      <c r="M47" s="30">
        <v>2</v>
      </c>
      <c r="N47" s="30">
        <v>0</v>
      </c>
      <c r="O47" s="31">
        <v>0</v>
      </c>
      <c r="P47" s="31">
        <v>210000</v>
      </c>
    </row>
    <row r="48" spans="1:16" x14ac:dyDescent="0.25">
      <c r="A48" t="s">
        <v>366</v>
      </c>
      <c r="B48" t="s">
        <v>361</v>
      </c>
      <c r="C48" t="s">
        <v>554</v>
      </c>
      <c r="D48" t="s">
        <v>35</v>
      </c>
      <c r="E48" s="32" t="s">
        <v>362</v>
      </c>
      <c r="F48" s="32" t="s">
        <v>35</v>
      </c>
      <c r="G48" s="32" t="s">
        <v>35</v>
      </c>
      <c r="H48" s="32" t="s">
        <v>35</v>
      </c>
      <c r="I48" t="s">
        <v>35</v>
      </c>
      <c r="J48" t="s">
        <v>35</v>
      </c>
      <c r="K48" t="s">
        <v>35</v>
      </c>
      <c r="L48" s="29"/>
      <c r="M48" s="30">
        <v>1</v>
      </c>
      <c r="N48" s="30">
        <v>1</v>
      </c>
      <c r="O48" s="31">
        <v>33645</v>
      </c>
      <c r="P48" s="31">
        <v>78305</v>
      </c>
    </row>
    <row r="49" spans="1:16" x14ac:dyDescent="0.25">
      <c r="A49" t="s">
        <v>372</v>
      </c>
      <c r="B49" t="s">
        <v>367</v>
      </c>
      <c r="C49" t="s">
        <v>555</v>
      </c>
      <c r="D49" t="s">
        <v>368</v>
      </c>
      <c r="E49" s="32" t="s">
        <v>369</v>
      </c>
      <c r="F49" s="32" t="s">
        <v>35</v>
      </c>
      <c r="G49" s="32" t="s">
        <v>35</v>
      </c>
      <c r="H49" s="32" t="s">
        <v>35</v>
      </c>
      <c r="I49" t="s">
        <v>35</v>
      </c>
      <c r="J49" t="s">
        <v>35</v>
      </c>
      <c r="K49" t="s">
        <v>35</v>
      </c>
      <c r="L49" s="29"/>
      <c r="M49" s="30">
        <v>1</v>
      </c>
      <c r="N49" s="30">
        <v>0</v>
      </c>
      <c r="O49" s="31">
        <v>0</v>
      </c>
      <c r="P49" s="31">
        <v>80000</v>
      </c>
    </row>
    <row r="50" spans="1:16" x14ac:dyDescent="0.25">
      <c r="A50" t="s">
        <v>382</v>
      </c>
      <c r="B50" t="s">
        <v>376</v>
      </c>
      <c r="C50" t="s">
        <v>554</v>
      </c>
      <c r="D50" t="s">
        <v>377</v>
      </c>
      <c r="E50" s="32" t="s">
        <v>379</v>
      </c>
      <c r="F50" s="32" t="s">
        <v>35</v>
      </c>
      <c r="G50" s="32" t="s">
        <v>35</v>
      </c>
      <c r="H50" s="32" t="s">
        <v>35</v>
      </c>
      <c r="I50" t="s">
        <v>35</v>
      </c>
      <c r="J50" t="s">
        <v>35</v>
      </c>
      <c r="K50" t="s">
        <v>35</v>
      </c>
      <c r="L50" s="29"/>
      <c r="M50" s="30">
        <v>1</v>
      </c>
      <c r="N50" s="30">
        <v>1</v>
      </c>
      <c r="O50" s="31">
        <v>38000</v>
      </c>
      <c r="P50" s="31">
        <v>142000</v>
      </c>
    </row>
    <row r="51" spans="1:16" x14ac:dyDescent="0.25">
      <c r="A51" t="s">
        <v>390</v>
      </c>
      <c r="B51" t="s">
        <v>383</v>
      </c>
      <c r="C51" t="s">
        <v>555</v>
      </c>
      <c r="D51" t="s">
        <v>384</v>
      </c>
      <c r="E51" s="32" t="s">
        <v>387</v>
      </c>
      <c r="F51" s="32" t="s">
        <v>386</v>
      </c>
      <c r="G51" s="32" t="s">
        <v>35</v>
      </c>
      <c r="H51" s="32" t="s">
        <v>35</v>
      </c>
      <c r="I51" t="s">
        <v>35</v>
      </c>
      <c r="J51" t="s">
        <v>35</v>
      </c>
      <c r="K51" t="s">
        <v>35</v>
      </c>
      <c r="L51" s="29"/>
      <c r="M51" s="30">
        <v>1</v>
      </c>
      <c r="N51" s="30">
        <v>1</v>
      </c>
      <c r="O51" s="31">
        <v>36900</v>
      </c>
      <c r="P51" s="31">
        <v>49500</v>
      </c>
    </row>
    <row r="52" spans="1:16" x14ac:dyDescent="0.25">
      <c r="A52" t="s">
        <v>397</v>
      </c>
      <c r="B52" t="s">
        <v>391</v>
      </c>
      <c r="C52" t="s">
        <v>555</v>
      </c>
      <c r="D52" t="s">
        <v>392</v>
      </c>
      <c r="E52" s="32" t="s">
        <v>394</v>
      </c>
      <c r="F52" s="32" t="s">
        <v>35</v>
      </c>
      <c r="G52" s="32" t="s">
        <v>35</v>
      </c>
      <c r="H52" s="32" t="s">
        <v>35</v>
      </c>
      <c r="I52" t="s">
        <v>35</v>
      </c>
      <c r="J52" t="s">
        <v>35</v>
      </c>
      <c r="K52" t="s">
        <v>35</v>
      </c>
      <c r="L52" s="29"/>
      <c r="M52" s="30">
        <v>1</v>
      </c>
      <c r="N52" s="30">
        <v>0</v>
      </c>
      <c r="O52" s="31">
        <v>0</v>
      </c>
      <c r="P52" s="31">
        <v>77440</v>
      </c>
    </row>
    <row r="53" spans="1:16" x14ac:dyDescent="0.25">
      <c r="A53" t="s">
        <v>405</v>
      </c>
      <c r="B53" t="s">
        <v>398</v>
      </c>
      <c r="C53" t="s">
        <v>555</v>
      </c>
      <c r="D53" t="s">
        <v>399</v>
      </c>
      <c r="E53" s="32" t="s">
        <v>402</v>
      </c>
      <c r="F53" s="32" t="s">
        <v>401</v>
      </c>
      <c r="G53" s="32" t="s">
        <v>35</v>
      </c>
      <c r="H53" s="32" t="s">
        <v>35</v>
      </c>
      <c r="I53" t="s">
        <v>35</v>
      </c>
      <c r="J53" t="s">
        <v>35</v>
      </c>
      <c r="K53" t="s">
        <v>35</v>
      </c>
      <c r="L53" s="29"/>
      <c r="M53" s="30">
        <v>1</v>
      </c>
      <c r="N53" s="30">
        <v>0</v>
      </c>
      <c r="O53" s="31">
        <v>19000</v>
      </c>
      <c r="P53" s="31">
        <v>152000</v>
      </c>
    </row>
    <row r="54" spans="1:16" x14ac:dyDescent="0.25">
      <c r="A54" t="s">
        <v>411</v>
      </c>
      <c r="B54" t="s">
        <v>406</v>
      </c>
      <c r="C54" t="s">
        <v>554</v>
      </c>
      <c r="D54" t="s">
        <v>35</v>
      </c>
      <c r="E54" s="32" t="s">
        <v>408</v>
      </c>
      <c r="F54" s="32" t="s">
        <v>35</v>
      </c>
      <c r="G54" s="32" t="s">
        <v>35</v>
      </c>
      <c r="H54" s="32" t="s">
        <v>35</v>
      </c>
      <c r="I54" t="s">
        <v>35</v>
      </c>
      <c r="J54" t="s">
        <v>35</v>
      </c>
      <c r="K54" t="s">
        <v>35</v>
      </c>
      <c r="L54" s="29"/>
      <c r="M54" s="30">
        <v>1</v>
      </c>
      <c r="N54" s="30">
        <v>1</v>
      </c>
      <c r="O54" s="31">
        <v>22990</v>
      </c>
      <c r="P54" s="31">
        <v>91960</v>
      </c>
    </row>
    <row r="55" spans="1:16" x14ac:dyDescent="0.25">
      <c r="A55" t="s">
        <v>417</v>
      </c>
      <c r="B55" t="s">
        <v>412</v>
      </c>
      <c r="C55" t="s">
        <v>554</v>
      </c>
      <c r="D55" t="s">
        <v>35</v>
      </c>
      <c r="E55" s="32" t="s">
        <v>414</v>
      </c>
      <c r="F55" s="32" t="s">
        <v>35</v>
      </c>
      <c r="G55" s="32" t="s">
        <v>35</v>
      </c>
      <c r="H55" s="32" t="s">
        <v>35</v>
      </c>
      <c r="I55" t="s">
        <v>35</v>
      </c>
      <c r="J55" t="s">
        <v>35</v>
      </c>
      <c r="K55" t="s">
        <v>35</v>
      </c>
      <c r="L55" s="29"/>
      <c r="M55" s="30">
        <v>1</v>
      </c>
      <c r="N55" s="30">
        <v>1</v>
      </c>
      <c r="O55" s="31">
        <v>22000</v>
      </c>
      <c r="P55" s="31">
        <v>88000</v>
      </c>
    </row>
    <row r="56" spans="1:16" x14ac:dyDescent="0.25">
      <c r="A56" t="s">
        <v>425</v>
      </c>
      <c r="B56" t="s">
        <v>418</v>
      </c>
      <c r="C56" t="s">
        <v>554</v>
      </c>
      <c r="D56" t="s">
        <v>35</v>
      </c>
      <c r="E56" s="32" t="s">
        <v>420</v>
      </c>
      <c r="F56" s="32" t="s">
        <v>35</v>
      </c>
      <c r="G56" s="32" t="s">
        <v>35</v>
      </c>
      <c r="H56" s="32" t="s">
        <v>35</v>
      </c>
      <c r="I56" t="s">
        <v>35</v>
      </c>
      <c r="J56" t="s">
        <v>35</v>
      </c>
      <c r="K56" t="s">
        <v>35</v>
      </c>
      <c r="L56" s="29"/>
      <c r="M56" s="30">
        <v>1</v>
      </c>
      <c r="N56" s="30">
        <v>1</v>
      </c>
      <c r="O56" s="31">
        <v>26325</v>
      </c>
      <c r="P56" s="31">
        <v>64040</v>
      </c>
    </row>
    <row r="57" spans="1:16" x14ac:dyDescent="0.25">
      <c r="A57" t="s">
        <v>432</v>
      </c>
      <c r="B57" t="s">
        <v>426</v>
      </c>
      <c r="C57" t="s">
        <v>555</v>
      </c>
      <c r="D57" t="s">
        <v>427</v>
      </c>
      <c r="E57" s="32" t="s">
        <v>429</v>
      </c>
      <c r="F57" s="32" t="s">
        <v>35</v>
      </c>
      <c r="G57" s="32" t="s">
        <v>35</v>
      </c>
      <c r="H57" s="32" t="s">
        <v>35</v>
      </c>
      <c r="I57" t="s">
        <v>35</v>
      </c>
      <c r="J57" t="s">
        <v>35</v>
      </c>
      <c r="K57" t="s">
        <v>35</v>
      </c>
      <c r="L57" s="29"/>
      <c r="M57" s="30">
        <v>1</v>
      </c>
      <c r="N57" s="30">
        <v>1</v>
      </c>
      <c r="O57" s="31">
        <v>38000</v>
      </c>
      <c r="P57" s="31">
        <v>126000</v>
      </c>
    </row>
    <row r="58" spans="1:16" x14ac:dyDescent="0.25">
      <c r="A58" t="s">
        <v>440</v>
      </c>
      <c r="B58" t="s">
        <v>433</v>
      </c>
      <c r="C58" t="s">
        <v>555</v>
      </c>
      <c r="D58" t="s">
        <v>434</v>
      </c>
      <c r="E58" s="32" t="s">
        <v>436</v>
      </c>
      <c r="F58" s="32" t="s">
        <v>35</v>
      </c>
      <c r="G58" s="32" t="s">
        <v>35</v>
      </c>
      <c r="H58" s="32" t="s">
        <v>35</v>
      </c>
      <c r="I58" t="s">
        <v>35</v>
      </c>
      <c r="J58" t="s">
        <v>35</v>
      </c>
      <c r="K58" t="s">
        <v>35</v>
      </c>
      <c r="L58" s="29"/>
      <c r="M58" s="30">
        <v>1</v>
      </c>
      <c r="N58" s="30">
        <v>1</v>
      </c>
      <c r="O58" s="31">
        <v>63000</v>
      </c>
      <c r="P58" s="31">
        <v>42000</v>
      </c>
    </row>
    <row r="59" spans="1:16" x14ac:dyDescent="0.25">
      <c r="A59" t="s">
        <v>447</v>
      </c>
      <c r="B59" t="s">
        <v>441</v>
      </c>
      <c r="C59" t="s">
        <v>555</v>
      </c>
      <c r="D59" t="s">
        <v>442</v>
      </c>
      <c r="E59" s="32" t="s">
        <v>444</v>
      </c>
      <c r="F59" s="32" t="s">
        <v>35</v>
      </c>
      <c r="G59" s="32" t="s">
        <v>35</v>
      </c>
      <c r="H59" s="32" t="s">
        <v>35</v>
      </c>
      <c r="I59" t="s">
        <v>35</v>
      </c>
      <c r="J59" t="s">
        <v>35</v>
      </c>
      <c r="K59" t="s">
        <v>35</v>
      </c>
      <c r="L59" s="29"/>
      <c r="M59" s="30">
        <v>1</v>
      </c>
      <c r="N59" s="30">
        <v>0</v>
      </c>
      <c r="O59" s="31">
        <v>0</v>
      </c>
      <c r="P59" s="31">
        <v>78000</v>
      </c>
    </row>
    <row r="60" spans="1:16" x14ac:dyDescent="0.25">
      <c r="A60" t="s">
        <v>455</v>
      </c>
      <c r="B60" t="s">
        <v>448</v>
      </c>
      <c r="C60" t="s">
        <v>555</v>
      </c>
      <c r="D60" t="s">
        <v>449</v>
      </c>
      <c r="E60" s="32" t="s">
        <v>452</v>
      </c>
      <c r="F60" s="32" t="s">
        <v>451</v>
      </c>
      <c r="G60" s="32" t="s">
        <v>35</v>
      </c>
      <c r="H60" s="32" t="s">
        <v>35</v>
      </c>
      <c r="I60" t="s">
        <v>35</v>
      </c>
      <c r="J60" t="s">
        <v>35</v>
      </c>
      <c r="K60" t="s">
        <v>35</v>
      </c>
      <c r="L60" s="29"/>
      <c r="M60" s="30">
        <v>1</v>
      </c>
      <c r="N60" s="30">
        <v>0</v>
      </c>
      <c r="O60" s="31">
        <v>8500</v>
      </c>
      <c r="P60" s="31">
        <v>136000</v>
      </c>
    </row>
    <row r="61" spans="1:16" x14ac:dyDescent="0.25">
      <c r="A61" t="s">
        <v>462</v>
      </c>
      <c r="B61" t="s">
        <v>456</v>
      </c>
      <c r="C61" t="s">
        <v>555</v>
      </c>
      <c r="D61" t="s">
        <v>457</v>
      </c>
      <c r="E61" s="32" t="s">
        <v>459</v>
      </c>
      <c r="F61" s="32" t="s">
        <v>35</v>
      </c>
      <c r="G61" s="32" t="s">
        <v>35</v>
      </c>
      <c r="H61" s="32" t="s">
        <v>35</v>
      </c>
      <c r="I61" t="s">
        <v>35</v>
      </c>
      <c r="J61" t="s">
        <v>35</v>
      </c>
      <c r="K61" t="s">
        <v>35</v>
      </c>
      <c r="L61" s="29"/>
      <c r="M61" s="30">
        <v>1</v>
      </c>
      <c r="N61" s="30">
        <v>1</v>
      </c>
      <c r="O61" s="31">
        <v>40000</v>
      </c>
      <c r="P61" s="31">
        <v>40000</v>
      </c>
    </row>
    <row r="62" spans="1:16" x14ac:dyDescent="0.25">
      <c r="A62" t="s">
        <v>469</v>
      </c>
      <c r="B62" t="s">
        <v>463</v>
      </c>
      <c r="C62" t="s">
        <v>555</v>
      </c>
      <c r="D62" t="s">
        <v>464</v>
      </c>
      <c r="E62" s="32" t="s">
        <v>466</v>
      </c>
      <c r="F62" s="32" t="s">
        <v>35</v>
      </c>
      <c r="G62" s="32" t="s">
        <v>35</v>
      </c>
      <c r="H62" s="32" t="s">
        <v>35</v>
      </c>
      <c r="I62" t="s">
        <v>35</v>
      </c>
      <c r="J62" t="s">
        <v>35</v>
      </c>
      <c r="K62" t="s">
        <v>35</v>
      </c>
      <c r="L62" s="29"/>
      <c r="M62" s="30">
        <v>1</v>
      </c>
      <c r="N62" s="30">
        <v>1</v>
      </c>
      <c r="O62" s="31">
        <v>27323</v>
      </c>
      <c r="P62" s="31">
        <v>77000</v>
      </c>
    </row>
    <row r="63" spans="1:16" x14ac:dyDescent="0.25">
      <c r="A63" t="s">
        <v>475</v>
      </c>
      <c r="B63" t="s">
        <v>470</v>
      </c>
      <c r="C63" t="s">
        <v>554</v>
      </c>
      <c r="D63" t="s">
        <v>35</v>
      </c>
      <c r="E63" s="32" t="s">
        <v>472</v>
      </c>
      <c r="F63" s="32" t="s">
        <v>35</v>
      </c>
      <c r="G63" s="32" t="s">
        <v>35</v>
      </c>
      <c r="H63" s="32" t="s">
        <v>35</v>
      </c>
      <c r="I63" t="s">
        <v>35</v>
      </c>
      <c r="J63" t="s">
        <v>35</v>
      </c>
      <c r="K63" t="s">
        <v>35</v>
      </c>
      <c r="L63" s="29"/>
      <c r="M63" s="30">
        <v>1</v>
      </c>
      <c r="N63" s="30">
        <v>0</v>
      </c>
      <c r="O63" s="31">
        <v>46484</v>
      </c>
      <c r="P63" s="31">
        <v>55000</v>
      </c>
    </row>
    <row r="64" spans="1:16" x14ac:dyDescent="0.25">
      <c r="A64" t="s">
        <v>483</v>
      </c>
      <c r="B64" t="s">
        <v>476</v>
      </c>
      <c r="C64" t="s">
        <v>555</v>
      </c>
      <c r="D64" t="s">
        <v>477</v>
      </c>
      <c r="E64" s="32" t="s">
        <v>480</v>
      </c>
      <c r="F64" s="32" t="s">
        <v>479</v>
      </c>
      <c r="G64" s="32" t="s">
        <v>35</v>
      </c>
      <c r="H64" s="32" t="s">
        <v>35</v>
      </c>
      <c r="I64" t="s">
        <v>35</v>
      </c>
      <c r="J64" t="s">
        <v>35</v>
      </c>
      <c r="K64" t="s">
        <v>35</v>
      </c>
      <c r="L64" s="29"/>
      <c r="M64" s="30">
        <v>1</v>
      </c>
      <c r="N64" s="30">
        <v>0</v>
      </c>
      <c r="O64" s="31">
        <v>10890</v>
      </c>
      <c r="P64" s="31">
        <v>65340</v>
      </c>
    </row>
    <row r="65" spans="1:16" x14ac:dyDescent="0.25">
      <c r="A65" t="s">
        <v>490</v>
      </c>
      <c r="B65" t="s">
        <v>484</v>
      </c>
      <c r="C65" t="s">
        <v>555</v>
      </c>
      <c r="D65" t="s">
        <v>485</v>
      </c>
      <c r="E65" s="32" t="s">
        <v>487</v>
      </c>
      <c r="F65" s="32" t="s">
        <v>35</v>
      </c>
      <c r="G65" s="32" t="s">
        <v>35</v>
      </c>
      <c r="H65" s="32" t="s">
        <v>35</v>
      </c>
      <c r="I65" t="s">
        <v>35</v>
      </c>
      <c r="J65" t="s">
        <v>35</v>
      </c>
      <c r="K65" t="s">
        <v>35</v>
      </c>
      <c r="L65" s="29"/>
      <c r="M65" s="30">
        <v>2</v>
      </c>
      <c r="N65" s="30">
        <v>0</v>
      </c>
      <c r="O65" s="31">
        <v>13000</v>
      </c>
      <c r="P65" s="31">
        <v>208000</v>
      </c>
    </row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</sheetData>
  <autoFilter ref="A1:P65"/>
  <dataValidations count="2">
    <dataValidation type="list" allowBlank="1" showErrorMessage="1" errorTitle="قيمة غير مسموحة" error="اختر من القائمة: فرد / شركة" sqref="C10:C200">
      <formula1>"فرد,شركة"</formula1>
    </dataValidation>
    <dataValidation type="list" allowBlank="1" showErrorMessage="1" errorTitle="قيمة غير مسموحة" error="اختر من القائمة: فرد / شركة" sqref="C2:C200">
      <formula1>"فرد,شركة"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0"/>
  <sheetViews>
    <sheetView workbookViewId="0" rightToLeft="1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4" customWidth="1"/>
    <col min="5" max="5" width="12" customWidth="1"/>
    <col min="6" max="6" width="30" customWidth="1"/>
    <col min="7" max="8" width="12" customWidth="1"/>
    <col min="9" max="9" width="16" customWidth="1"/>
    <col min="10" max="10" width="10" customWidth="1"/>
    <col min="11" max="11" width="22" customWidth="1"/>
    <col min="12" max="12" width="12" customWidth="1"/>
    <col min="13" max="13" width="14" customWidth="1"/>
    <col min="14" max="14" width="10" customWidth="1"/>
    <col min="15" max="15" width="12" customWidth="1"/>
    <col min="16" max="16" width="36" customWidth="1"/>
    <col min="17" max="17" width="10" customWidth="1"/>
    <col min="18" max="18" width="12" customWidth="1"/>
    <col min="19" max="19" width="16" customWidth="1"/>
    <col min="20" max="22" width="14" customWidth="1"/>
    <col min="23" max="23" width="60" customWidth="1"/>
  </cols>
  <sheetData>
    <row r="1" ht="28" customHeight="1" spans="1:23" x14ac:dyDescent="0.25">
      <c r="A1" s="3" t="s">
        <v>26</v>
      </c>
      <c r="B1" s="3" t="s">
        <v>27</v>
      </c>
      <c r="C1" s="3" t="s">
        <v>28</v>
      </c>
      <c r="D1" s="3" t="s">
        <v>3</v>
      </c>
      <c r="E1" s="3" t="s">
        <v>6</v>
      </c>
      <c r="F1" s="3" t="s">
        <v>556</v>
      </c>
      <c r="G1" s="3" t="s">
        <v>557</v>
      </c>
      <c r="H1" s="3" t="s">
        <v>558</v>
      </c>
      <c r="I1" s="3" t="s">
        <v>559</v>
      </c>
      <c r="J1" s="3" t="s">
        <v>560</v>
      </c>
      <c r="K1" s="3" t="s">
        <v>561</v>
      </c>
      <c r="L1" s="3" t="s">
        <v>562</v>
      </c>
      <c r="M1" s="3" t="s">
        <v>563</v>
      </c>
      <c r="N1" s="3" t="s">
        <v>564</v>
      </c>
      <c r="O1" s="3" t="s">
        <v>565</v>
      </c>
      <c r="P1" s="3" t="s">
        <v>25</v>
      </c>
      <c r="Q1" s="3" t="s">
        <v>566</v>
      </c>
      <c r="R1" s="3" t="s">
        <v>504</v>
      </c>
      <c r="S1" s="3" t="s">
        <v>515</v>
      </c>
      <c r="T1" s="3" t="s">
        <v>518</v>
      </c>
      <c r="U1" s="3" t="s">
        <v>567</v>
      </c>
      <c r="V1" s="3" t="s">
        <v>508</v>
      </c>
      <c r="W1" s="3" t="s">
        <v>568</v>
      </c>
    </row>
    <row r="2" spans="1:23" x14ac:dyDescent="0.25">
      <c r="A2" t="s">
        <v>37</v>
      </c>
      <c r="B2" t="s">
        <v>38</v>
      </c>
      <c r="C2" t="s">
        <v>39</v>
      </c>
      <c r="D2" s="30" t="s">
        <v>30</v>
      </c>
      <c r="E2" s="30" t="s">
        <v>33</v>
      </c>
      <c r="F2" s="30" t="s">
        <v>31</v>
      </c>
      <c r="G2" s="29">
        <v>45078</v>
      </c>
      <c r="H2" s="29">
        <v>46173</v>
      </c>
      <c r="I2" s="25">
        <v>12705</v>
      </c>
      <c r="J2">
        <v>0</v>
      </c>
      <c r="K2" t="s">
        <v>569</v>
      </c>
      <c r="L2" s="25">
        <v>0</v>
      </c>
      <c r="M2" t="s">
        <v>570</v>
      </c>
      <c r="N2">
        <v>1</v>
      </c>
      <c r="O2" t="s">
        <v>35</v>
      </c>
      <c r="P2" t="s">
        <v>35</v>
      </c>
      <c r="Q2">
        <v>1</v>
      </c>
      <c r="R2" s="29"/>
      <c r="S2" s="30" t="s">
        <v>571</v>
      </c>
      <c r="T2" s="31">
        <v>12705</v>
      </c>
      <c r="U2" s="31">
        <v>63525</v>
      </c>
      <c r="V2" s="31">
        <v>0</v>
      </c>
      <c r="W2" s="30" t="s">
        <v>572</v>
      </c>
    </row>
    <row r="3" spans="1:23" x14ac:dyDescent="0.25">
      <c r="A3" t="s">
        <v>44</v>
      </c>
      <c r="B3" t="s">
        <v>45</v>
      </c>
      <c r="C3" t="s">
        <v>46</v>
      </c>
      <c r="D3" s="30" t="s">
        <v>30</v>
      </c>
      <c r="E3" s="30" t="s">
        <v>33</v>
      </c>
      <c r="F3" s="30" t="s">
        <v>41</v>
      </c>
      <c r="G3" s="29">
        <v>45778</v>
      </c>
      <c r="H3" s="29">
        <v>46142</v>
      </c>
      <c r="I3" s="25">
        <v>30500</v>
      </c>
      <c r="J3">
        <v>0</v>
      </c>
      <c r="K3" t="s">
        <v>35</v>
      </c>
      <c r="L3" s="25">
        <v>0</v>
      </c>
      <c r="M3" t="s">
        <v>570</v>
      </c>
      <c r="N3">
        <v>1</v>
      </c>
      <c r="O3" t="s">
        <v>35</v>
      </c>
      <c r="P3" t="s">
        <v>35</v>
      </c>
      <c r="Q3">
        <v>2</v>
      </c>
      <c r="R3" s="29"/>
      <c r="S3" s="30" t="s">
        <v>571</v>
      </c>
      <c r="T3" s="31">
        <v>30500</v>
      </c>
      <c r="U3" s="31">
        <v>122000</v>
      </c>
      <c r="V3" s="31">
        <v>0</v>
      </c>
      <c r="W3" s="30" t="s">
        <v>573</v>
      </c>
    </row>
    <row r="4" spans="1:23" x14ac:dyDescent="0.25">
      <c r="A4" t="s">
        <v>52</v>
      </c>
      <c r="B4" t="s">
        <v>53</v>
      </c>
      <c r="C4" t="s">
        <v>54</v>
      </c>
      <c r="D4" s="30" t="s">
        <v>30</v>
      </c>
      <c r="E4" s="30" t="s">
        <v>49</v>
      </c>
      <c r="F4" s="30" t="s">
        <v>47</v>
      </c>
      <c r="G4" s="29">
        <v>45432</v>
      </c>
      <c r="H4" s="29">
        <v>46526</v>
      </c>
      <c r="I4" s="25">
        <v>41000</v>
      </c>
      <c r="J4">
        <v>10</v>
      </c>
      <c r="K4" t="s">
        <v>574</v>
      </c>
      <c r="L4" s="25">
        <v>0</v>
      </c>
      <c r="M4" t="s">
        <v>570</v>
      </c>
      <c r="N4">
        <v>1</v>
      </c>
      <c r="O4" t="s">
        <v>35</v>
      </c>
      <c r="P4" t="s">
        <v>35</v>
      </c>
      <c r="Q4">
        <v>3</v>
      </c>
      <c r="R4" s="29"/>
      <c r="S4" s="30" t="s">
        <v>575</v>
      </c>
      <c r="T4" s="31">
        <v>49610</v>
      </c>
      <c r="U4" s="31">
        <v>375833</v>
      </c>
      <c r="V4" s="31">
        <v>99463</v>
      </c>
      <c r="W4" s="30" t="s">
        <v>576</v>
      </c>
    </row>
    <row r="5" spans="1:23" x14ac:dyDescent="0.25">
      <c r="A5" t="s">
        <v>59</v>
      </c>
      <c r="B5" t="s">
        <v>60</v>
      </c>
      <c r="C5" t="s">
        <v>61</v>
      </c>
      <c r="D5" s="30" t="s">
        <v>30</v>
      </c>
      <c r="E5" s="30" t="s">
        <v>57</v>
      </c>
      <c r="F5" s="30" t="s">
        <v>55</v>
      </c>
      <c r="G5" s="29">
        <v>45444</v>
      </c>
      <c r="H5" s="29">
        <v>46173</v>
      </c>
      <c r="I5" s="25">
        <v>41800</v>
      </c>
      <c r="J5">
        <v>0</v>
      </c>
      <c r="K5" t="s">
        <v>577</v>
      </c>
      <c r="L5" s="25">
        <v>0</v>
      </c>
      <c r="M5" t="s">
        <v>570</v>
      </c>
      <c r="N5">
        <v>1</v>
      </c>
      <c r="O5" t="s">
        <v>35</v>
      </c>
      <c r="P5" t="s">
        <v>35</v>
      </c>
      <c r="Q5">
        <v>4</v>
      </c>
      <c r="R5" s="29"/>
      <c r="S5" s="30" t="s">
        <v>571</v>
      </c>
      <c r="T5" s="31">
        <v>41800</v>
      </c>
      <c r="U5" s="31">
        <v>209000</v>
      </c>
      <c r="V5" s="31">
        <v>0</v>
      </c>
      <c r="W5" s="30" t="s">
        <v>578</v>
      </c>
    </row>
    <row r="6" spans="1:23" x14ac:dyDescent="0.25">
      <c r="A6" t="s">
        <v>63</v>
      </c>
      <c r="B6" t="s">
        <v>64</v>
      </c>
      <c r="C6" t="s">
        <v>54</v>
      </c>
      <c r="D6" s="30" t="s">
        <v>30</v>
      </c>
      <c r="E6" s="30" t="s">
        <v>62</v>
      </c>
      <c r="F6" s="30" t="s">
        <v>47</v>
      </c>
      <c r="G6" s="29">
        <v>45352</v>
      </c>
      <c r="H6" s="29">
        <v>46446</v>
      </c>
      <c r="I6" s="25">
        <v>76000</v>
      </c>
      <c r="J6">
        <v>10</v>
      </c>
      <c r="K6" t="s">
        <v>579</v>
      </c>
      <c r="L6" s="25">
        <v>0</v>
      </c>
      <c r="M6" t="s">
        <v>570</v>
      </c>
      <c r="N6">
        <v>1</v>
      </c>
      <c r="O6" t="s">
        <v>35</v>
      </c>
      <c r="P6" t="s">
        <v>35</v>
      </c>
      <c r="Q6">
        <v>5</v>
      </c>
      <c r="R6" s="29"/>
      <c r="S6" s="30" t="s">
        <v>575</v>
      </c>
      <c r="T6" s="31">
        <v>91960</v>
      </c>
      <c r="U6" s="31">
        <v>718960</v>
      </c>
      <c r="V6" s="31">
        <v>183920</v>
      </c>
      <c r="W6" s="30" t="s">
        <v>580</v>
      </c>
    </row>
    <row r="7" spans="1:23" x14ac:dyDescent="0.25">
      <c r="A7" t="s">
        <v>70</v>
      </c>
      <c r="B7" t="s">
        <v>71</v>
      </c>
      <c r="C7" t="s">
        <v>72</v>
      </c>
      <c r="D7" s="30" t="s">
        <v>30</v>
      </c>
      <c r="E7" s="30" t="s">
        <v>67</v>
      </c>
      <c r="F7" s="30" t="s">
        <v>65</v>
      </c>
      <c r="G7" s="29">
        <v>45158</v>
      </c>
      <c r="H7" s="29">
        <v>46253</v>
      </c>
      <c r="I7" s="25">
        <v>30250</v>
      </c>
      <c r="J7">
        <v>0</v>
      </c>
      <c r="K7" t="s">
        <v>581</v>
      </c>
      <c r="L7" s="25">
        <v>0</v>
      </c>
      <c r="M7" t="s">
        <v>570</v>
      </c>
      <c r="N7">
        <v>1</v>
      </c>
      <c r="O7" t="s">
        <v>35</v>
      </c>
      <c r="P7" t="s">
        <v>35</v>
      </c>
      <c r="Q7">
        <v>6</v>
      </c>
      <c r="R7" s="29"/>
      <c r="S7" s="30" t="s">
        <v>571</v>
      </c>
      <c r="T7" s="31">
        <v>30250</v>
      </c>
      <c r="U7" s="31">
        <v>255840</v>
      </c>
      <c r="V7" s="31">
        <v>0</v>
      </c>
      <c r="W7" s="30" t="s">
        <v>582</v>
      </c>
    </row>
    <row r="8" spans="1:23" x14ac:dyDescent="0.25">
      <c r="A8" t="s">
        <v>76</v>
      </c>
      <c r="B8" t="s">
        <v>77</v>
      </c>
      <c r="C8" t="s">
        <v>78</v>
      </c>
      <c r="D8" s="30" t="s">
        <v>30</v>
      </c>
      <c r="E8" s="30" t="s">
        <v>74</v>
      </c>
      <c r="F8" s="30" t="s">
        <v>73</v>
      </c>
      <c r="G8" s="29">
        <v>45017</v>
      </c>
      <c r="H8" s="29">
        <v>46112</v>
      </c>
      <c r="I8" s="25">
        <v>24330</v>
      </c>
      <c r="J8">
        <v>0</v>
      </c>
      <c r="K8" t="s">
        <v>583</v>
      </c>
      <c r="L8" s="25">
        <v>0</v>
      </c>
      <c r="M8" t="s">
        <v>570</v>
      </c>
      <c r="N8">
        <v>1</v>
      </c>
      <c r="O8" t="s">
        <v>35</v>
      </c>
      <c r="P8" t="s">
        <v>35</v>
      </c>
      <c r="Q8">
        <v>7</v>
      </c>
      <c r="R8" s="29"/>
      <c r="S8" s="30" t="s">
        <v>571</v>
      </c>
      <c r="T8" s="31">
        <v>24330</v>
      </c>
      <c r="U8" s="31">
        <v>72990</v>
      </c>
      <c r="V8" s="31">
        <v>0</v>
      </c>
      <c r="W8" s="30" t="s">
        <v>584</v>
      </c>
    </row>
    <row r="9" spans="1:23" x14ac:dyDescent="0.25">
      <c r="A9" t="s">
        <v>86</v>
      </c>
      <c r="B9" t="s">
        <v>87</v>
      </c>
      <c r="C9" t="s">
        <v>88</v>
      </c>
      <c r="D9" s="30" t="s">
        <v>79</v>
      </c>
      <c r="E9" s="30" t="s">
        <v>82</v>
      </c>
      <c r="F9" s="30" t="s">
        <v>80</v>
      </c>
      <c r="G9" s="29">
        <v>45139</v>
      </c>
      <c r="H9" s="29">
        <v>46965</v>
      </c>
      <c r="I9" s="25">
        <v>35000</v>
      </c>
      <c r="J9">
        <v>10</v>
      </c>
      <c r="K9" t="s">
        <v>585</v>
      </c>
      <c r="L9" s="25">
        <v>0</v>
      </c>
      <c r="M9" t="s">
        <v>570</v>
      </c>
      <c r="N9">
        <v>1</v>
      </c>
      <c r="O9" t="s">
        <v>35</v>
      </c>
      <c r="P9" t="s">
        <v>35</v>
      </c>
      <c r="Q9">
        <v>8</v>
      </c>
      <c r="R9" s="29"/>
      <c r="S9" s="30" t="s">
        <v>575</v>
      </c>
      <c r="T9" s="31">
        <v>46585</v>
      </c>
      <c r="U9" s="31">
        <v>343035</v>
      </c>
      <c r="V9" s="31">
        <v>93170</v>
      </c>
      <c r="W9" s="30" t="s">
        <v>586</v>
      </c>
    </row>
    <row r="10" spans="1:23" x14ac:dyDescent="0.25">
      <c r="A10" t="s">
        <v>95</v>
      </c>
      <c r="B10" t="s">
        <v>96</v>
      </c>
      <c r="C10" t="s">
        <v>97</v>
      </c>
      <c r="D10" s="30" t="s">
        <v>79</v>
      </c>
      <c r="E10" s="30" t="s">
        <v>92</v>
      </c>
      <c r="F10" s="30" t="s">
        <v>90</v>
      </c>
      <c r="G10" s="29">
        <v>45242</v>
      </c>
      <c r="H10" s="29">
        <v>46337</v>
      </c>
      <c r="I10" s="25">
        <v>25410</v>
      </c>
      <c r="J10">
        <v>0</v>
      </c>
      <c r="K10" t="s">
        <v>587</v>
      </c>
      <c r="L10" s="25">
        <v>0</v>
      </c>
      <c r="M10" t="s">
        <v>570</v>
      </c>
      <c r="N10">
        <v>1</v>
      </c>
      <c r="O10" t="s">
        <v>35</v>
      </c>
      <c r="P10" t="s">
        <v>35</v>
      </c>
      <c r="Q10">
        <v>9</v>
      </c>
      <c r="R10" s="29"/>
      <c r="S10" s="30" t="s">
        <v>575</v>
      </c>
      <c r="T10" s="31">
        <v>25410</v>
      </c>
      <c r="U10" s="31">
        <v>203280</v>
      </c>
      <c r="V10" s="31">
        <v>50820</v>
      </c>
      <c r="W10" s="30" t="s">
        <v>588</v>
      </c>
    </row>
    <row r="11" spans="1:23" x14ac:dyDescent="0.25">
      <c r="A11" t="s">
        <v>103</v>
      </c>
      <c r="B11" t="s">
        <v>104</v>
      </c>
      <c r="C11" t="s">
        <v>105</v>
      </c>
      <c r="D11" s="30" t="s">
        <v>79</v>
      </c>
      <c r="E11" s="30" t="s">
        <v>100</v>
      </c>
      <c r="F11" s="30" t="s">
        <v>98</v>
      </c>
      <c r="G11" s="29">
        <v>45231</v>
      </c>
      <c r="H11" s="29">
        <v>46326</v>
      </c>
      <c r="I11" s="25">
        <v>46585</v>
      </c>
      <c r="J11">
        <v>0</v>
      </c>
      <c r="K11" t="s">
        <v>589</v>
      </c>
      <c r="L11" s="25">
        <v>0</v>
      </c>
      <c r="M11" t="s">
        <v>570</v>
      </c>
      <c r="N11">
        <v>1</v>
      </c>
      <c r="O11" t="s">
        <v>35</v>
      </c>
      <c r="P11" t="s">
        <v>35</v>
      </c>
      <c r="Q11">
        <v>10</v>
      </c>
      <c r="R11" s="29"/>
      <c r="S11" s="30" t="s">
        <v>575</v>
      </c>
      <c r="T11" s="31">
        <v>46585</v>
      </c>
      <c r="U11" s="31">
        <v>372680</v>
      </c>
      <c r="V11" s="31">
        <v>93170</v>
      </c>
      <c r="W11" s="30" t="s">
        <v>590</v>
      </c>
    </row>
    <row r="12" spans="1:23" x14ac:dyDescent="0.25">
      <c r="A12" t="s">
        <v>109</v>
      </c>
      <c r="B12" t="s">
        <v>110</v>
      </c>
      <c r="C12" t="s">
        <v>111</v>
      </c>
      <c r="D12" s="30" t="s">
        <v>79</v>
      </c>
      <c r="E12" s="30" t="s">
        <v>107</v>
      </c>
      <c r="F12" s="30" t="s">
        <v>106</v>
      </c>
      <c r="G12" s="29">
        <v>46143</v>
      </c>
      <c r="H12" s="29">
        <v>46507</v>
      </c>
      <c r="I12" s="25">
        <v>37000</v>
      </c>
      <c r="J12">
        <v>0</v>
      </c>
      <c r="K12" t="s">
        <v>35</v>
      </c>
      <c r="L12" s="25">
        <v>0</v>
      </c>
      <c r="M12" t="s">
        <v>570</v>
      </c>
      <c r="N12">
        <v>1</v>
      </c>
      <c r="O12" t="s">
        <v>35</v>
      </c>
      <c r="P12" t="s">
        <v>35</v>
      </c>
      <c r="Q12">
        <v>11</v>
      </c>
      <c r="R12" s="29"/>
      <c r="S12" s="30" t="s">
        <v>575</v>
      </c>
      <c r="T12" s="31">
        <v>37000</v>
      </c>
      <c r="U12" s="31">
        <v>239960</v>
      </c>
      <c r="V12" s="31">
        <v>74000</v>
      </c>
      <c r="W12" s="30" t="s">
        <v>591</v>
      </c>
    </row>
    <row r="13" spans="1:23" x14ac:dyDescent="0.25">
      <c r="A13" t="s">
        <v>115</v>
      </c>
      <c r="B13" t="s">
        <v>116</v>
      </c>
      <c r="C13" t="s">
        <v>117</v>
      </c>
      <c r="D13" s="30" t="s">
        <v>79</v>
      </c>
      <c r="E13" s="30" t="s">
        <v>113</v>
      </c>
      <c r="F13" s="30" t="s">
        <v>112</v>
      </c>
      <c r="G13" s="29">
        <v>46143</v>
      </c>
      <c r="H13" s="29">
        <v>46507</v>
      </c>
      <c r="I13" s="25">
        <v>38500</v>
      </c>
      <c r="J13">
        <v>0</v>
      </c>
      <c r="K13" t="s">
        <v>35</v>
      </c>
      <c r="L13" s="25">
        <v>0</v>
      </c>
      <c r="M13" t="s">
        <v>570</v>
      </c>
      <c r="N13">
        <v>1</v>
      </c>
      <c r="O13" t="s">
        <v>35</v>
      </c>
      <c r="P13" t="s">
        <v>35</v>
      </c>
      <c r="Q13">
        <v>12</v>
      </c>
      <c r="R13" s="29"/>
      <c r="S13" s="30" t="s">
        <v>575</v>
      </c>
      <c r="T13" s="31">
        <v>38500</v>
      </c>
      <c r="U13" s="31">
        <v>293000</v>
      </c>
      <c r="V13" s="31">
        <v>78000</v>
      </c>
      <c r="W13" s="30" t="s">
        <v>592</v>
      </c>
    </row>
    <row r="14" spans="1:23" x14ac:dyDescent="0.25">
      <c r="A14" t="s">
        <v>123</v>
      </c>
      <c r="B14" t="s">
        <v>124</v>
      </c>
      <c r="C14" t="s">
        <v>125</v>
      </c>
      <c r="D14" s="30" t="s">
        <v>79</v>
      </c>
      <c r="E14" s="30" t="s">
        <v>120</v>
      </c>
      <c r="F14" s="30" t="s">
        <v>118</v>
      </c>
      <c r="G14" s="29">
        <v>45870</v>
      </c>
      <c r="H14" s="29">
        <v>46965</v>
      </c>
      <c r="I14" s="25">
        <v>43000</v>
      </c>
      <c r="J14">
        <v>15</v>
      </c>
      <c r="K14" t="s">
        <v>593</v>
      </c>
      <c r="L14" s="25">
        <v>0</v>
      </c>
      <c r="M14" t="s">
        <v>570</v>
      </c>
      <c r="N14">
        <v>1</v>
      </c>
      <c r="O14" t="s">
        <v>35</v>
      </c>
      <c r="P14" t="s">
        <v>35</v>
      </c>
      <c r="Q14">
        <v>13</v>
      </c>
      <c r="R14" s="29"/>
      <c r="S14" s="30" t="s">
        <v>575</v>
      </c>
      <c r="T14" s="31">
        <v>49450</v>
      </c>
      <c r="U14" s="31">
        <v>350450</v>
      </c>
      <c r="V14" s="31">
        <v>98900</v>
      </c>
      <c r="W14" s="30" t="s">
        <v>594</v>
      </c>
    </row>
    <row r="15" spans="1:23" x14ac:dyDescent="0.25">
      <c r="A15" t="s">
        <v>127</v>
      </c>
      <c r="B15" t="s">
        <v>128</v>
      </c>
      <c r="C15" t="s">
        <v>125</v>
      </c>
      <c r="D15" s="30" t="s">
        <v>79</v>
      </c>
      <c r="E15" s="30" t="s">
        <v>126</v>
      </c>
      <c r="F15" s="30" t="s">
        <v>118</v>
      </c>
      <c r="G15" s="29">
        <v>45474</v>
      </c>
      <c r="H15" s="29">
        <v>46568</v>
      </c>
      <c r="I15" s="25">
        <v>23000</v>
      </c>
      <c r="J15">
        <v>10</v>
      </c>
      <c r="K15" t="s">
        <v>595</v>
      </c>
      <c r="L15" s="25">
        <v>0</v>
      </c>
      <c r="M15" t="s">
        <v>570</v>
      </c>
      <c r="N15">
        <v>1</v>
      </c>
      <c r="O15" t="s">
        <v>35</v>
      </c>
      <c r="P15" t="s">
        <v>35</v>
      </c>
      <c r="Q15">
        <v>14</v>
      </c>
      <c r="R15" s="29"/>
      <c r="S15" s="30" t="s">
        <v>575</v>
      </c>
      <c r="T15" s="31">
        <v>27830</v>
      </c>
      <c r="U15" s="31">
        <v>207460</v>
      </c>
      <c r="V15" s="31">
        <v>55660</v>
      </c>
      <c r="W15" s="30" t="s">
        <v>596</v>
      </c>
    </row>
    <row r="16" spans="1:23" x14ac:dyDescent="0.25">
      <c r="A16" t="s">
        <v>133</v>
      </c>
      <c r="B16" t="s">
        <v>134</v>
      </c>
      <c r="C16" t="s">
        <v>135</v>
      </c>
      <c r="D16" s="30" t="s">
        <v>79</v>
      </c>
      <c r="E16" s="30" t="s">
        <v>131</v>
      </c>
      <c r="F16" s="30" t="s">
        <v>129</v>
      </c>
      <c r="G16" s="29">
        <v>45668</v>
      </c>
      <c r="H16" s="29">
        <v>46397</v>
      </c>
      <c r="I16" s="25">
        <v>37665</v>
      </c>
      <c r="J16">
        <v>0</v>
      </c>
      <c r="K16" t="s">
        <v>597</v>
      </c>
      <c r="L16" s="25">
        <v>0</v>
      </c>
      <c r="M16" t="s">
        <v>570</v>
      </c>
      <c r="N16">
        <v>1</v>
      </c>
      <c r="O16" t="s">
        <v>35</v>
      </c>
      <c r="P16" t="s">
        <v>35</v>
      </c>
      <c r="Q16">
        <v>15</v>
      </c>
      <c r="R16" s="29"/>
      <c r="S16" s="30" t="s">
        <v>575</v>
      </c>
      <c r="T16" s="31">
        <v>37665</v>
      </c>
      <c r="U16" s="31">
        <v>299680</v>
      </c>
      <c r="V16" s="31">
        <v>76970</v>
      </c>
      <c r="W16" s="30" t="s">
        <v>598</v>
      </c>
    </row>
    <row r="17" spans="1:23" x14ac:dyDescent="0.25">
      <c r="A17" t="s">
        <v>140</v>
      </c>
      <c r="B17" t="s">
        <v>141</v>
      </c>
      <c r="C17" t="s">
        <v>142</v>
      </c>
      <c r="D17" s="30" t="s">
        <v>79</v>
      </c>
      <c r="E17" s="30" t="s">
        <v>138</v>
      </c>
      <c r="F17" s="30" t="s">
        <v>136</v>
      </c>
      <c r="G17" s="29">
        <v>45292</v>
      </c>
      <c r="H17" s="29">
        <v>46387</v>
      </c>
      <c r="I17" s="25">
        <v>30250</v>
      </c>
      <c r="J17">
        <v>0</v>
      </c>
      <c r="K17" t="s">
        <v>581</v>
      </c>
      <c r="L17" s="25">
        <v>0</v>
      </c>
      <c r="M17" t="s">
        <v>570</v>
      </c>
      <c r="N17">
        <v>1</v>
      </c>
      <c r="O17" t="s">
        <v>35</v>
      </c>
      <c r="P17" t="s">
        <v>35</v>
      </c>
      <c r="Q17">
        <v>16</v>
      </c>
      <c r="R17" s="29"/>
      <c r="S17" s="30" t="s">
        <v>575</v>
      </c>
      <c r="T17" s="31">
        <v>30250</v>
      </c>
      <c r="U17" s="31">
        <v>242000</v>
      </c>
      <c r="V17" s="31">
        <v>60500</v>
      </c>
      <c r="W17" s="30" t="s">
        <v>599</v>
      </c>
    </row>
    <row r="18" spans="1:23" x14ac:dyDescent="0.25">
      <c r="A18" t="s">
        <v>146</v>
      </c>
      <c r="B18" t="s">
        <v>147</v>
      </c>
      <c r="C18" t="s">
        <v>148</v>
      </c>
      <c r="D18" s="30" t="s">
        <v>79</v>
      </c>
      <c r="E18" s="30" t="s">
        <v>144</v>
      </c>
      <c r="F18" s="30" t="s">
        <v>143</v>
      </c>
      <c r="G18" s="29">
        <v>45170</v>
      </c>
      <c r="H18" s="29">
        <v>46265</v>
      </c>
      <c r="I18" s="25">
        <v>19060</v>
      </c>
      <c r="J18">
        <v>0</v>
      </c>
      <c r="K18" t="s">
        <v>600</v>
      </c>
      <c r="L18" s="25">
        <v>0</v>
      </c>
      <c r="M18" t="s">
        <v>570</v>
      </c>
      <c r="N18">
        <v>1</v>
      </c>
      <c r="O18" t="s">
        <v>35</v>
      </c>
      <c r="P18" t="s">
        <v>35</v>
      </c>
      <c r="Q18">
        <v>17</v>
      </c>
      <c r="R18" s="29"/>
      <c r="S18" s="30" t="s">
        <v>571</v>
      </c>
      <c r="T18" s="31">
        <v>19060</v>
      </c>
      <c r="U18" s="31">
        <v>152480</v>
      </c>
      <c r="V18" s="31">
        <v>0</v>
      </c>
      <c r="W18" s="30" t="s">
        <v>601</v>
      </c>
    </row>
    <row r="19" spans="1:23" x14ac:dyDescent="0.25">
      <c r="A19" t="s">
        <v>153</v>
      </c>
      <c r="B19" t="s">
        <v>154</v>
      </c>
      <c r="C19" t="s">
        <v>155</v>
      </c>
      <c r="D19" s="30" t="s">
        <v>79</v>
      </c>
      <c r="E19" s="30" t="s">
        <v>151</v>
      </c>
      <c r="F19" s="30" t="s">
        <v>149</v>
      </c>
      <c r="G19" s="29">
        <v>45200</v>
      </c>
      <c r="H19" s="29">
        <v>46295</v>
      </c>
      <c r="I19" s="25">
        <v>20570</v>
      </c>
      <c r="J19">
        <v>0</v>
      </c>
      <c r="K19" t="s">
        <v>602</v>
      </c>
      <c r="L19" s="25">
        <v>0</v>
      </c>
      <c r="M19" t="s">
        <v>570</v>
      </c>
      <c r="N19">
        <v>1</v>
      </c>
      <c r="O19" t="s">
        <v>35</v>
      </c>
      <c r="P19" t="s">
        <v>35</v>
      </c>
      <c r="Q19">
        <v>18</v>
      </c>
      <c r="R19" s="29"/>
      <c r="S19" s="30" t="s">
        <v>571</v>
      </c>
      <c r="T19" s="31">
        <v>20570</v>
      </c>
      <c r="U19" s="31">
        <v>164560</v>
      </c>
      <c r="V19" s="31">
        <v>20570</v>
      </c>
      <c r="W19" s="30" t="s">
        <v>603</v>
      </c>
    </row>
    <row r="20" spans="1:23" x14ac:dyDescent="0.25">
      <c r="A20" t="s">
        <v>159</v>
      </c>
      <c r="B20" t="s">
        <v>160</v>
      </c>
      <c r="C20" t="s">
        <v>161</v>
      </c>
      <c r="D20" s="30" t="s">
        <v>79</v>
      </c>
      <c r="E20" s="30" t="s">
        <v>157</v>
      </c>
      <c r="F20" s="30" t="s">
        <v>156</v>
      </c>
      <c r="G20" s="29">
        <v>45231</v>
      </c>
      <c r="H20" s="29">
        <v>46326</v>
      </c>
      <c r="I20" s="25">
        <v>25410</v>
      </c>
      <c r="J20">
        <v>0</v>
      </c>
      <c r="K20" t="s">
        <v>587</v>
      </c>
      <c r="L20" s="25">
        <v>0</v>
      </c>
      <c r="M20" t="s">
        <v>570</v>
      </c>
      <c r="N20">
        <v>1</v>
      </c>
      <c r="O20" t="s">
        <v>35</v>
      </c>
      <c r="P20" t="s">
        <v>35</v>
      </c>
      <c r="Q20">
        <v>19</v>
      </c>
      <c r="R20" s="29"/>
      <c r="S20" s="30" t="s">
        <v>575</v>
      </c>
      <c r="T20" s="31">
        <v>25410</v>
      </c>
      <c r="U20" s="31">
        <v>203280</v>
      </c>
      <c r="V20" s="31">
        <v>50820</v>
      </c>
      <c r="W20" s="30" t="s">
        <v>604</v>
      </c>
    </row>
    <row r="21" spans="1:23" x14ac:dyDescent="0.25">
      <c r="A21" t="s">
        <v>168</v>
      </c>
      <c r="B21" t="s">
        <v>169</v>
      </c>
      <c r="C21" t="s">
        <v>170</v>
      </c>
      <c r="D21" s="30" t="s">
        <v>162</v>
      </c>
      <c r="E21" s="30" t="s">
        <v>82</v>
      </c>
      <c r="F21" s="30" t="s">
        <v>163</v>
      </c>
      <c r="G21" s="29">
        <v>45505</v>
      </c>
      <c r="H21" s="29">
        <v>46599</v>
      </c>
      <c r="I21" s="25">
        <v>37000</v>
      </c>
      <c r="J21">
        <v>10</v>
      </c>
      <c r="K21" t="s">
        <v>605</v>
      </c>
      <c r="L21" s="25">
        <v>0</v>
      </c>
      <c r="M21" t="s">
        <v>570</v>
      </c>
      <c r="N21">
        <v>1</v>
      </c>
      <c r="O21" t="s">
        <v>35</v>
      </c>
      <c r="P21" t="s">
        <v>35</v>
      </c>
      <c r="Q21">
        <v>20</v>
      </c>
      <c r="R21" s="29"/>
      <c r="S21" s="30" t="s">
        <v>575</v>
      </c>
      <c r="T21" s="31">
        <v>44770</v>
      </c>
      <c r="U21" s="31">
        <v>329670</v>
      </c>
      <c r="V21" s="31">
        <v>89540</v>
      </c>
      <c r="W21" s="30" t="s">
        <v>606</v>
      </c>
    </row>
    <row r="22" spans="1:23" x14ac:dyDescent="0.25">
      <c r="A22" t="s">
        <v>174</v>
      </c>
      <c r="B22" t="s">
        <v>175</v>
      </c>
      <c r="C22" t="s">
        <v>176</v>
      </c>
      <c r="D22" s="30" t="s">
        <v>162</v>
      </c>
      <c r="E22" s="30" t="s">
        <v>92</v>
      </c>
      <c r="F22" s="30" t="s">
        <v>172</v>
      </c>
      <c r="G22" s="29">
        <v>45505</v>
      </c>
      <c r="H22" s="29">
        <v>46599</v>
      </c>
      <c r="I22" s="25">
        <v>37000</v>
      </c>
      <c r="J22">
        <v>10</v>
      </c>
      <c r="K22" t="s">
        <v>605</v>
      </c>
      <c r="L22" s="25">
        <v>0</v>
      </c>
      <c r="M22" t="s">
        <v>570</v>
      </c>
      <c r="N22">
        <v>1</v>
      </c>
      <c r="O22" t="s">
        <v>35</v>
      </c>
      <c r="P22" t="s">
        <v>35</v>
      </c>
      <c r="Q22">
        <v>21</v>
      </c>
      <c r="R22" s="29"/>
      <c r="S22" s="30" t="s">
        <v>575</v>
      </c>
      <c r="T22" s="31">
        <v>44770</v>
      </c>
      <c r="U22" s="31">
        <v>329670</v>
      </c>
      <c r="V22" s="31">
        <v>89540</v>
      </c>
      <c r="W22" s="30" t="s">
        <v>606</v>
      </c>
    </row>
    <row r="23" spans="1:23" x14ac:dyDescent="0.25">
      <c r="A23" t="s">
        <v>180</v>
      </c>
      <c r="B23" t="s">
        <v>181</v>
      </c>
      <c r="C23" t="s">
        <v>182</v>
      </c>
      <c r="D23" s="30" t="s">
        <v>162</v>
      </c>
      <c r="E23" s="30" t="s">
        <v>178</v>
      </c>
      <c r="F23" s="30" t="s">
        <v>177</v>
      </c>
      <c r="G23" s="29">
        <v>46204</v>
      </c>
      <c r="H23" s="29">
        <v>46568</v>
      </c>
      <c r="I23" s="25">
        <v>20000</v>
      </c>
      <c r="J23">
        <v>0</v>
      </c>
      <c r="K23" t="s">
        <v>35</v>
      </c>
      <c r="L23" s="25">
        <v>0</v>
      </c>
      <c r="M23" t="s">
        <v>570</v>
      </c>
      <c r="N23">
        <v>1</v>
      </c>
      <c r="O23" t="s">
        <v>35</v>
      </c>
      <c r="P23" t="s">
        <v>35</v>
      </c>
      <c r="Q23">
        <v>22</v>
      </c>
      <c r="R23" s="29"/>
      <c r="S23" s="30" t="s">
        <v>575</v>
      </c>
      <c r="T23" s="31">
        <v>20000</v>
      </c>
      <c r="U23" s="31">
        <v>145000</v>
      </c>
      <c r="V23" s="31">
        <v>40000</v>
      </c>
      <c r="W23" s="30" t="s">
        <v>607</v>
      </c>
    </row>
    <row r="24" spans="1:23" x14ac:dyDescent="0.25">
      <c r="A24" t="s">
        <v>186</v>
      </c>
      <c r="B24" t="s">
        <v>187</v>
      </c>
      <c r="C24" t="s">
        <v>188</v>
      </c>
      <c r="D24" s="30" t="s">
        <v>162</v>
      </c>
      <c r="E24" s="30" t="s">
        <v>184</v>
      </c>
      <c r="F24" s="30" t="s">
        <v>183</v>
      </c>
      <c r="G24" s="29">
        <v>45992</v>
      </c>
      <c r="H24" s="29">
        <v>46356</v>
      </c>
      <c r="I24" s="25">
        <v>7000</v>
      </c>
      <c r="J24">
        <v>0</v>
      </c>
      <c r="K24" t="s">
        <v>35</v>
      </c>
      <c r="L24" s="25">
        <v>0</v>
      </c>
      <c r="M24" t="s">
        <v>570</v>
      </c>
      <c r="N24">
        <v>1</v>
      </c>
      <c r="O24" t="s">
        <v>35</v>
      </c>
      <c r="P24" t="s">
        <v>35</v>
      </c>
      <c r="Q24">
        <v>23</v>
      </c>
      <c r="R24" s="29"/>
      <c r="S24" s="30" t="s">
        <v>575</v>
      </c>
      <c r="T24" s="31">
        <v>7000</v>
      </c>
      <c r="U24" s="31">
        <v>56000</v>
      </c>
      <c r="V24" s="31">
        <v>14000</v>
      </c>
      <c r="W24" s="30" t="s">
        <v>608</v>
      </c>
    </row>
    <row r="25" spans="1:23" x14ac:dyDescent="0.25">
      <c r="A25" t="s">
        <v>192</v>
      </c>
      <c r="B25" t="s">
        <v>193</v>
      </c>
      <c r="C25" t="s">
        <v>194</v>
      </c>
      <c r="D25" s="30" t="s">
        <v>162</v>
      </c>
      <c r="E25" s="30" t="s">
        <v>190</v>
      </c>
      <c r="F25" s="30" t="s">
        <v>189</v>
      </c>
      <c r="G25" s="29">
        <v>46204</v>
      </c>
      <c r="H25" s="29">
        <v>46568</v>
      </c>
      <c r="I25" s="25">
        <v>15000</v>
      </c>
      <c r="J25">
        <v>0</v>
      </c>
      <c r="K25" t="s">
        <v>35</v>
      </c>
      <c r="L25" s="25">
        <v>0</v>
      </c>
      <c r="M25" t="s">
        <v>570</v>
      </c>
      <c r="N25">
        <v>1</v>
      </c>
      <c r="O25" t="s">
        <v>35</v>
      </c>
      <c r="P25" t="s">
        <v>35</v>
      </c>
      <c r="Q25">
        <v>24</v>
      </c>
      <c r="R25" s="29"/>
      <c r="S25" s="30" t="s">
        <v>575</v>
      </c>
      <c r="T25" s="31">
        <v>15000</v>
      </c>
      <c r="U25" s="31">
        <v>108000</v>
      </c>
      <c r="V25" s="31">
        <v>30000</v>
      </c>
      <c r="W25" s="30" t="s">
        <v>609</v>
      </c>
    </row>
    <row r="26" spans="1:23" x14ac:dyDescent="0.25">
      <c r="A26" t="s">
        <v>196</v>
      </c>
      <c r="B26" t="s">
        <v>197</v>
      </c>
      <c r="C26" t="s">
        <v>182</v>
      </c>
      <c r="D26" s="30" t="s">
        <v>162</v>
      </c>
      <c r="E26" s="30" t="s">
        <v>195</v>
      </c>
      <c r="F26" s="30" t="s">
        <v>177</v>
      </c>
      <c r="G26" s="29">
        <v>46204</v>
      </c>
      <c r="H26" s="29">
        <v>46568</v>
      </c>
      <c r="I26" s="25">
        <v>15000</v>
      </c>
      <c r="J26">
        <v>0</v>
      </c>
      <c r="K26" t="s">
        <v>35</v>
      </c>
      <c r="L26" s="25">
        <v>0</v>
      </c>
      <c r="M26" t="s">
        <v>570</v>
      </c>
      <c r="N26">
        <v>1</v>
      </c>
      <c r="O26" t="s">
        <v>35</v>
      </c>
      <c r="P26" t="s">
        <v>35</v>
      </c>
      <c r="Q26">
        <v>25</v>
      </c>
      <c r="R26" s="29"/>
      <c r="S26" s="30" t="s">
        <v>575</v>
      </c>
      <c r="T26" s="31">
        <v>15000</v>
      </c>
      <c r="U26" s="31">
        <v>97000</v>
      </c>
      <c r="V26" s="31">
        <v>44000</v>
      </c>
      <c r="W26" s="30" t="s">
        <v>609</v>
      </c>
    </row>
    <row r="27" spans="1:23" x14ac:dyDescent="0.25">
      <c r="A27" t="s">
        <v>201</v>
      </c>
      <c r="B27" t="s">
        <v>202</v>
      </c>
      <c r="C27" t="s">
        <v>203</v>
      </c>
      <c r="D27" s="30" t="s">
        <v>162</v>
      </c>
      <c r="E27" s="30" t="s">
        <v>199</v>
      </c>
      <c r="F27" s="30" t="s">
        <v>198</v>
      </c>
      <c r="G27" s="29">
        <v>45992</v>
      </c>
      <c r="H27" s="29">
        <v>46356</v>
      </c>
      <c r="I27" s="25">
        <v>7000</v>
      </c>
      <c r="J27">
        <v>0</v>
      </c>
      <c r="K27" t="s">
        <v>35</v>
      </c>
      <c r="L27" s="25">
        <v>0</v>
      </c>
      <c r="M27" t="s">
        <v>570</v>
      </c>
      <c r="N27">
        <v>1</v>
      </c>
      <c r="O27" t="s">
        <v>35</v>
      </c>
      <c r="P27" t="s">
        <v>35</v>
      </c>
      <c r="Q27">
        <v>26</v>
      </c>
      <c r="R27" s="29"/>
      <c r="S27" s="30" t="s">
        <v>575</v>
      </c>
      <c r="T27" s="31">
        <v>7000</v>
      </c>
      <c r="U27" s="31">
        <v>56000</v>
      </c>
      <c r="V27" s="31">
        <v>14000</v>
      </c>
      <c r="W27" s="30" t="s">
        <v>608</v>
      </c>
    </row>
    <row r="28" spans="1:23" x14ac:dyDescent="0.25">
      <c r="A28" t="s">
        <v>205</v>
      </c>
      <c r="B28" t="s">
        <v>206</v>
      </c>
      <c r="C28" t="s">
        <v>203</v>
      </c>
      <c r="D28" s="30" t="s">
        <v>162</v>
      </c>
      <c r="E28" s="30" t="s">
        <v>204</v>
      </c>
      <c r="F28" s="30" t="s">
        <v>198</v>
      </c>
      <c r="G28" s="29">
        <v>46204</v>
      </c>
      <c r="H28" s="29">
        <v>46568</v>
      </c>
      <c r="I28" s="25">
        <v>8000</v>
      </c>
      <c r="J28">
        <v>0</v>
      </c>
      <c r="K28" t="s">
        <v>35</v>
      </c>
      <c r="L28" s="25">
        <v>0</v>
      </c>
      <c r="M28" t="s">
        <v>570</v>
      </c>
      <c r="N28">
        <v>1</v>
      </c>
      <c r="O28" t="s">
        <v>35</v>
      </c>
      <c r="P28" t="s">
        <v>35</v>
      </c>
      <c r="Q28">
        <v>27</v>
      </c>
      <c r="R28" s="29"/>
      <c r="S28" s="30" t="s">
        <v>575</v>
      </c>
      <c r="T28" s="31">
        <v>8000</v>
      </c>
      <c r="U28" s="31">
        <v>54000</v>
      </c>
      <c r="V28" s="31">
        <v>16000</v>
      </c>
      <c r="W28" s="30" t="s">
        <v>610</v>
      </c>
    </row>
    <row r="29" spans="1:23" x14ac:dyDescent="0.25">
      <c r="A29" t="s">
        <v>208</v>
      </c>
      <c r="B29" t="s">
        <v>209</v>
      </c>
      <c r="C29" t="s">
        <v>203</v>
      </c>
      <c r="D29" s="30" t="s">
        <v>162</v>
      </c>
      <c r="E29" s="30" t="s">
        <v>207</v>
      </c>
      <c r="F29" s="30" t="s">
        <v>198</v>
      </c>
      <c r="G29" s="29">
        <v>46204</v>
      </c>
      <c r="H29" s="29">
        <v>46568</v>
      </c>
      <c r="I29" s="25">
        <v>8000</v>
      </c>
      <c r="J29">
        <v>0</v>
      </c>
      <c r="K29" t="s">
        <v>35</v>
      </c>
      <c r="L29" s="25">
        <v>0</v>
      </c>
      <c r="M29" t="s">
        <v>570</v>
      </c>
      <c r="N29">
        <v>1</v>
      </c>
      <c r="O29" t="s">
        <v>35</v>
      </c>
      <c r="P29" t="s">
        <v>35</v>
      </c>
      <c r="Q29">
        <v>28</v>
      </c>
      <c r="R29" s="29"/>
      <c r="S29" s="30" t="s">
        <v>575</v>
      </c>
      <c r="T29" s="31">
        <v>8000</v>
      </c>
      <c r="U29" s="31">
        <v>54000</v>
      </c>
      <c r="V29" s="31">
        <v>16000</v>
      </c>
      <c r="W29" s="30" t="s">
        <v>610</v>
      </c>
    </row>
    <row r="30" spans="1:23" x14ac:dyDescent="0.25">
      <c r="A30" t="s">
        <v>214</v>
      </c>
      <c r="B30" t="s">
        <v>215</v>
      </c>
      <c r="C30" t="s">
        <v>216</v>
      </c>
      <c r="D30" s="30" t="s">
        <v>162</v>
      </c>
      <c r="E30" s="30" t="s">
        <v>212</v>
      </c>
      <c r="F30" s="30" t="s">
        <v>210</v>
      </c>
      <c r="G30" s="29">
        <v>45078</v>
      </c>
      <c r="H30" s="29">
        <v>46173</v>
      </c>
      <c r="I30" s="25">
        <v>11495</v>
      </c>
      <c r="J30">
        <v>0</v>
      </c>
      <c r="K30" t="s">
        <v>611</v>
      </c>
      <c r="L30" s="25">
        <v>0</v>
      </c>
      <c r="M30" t="s">
        <v>570</v>
      </c>
      <c r="N30">
        <v>1</v>
      </c>
      <c r="O30" t="s">
        <v>35</v>
      </c>
      <c r="P30" t="s">
        <v>35</v>
      </c>
      <c r="Q30">
        <v>29</v>
      </c>
      <c r="R30" s="29"/>
      <c r="S30" s="30" t="s">
        <v>571</v>
      </c>
      <c r="T30" s="31">
        <v>11495</v>
      </c>
      <c r="U30" s="31">
        <v>57475</v>
      </c>
      <c r="V30" s="31">
        <v>0</v>
      </c>
      <c r="W30" s="30" t="s">
        <v>612</v>
      </c>
    </row>
    <row r="31" spans="1:23" x14ac:dyDescent="0.25">
      <c r="A31" t="s">
        <v>220</v>
      </c>
      <c r="B31" t="s">
        <v>221</v>
      </c>
      <c r="C31" t="s">
        <v>222</v>
      </c>
      <c r="D31" s="30" t="s">
        <v>162</v>
      </c>
      <c r="E31" s="30" t="s">
        <v>100</v>
      </c>
      <c r="F31" s="30" t="s">
        <v>217</v>
      </c>
      <c r="G31" s="29">
        <v>45901</v>
      </c>
      <c r="H31" s="29">
        <v>46265</v>
      </c>
      <c r="I31" s="25">
        <v>16500</v>
      </c>
      <c r="J31">
        <v>0</v>
      </c>
      <c r="K31" t="s">
        <v>35</v>
      </c>
      <c r="L31" s="25">
        <v>0</v>
      </c>
      <c r="M31" t="s">
        <v>570</v>
      </c>
      <c r="N31">
        <v>1</v>
      </c>
      <c r="O31" t="s">
        <v>35</v>
      </c>
      <c r="P31" t="s">
        <v>35</v>
      </c>
      <c r="Q31">
        <v>30</v>
      </c>
      <c r="R31" s="29"/>
      <c r="S31" s="30" t="s">
        <v>571</v>
      </c>
      <c r="T31" s="31">
        <v>16500</v>
      </c>
      <c r="U31" s="31">
        <v>132000</v>
      </c>
      <c r="V31" s="31">
        <v>0</v>
      </c>
      <c r="W31" s="30" t="s">
        <v>613</v>
      </c>
    </row>
    <row r="32" spans="1:23" x14ac:dyDescent="0.25">
      <c r="A32" t="s">
        <v>227</v>
      </c>
      <c r="B32" t="s">
        <v>228</v>
      </c>
      <c r="C32" t="s">
        <v>229</v>
      </c>
      <c r="D32" s="30" t="s">
        <v>162</v>
      </c>
      <c r="E32" s="30" t="s">
        <v>225</v>
      </c>
      <c r="F32" s="30" t="s">
        <v>223</v>
      </c>
      <c r="G32" s="29">
        <v>45839</v>
      </c>
      <c r="H32" s="29">
        <v>46203</v>
      </c>
      <c r="I32" s="25">
        <v>12500</v>
      </c>
      <c r="J32">
        <v>0</v>
      </c>
      <c r="K32" t="s">
        <v>35</v>
      </c>
      <c r="L32" s="25">
        <v>0</v>
      </c>
      <c r="M32" t="s">
        <v>570</v>
      </c>
      <c r="N32">
        <v>1</v>
      </c>
      <c r="O32" t="s">
        <v>35</v>
      </c>
      <c r="P32" t="s">
        <v>35</v>
      </c>
      <c r="Q32">
        <v>31</v>
      </c>
      <c r="R32" s="29"/>
      <c r="S32" s="30" t="s">
        <v>614</v>
      </c>
      <c r="T32" s="31">
        <v>12500</v>
      </c>
      <c r="U32" s="31">
        <v>75000</v>
      </c>
      <c r="V32" s="31">
        <v>0</v>
      </c>
      <c r="W32" s="30" t="s">
        <v>615</v>
      </c>
    </row>
    <row r="33" spans="1:23" x14ac:dyDescent="0.25">
      <c r="A33" t="s">
        <v>233</v>
      </c>
      <c r="B33" t="s">
        <v>228</v>
      </c>
      <c r="C33" t="s">
        <v>234</v>
      </c>
      <c r="D33" s="30" t="s">
        <v>162</v>
      </c>
      <c r="E33" s="30" t="s">
        <v>225</v>
      </c>
      <c r="F33" s="30" t="s">
        <v>230</v>
      </c>
      <c r="G33" s="29">
        <v>46204</v>
      </c>
      <c r="H33" s="29">
        <v>46568</v>
      </c>
      <c r="I33" s="25">
        <v>14500</v>
      </c>
      <c r="J33">
        <v>0</v>
      </c>
      <c r="K33" t="s">
        <v>35</v>
      </c>
      <c r="L33" s="25">
        <v>0</v>
      </c>
      <c r="M33" t="s">
        <v>570</v>
      </c>
      <c r="N33">
        <v>1</v>
      </c>
      <c r="O33" t="s">
        <v>35</v>
      </c>
      <c r="P33" t="s">
        <v>35</v>
      </c>
      <c r="Q33">
        <v>32</v>
      </c>
      <c r="R33" s="29"/>
      <c r="S33" s="30" t="s">
        <v>575</v>
      </c>
      <c r="T33" s="31">
        <v>14500</v>
      </c>
      <c r="U33" s="31">
        <v>29000</v>
      </c>
      <c r="V33" s="31">
        <v>29000</v>
      </c>
      <c r="W33" s="30" t="s">
        <v>616</v>
      </c>
    </row>
    <row r="34" spans="1:23" x14ac:dyDescent="0.25">
      <c r="A34" t="s">
        <v>238</v>
      </c>
      <c r="B34" t="s">
        <v>239</v>
      </c>
      <c r="C34" t="s">
        <v>240</v>
      </c>
      <c r="D34" s="30" t="s">
        <v>162</v>
      </c>
      <c r="E34" s="30" t="s">
        <v>236</v>
      </c>
      <c r="F34" s="30" t="s">
        <v>235</v>
      </c>
      <c r="G34" s="29">
        <v>45977</v>
      </c>
      <c r="H34" s="29">
        <v>46341</v>
      </c>
      <c r="I34" s="25">
        <v>14000</v>
      </c>
      <c r="J34">
        <v>0</v>
      </c>
      <c r="K34" t="s">
        <v>35</v>
      </c>
      <c r="L34" s="25">
        <v>0</v>
      </c>
      <c r="M34" t="s">
        <v>570</v>
      </c>
      <c r="N34">
        <v>1</v>
      </c>
      <c r="O34" t="s">
        <v>35</v>
      </c>
      <c r="P34" t="s">
        <v>35</v>
      </c>
      <c r="Q34">
        <v>33</v>
      </c>
      <c r="R34" s="29"/>
      <c r="S34" s="30" t="s">
        <v>575</v>
      </c>
      <c r="T34" s="31">
        <v>14000</v>
      </c>
      <c r="U34" s="31">
        <v>112000</v>
      </c>
      <c r="V34" s="31">
        <v>28000</v>
      </c>
      <c r="W34" s="30" t="s">
        <v>617</v>
      </c>
    </row>
    <row r="35" spans="1:23" x14ac:dyDescent="0.25">
      <c r="A35" t="s">
        <v>245</v>
      </c>
      <c r="B35" t="s">
        <v>246</v>
      </c>
      <c r="C35" t="s">
        <v>247</v>
      </c>
      <c r="D35" s="30" t="s">
        <v>162</v>
      </c>
      <c r="E35" s="30" t="s">
        <v>243</v>
      </c>
      <c r="F35" s="30" t="s">
        <v>241</v>
      </c>
      <c r="G35" s="29">
        <v>45901</v>
      </c>
      <c r="H35" s="29">
        <v>46264</v>
      </c>
      <c r="I35" s="25">
        <v>16500</v>
      </c>
      <c r="J35">
        <v>0</v>
      </c>
      <c r="K35" t="s">
        <v>35</v>
      </c>
      <c r="L35" s="25">
        <v>0</v>
      </c>
      <c r="M35" t="s">
        <v>570</v>
      </c>
      <c r="N35">
        <v>1</v>
      </c>
      <c r="O35" t="s">
        <v>35</v>
      </c>
      <c r="P35" t="s">
        <v>35</v>
      </c>
      <c r="Q35">
        <v>34</v>
      </c>
      <c r="R35" s="29"/>
      <c r="S35" s="30" t="s">
        <v>571</v>
      </c>
      <c r="T35" s="31">
        <v>16500</v>
      </c>
      <c r="U35" s="31">
        <v>132000</v>
      </c>
      <c r="V35" s="31">
        <v>0</v>
      </c>
      <c r="W35" s="30" t="s">
        <v>618</v>
      </c>
    </row>
    <row r="36" spans="1:23" x14ac:dyDescent="0.25">
      <c r="A36" t="s">
        <v>252</v>
      </c>
      <c r="B36" t="s">
        <v>253</v>
      </c>
      <c r="C36" t="s">
        <v>254</v>
      </c>
      <c r="D36" s="30" t="s">
        <v>162</v>
      </c>
      <c r="E36" s="30" t="s">
        <v>250</v>
      </c>
      <c r="F36" s="30" t="s">
        <v>248</v>
      </c>
      <c r="G36" s="29">
        <v>46143</v>
      </c>
      <c r="H36" s="29">
        <v>46507</v>
      </c>
      <c r="I36" s="25">
        <v>20000</v>
      </c>
      <c r="J36">
        <v>0</v>
      </c>
      <c r="K36" t="s">
        <v>35</v>
      </c>
      <c r="L36" s="25">
        <v>0</v>
      </c>
      <c r="M36" t="s">
        <v>570</v>
      </c>
      <c r="N36">
        <v>1</v>
      </c>
      <c r="O36" t="s">
        <v>35</v>
      </c>
      <c r="P36" t="s">
        <v>35</v>
      </c>
      <c r="Q36">
        <v>35</v>
      </c>
      <c r="R36" s="29"/>
      <c r="S36" s="30" t="s">
        <v>575</v>
      </c>
      <c r="T36" s="31">
        <v>20000</v>
      </c>
      <c r="U36" s="31">
        <v>80000</v>
      </c>
      <c r="V36" s="31">
        <v>40000</v>
      </c>
      <c r="W36" s="30" t="s">
        <v>619</v>
      </c>
    </row>
    <row r="37" spans="1:23" x14ac:dyDescent="0.25">
      <c r="A37" t="s">
        <v>260</v>
      </c>
      <c r="B37" t="s">
        <v>261</v>
      </c>
      <c r="C37" t="s">
        <v>262</v>
      </c>
      <c r="D37" s="30" t="s">
        <v>162</v>
      </c>
      <c r="E37" s="30" t="s">
        <v>257</v>
      </c>
      <c r="F37" s="30" t="s">
        <v>255</v>
      </c>
      <c r="G37" s="29">
        <v>45383</v>
      </c>
      <c r="H37" s="29">
        <v>46477</v>
      </c>
      <c r="I37" s="25">
        <v>17500</v>
      </c>
      <c r="J37">
        <v>10</v>
      </c>
      <c r="K37" t="s">
        <v>620</v>
      </c>
      <c r="L37" s="25">
        <v>0</v>
      </c>
      <c r="M37" t="s">
        <v>570</v>
      </c>
      <c r="N37">
        <v>1</v>
      </c>
      <c r="O37" t="s">
        <v>35</v>
      </c>
      <c r="P37" t="s">
        <v>35</v>
      </c>
      <c r="Q37">
        <v>36</v>
      </c>
      <c r="R37" s="29"/>
      <c r="S37" s="30" t="s">
        <v>575</v>
      </c>
      <c r="T37" s="31">
        <v>21175</v>
      </c>
      <c r="U37" s="31">
        <v>163625</v>
      </c>
      <c r="V37" s="31">
        <v>42350</v>
      </c>
      <c r="W37" s="30" t="s">
        <v>621</v>
      </c>
    </row>
    <row r="38" spans="1:23" x14ac:dyDescent="0.25">
      <c r="A38" t="s">
        <v>265</v>
      </c>
      <c r="B38" t="s">
        <v>266</v>
      </c>
      <c r="C38" t="s">
        <v>267</v>
      </c>
      <c r="D38" s="30" t="s">
        <v>162</v>
      </c>
      <c r="E38" s="30" t="s">
        <v>107</v>
      </c>
      <c r="F38" s="30" t="s">
        <v>263</v>
      </c>
      <c r="G38" s="29">
        <v>45920</v>
      </c>
      <c r="H38" s="29">
        <v>46284</v>
      </c>
      <c r="I38" s="25">
        <v>17000</v>
      </c>
      <c r="J38">
        <v>0</v>
      </c>
      <c r="K38" t="s">
        <v>35</v>
      </c>
      <c r="L38" s="25">
        <v>0</v>
      </c>
      <c r="M38" t="s">
        <v>570</v>
      </c>
      <c r="N38">
        <v>1</v>
      </c>
      <c r="O38" t="s">
        <v>35</v>
      </c>
      <c r="P38" t="s">
        <v>35</v>
      </c>
      <c r="Q38">
        <v>37</v>
      </c>
      <c r="R38" s="29"/>
      <c r="S38" s="30" t="s">
        <v>571</v>
      </c>
      <c r="T38" s="31">
        <v>17000</v>
      </c>
      <c r="U38" s="31">
        <v>85000</v>
      </c>
      <c r="V38" s="31">
        <v>61767</v>
      </c>
      <c r="W38" s="30" t="s">
        <v>622</v>
      </c>
    </row>
    <row r="39" spans="1:23" x14ac:dyDescent="0.25">
      <c r="A39" t="s">
        <v>271</v>
      </c>
      <c r="B39" t="s">
        <v>272</v>
      </c>
      <c r="C39" t="s">
        <v>273</v>
      </c>
      <c r="D39" s="30" t="s">
        <v>162</v>
      </c>
      <c r="E39" s="30" t="s">
        <v>113</v>
      </c>
      <c r="F39" s="30" t="s">
        <v>268</v>
      </c>
      <c r="G39" s="29">
        <v>45916</v>
      </c>
      <c r="H39" s="29">
        <v>46280</v>
      </c>
      <c r="I39" s="25">
        <v>17000</v>
      </c>
      <c r="J39">
        <v>0</v>
      </c>
      <c r="K39" t="s">
        <v>35</v>
      </c>
      <c r="L39" s="25">
        <v>0</v>
      </c>
      <c r="M39" t="s">
        <v>570</v>
      </c>
      <c r="N39">
        <v>1</v>
      </c>
      <c r="O39" t="s">
        <v>35</v>
      </c>
      <c r="P39" t="s">
        <v>35</v>
      </c>
      <c r="Q39">
        <v>38</v>
      </c>
      <c r="R39" s="29"/>
      <c r="S39" s="30" t="s">
        <v>571</v>
      </c>
      <c r="T39" s="31">
        <v>17000</v>
      </c>
      <c r="U39" s="31">
        <v>136000</v>
      </c>
      <c r="V39" s="31">
        <v>8500</v>
      </c>
      <c r="W39" s="30" t="s">
        <v>623</v>
      </c>
    </row>
    <row r="40" spans="1:23" x14ac:dyDescent="0.25">
      <c r="A40" t="s">
        <v>274</v>
      </c>
      <c r="B40" t="s">
        <v>275</v>
      </c>
      <c r="C40" t="s">
        <v>182</v>
      </c>
      <c r="D40" s="30" t="s">
        <v>162</v>
      </c>
      <c r="E40" s="30" t="s">
        <v>120</v>
      </c>
      <c r="F40" s="30" t="s">
        <v>177</v>
      </c>
      <c r="G40" s="29">
        <v>46054</v>
      </c>
      <c r="H40" s="29">
        <v>46418</v>
      </c>
      <c r="I40" s="25">
        <v>19000</v>
      </c>
      <c r="J40">
        <v>0</v>
      </c>
      <c r="K40" t="s">
        <v>35</v>
      </c>
      <c r="L40" s="25">
        <v>0</v>
      </c>
      <c r="M40" t="s">
        <v>570</v>
      </c>
      <c r="N40">
        <v>1</v>
      </c>
      <c r="O40" t="s">
        <v>35</v>
      </c>
      <c r="P40" t="s">
        <v>35</v>
      </c>
      <c r="Q40">
        <v>39</v>
      </c>
      <c r="R40" s="29"/>
      <c r="S40" s="30" t="s">
        <v>575</v>
      </c>
      <c r="T40" s="31">
        <v>19000</v>
      </c>
      <c r="U40" s="31">
        <v>133000</v>
      </c>
      <c r="V40" s="31">
        <v>38000</v>
      </c>
      <c r="W40" s="30" t="s">
        <v>624</v>
      </c>
    </row>
    <row r="41" spans="1:23" x14ac:dyDescent="0.25">
      <c r="A41" t="s">
        <v>278</v>
      </c>
      <c r="B41" t="s">
        <v>279</v>
      </c>
      <c r="C41" t="s">
        <v>280</v>
      </c>
      <c r="D41" s="30" t="s">
        <v>162</v>
      </c>
      <c r="E41" s="30" t="s">
        <v>126</v>
      </c>
      <c r="F41" s="30" t="s">
        <v>276</v>
      </c>
      <c r="G41" s="29">
        <v>44968</v>
      </c>
      <c r="H41" s="29">
        <v>46063</v>
      </c>
      <c r="I41" s="25">
        <v>7565</v>
      </c>
      <c r="J41">
        <v>0</v>
      </c>
      <c r="K41" t="s">
        <v>625</v>
      </c>
      <c r="L41" s="25">
        <v>0</v>
      </c>
      <c r="M41" t="s">
        <v>570</v>
      </c>
      <c r="N41">
        <v>1</v>
      </c>
      <c r="O41" t="s">
        <v>35</v>
      </c>
      <c r="P41" t="s">
        <v>35</v>
      </c>
      <c r="Q41">
        <v>40</v>
      </c>
      <c r="R41" s="29"/>
      <c r="S41" s="30" t="s">
        <v>614</v>
      </c>
      <c r="T41" s="31">
        <v>7565</v>
      </c>
      <c r="U41" s="31">
        <v>7565</v>
      </c>
      <c r="V41" s="31">
        <v>2702</v>
      </c>
      <c r="W41" s="30" t="s">
        <v>626</v>
      </c>
    </row>
    <row r="42" spans="1:23" x14ac:dyDescent="0.25">
      <c r="A42" t="s">
        <v>283</v>
      </c>
      <c r="B42" t="s">
        <v>279</v>
      </c>
      <c r="C42" t="s">
        <v>284</v>
      </c>
      <c r="D42" s="30" t="s">
        <v>162</v>
      </c>
      <c r="E42" s="30" t="s">
        <v>126</v>
      </c>
      <c r="F42" s="30" t="s">
        <v>281</v>
      </c>
      <c r="G42" s="29">
        <v>46235</v>
      </c>
      <c r="H42" s="29">
        <v>46599</v>
      </c>
      <c r="I42" s="25">
        <v>14000</v>
      </c>
      <c r="J42">
        <v>0</v>
      </c>
      <c r="K42" t="s">
        <v>35</v>
      </c>
      <c r="L42" s="25">
        <v>0</v>
      </c>
      <c r="M42" t="s">
        <v>570</v>
      </c>
      <c r="N42">
        <v>1</v>
      </c>
      <c r="O42" t="s">
        <v>35</v>
      </c>
      <c r="P42" t="s">
        <v>35</v>
      </c>
      <c r="Q42">
        <v>41</v>
      </c>
      <c r="R42" s="29"/>
      <c r="S42" s="30" t="s">
        <v>575</v>
      </c>
      <c r="T42" s="31">
        <v>14000</v>
      </c>
      <c r="U42" s="31">
        <v>14000</v>
      </c>
      <c r="V42" s="31">
        <v>28000</v>
      </c>
      <c r="W42" s="30" t="s">
        <v>627</v>
      </c>
    </row>
    <row r="43" spans="1:23" x14ac:dyDescent="0.25">
      <c r="A43" t="s">
        <v>290</v>
      </c>
      <c r="B43" t="s">
        <v>291</v>
      </c>
      <c r="C43" t="s">
        <v>292</v>
      </c>
      <c r="D43" s="30" t="s">
        <v>162</v>
      </c>
      <c r="E43" s="30" t="s">
        <v>287</v>
      </c>
      <c r="F43" s="30" t="s">
        <v>285</v>
      </c>
      <c r="G43" s="29">
        <v>46023</v>
      </c>
      <c r="H43" s="29">
        <v>46387</v>
      </c>
      <c r="I43" s="25">
        <v>11500</v>
      </c>
      <c r="J43">
        <v>0</v>
      </c>
      <c r="K43" t="s">
        <v>35</v>
      </c>
      <c r="L43" s="25">
        <v>0</v>
      </c>
      <c r="M43" t="s">
        <v>570</v>
      </c>
      <c r="N43">
        <v>1</v>
      </c>
      <c r="O43" t="s">
        <v>35</v>
      </c>
      <c r="P43" t="s">
        <v>35</v>
      </c>
      <c r="Q43">
        <v>42</v>
      </c>
      <c r="R43" s="29"/>
      <c r="S43" s="30" t="s">
        <v>575</v>
      </c>
      <c r="T43" s="31">
        <v>11500</v>
      </c>
      <c r="U43" s="31">
        <v>92000</v>
      </c>
      <c r="V43" s="31">
        <v>23000</v>
      </c>
      <c r="W43" s="30" t="s">
        <v>628</v>
      </c>
    </row>
    <row r="44" spans="1:23" x14ac:dyDescent="0.25">
      <c r="A44" t="s">
        <v>296</v>
      </c>
      <c r="B44" t="s">
        <v>297</v>
      </c>
      <c r="C44" t="s">
        <v>298</v>
      </c>
      <c r="D44" s="30" t="s">
        <v>162</v>
      </c>
      <c r="E44" s="30" t="s">
        <v>294</v>
      </c>
      <c r="F44" s="30" t="s">
        <v>293</v>
      </c>
      <c r="G44" s="29">
        <v>45261</v>
      </c>
      <c r="H44" s="29">
        <v>46356</v>
      </c>
      <c r="I44" s="25">
        <v>11195</v>
      </c>
      <c r="J44">
        <v>0</v>
      </c>
      <c r="K44" t="s">
        <v>629</v>
      </c>
      <c r="L44" s="25">
        <v>0</v>
      </c>
      <c r="M44" t="s">
        <v>570</v>
      </c>
      <c r="N44">
        <v>1</v>
      </c>
      <c r="O44" t="s">
        <v>35</v>
      </c>
      <c r="P44" t="s">
        <v>35</v>
      </c>
      <c r="Q44">
        <v>43</v>
      </c>
      <c r="R44" s="29"/>
      <c r="S44" s="30" t="s">
        <v>575</v>
      </c>
      <c r="T44" s="31">
        <v>11195</v>
      </c>
      <c r="U44" s="31">
        <v>89560</v>
      </c>
      <c r="V44" s="31">
        <v>22390</v>
      </c>
      <c r="W44" s="30" t="s">
        <v>630</v>
      </c>
    </row>
    <row r="45" spans="1:23" x14ac:dyDescent="0.25">
      <c r="A45" t="s">
        <v>303</v>
      </c>
      <c r="B45" t="s">
        <v>304</v>
      </c>
      <c r="C45" t="s">
        <v>305</v>
      </c>
      <c r="D45" s="30" t="s">
        <v>162</v>
      </c>
      <c r="E45" s="30" t="s">
        <v>301</v>
      </c>
      <c r="F45" s="30" t="s">
        <v>299</v>
      </c>
      <c r="G45" s="29">
        <v>45627</v>
      </c>
      <c r="H45" s="29">
        <v>46721</v>
      </c>
      <c r="I45" s="25">
        <v>12100</v>
      </c>
      <c r="J45">
        <v>0</v>
      </c>
      <c r="K45" t="s">
        <v>631</v>
      </c>
      <c r="L45" s="25">
        <v>0</v>
      </c>
      <c r="M45" t="s">
        <v>570</v>
      </c>
      <c r="N45">
        <v>1</v>
      </c>
      <c r="O45" t="s">
        <v>35</v>
      </c>
      <c r="P45" t="s">
        <v>35</v>
      </c>
      <c r="Q45">
        <v>44</v>
      </c>
      <c r="R45" s="29"/>
      <c r="S45" s="30" t="s">
        <v>575</v>
      </c>
      <c r="T45" s="31">
        <v>12100</v>
      </c>
      <c r="U45" s="31">
        <v>96800</v>
      </c>
      <c r="V45" s="31">
        <v>24200</v>
      </c>
      <c r="W45" s="30" t="s">
        <v>632</v>
      </c>
    </row>
    <row r="46" spans="1:23" x14ac:dyDescent="0.25">
      <c r="A46" t="s">
        <v>310</v>
      </c>
      <c r="B46" t="s">
        <v>311</v>
      </c>
      <c r="C46" t="s">
        <v>312</v>
      </c>
      <c r="D46" s="30" t="s">
        <v>162</v>
      </c>
      <c r="E46" s="30" t="s">
        <v>131</v>
      </c>
      <c r="F46" s="30" t="s">
        <v>306</v>
      </c>
      <c r="G46" s="29">
        <v>45444</v>
      </c>
      <c r="H46" s="29">
        <v>46538</v>
      </c>
      <c r="I46" s="25">
        <v>10000</v>
      </c>
      <c r="J46">
        <v>10</v>
      </c>
      <c r="K46" t="s">
        <v>633</v>
      </c>
      <c r="L46" s="25">
        <v>0</v>
      </c>
      <c r="M46" t="s">
        <v>570</v>
      </c>
      <c r="N46">
        <v>1</v>
      </c>
      <c r="O46" t="s">
        <v>35</v>
      </c>
      <c r="P46" t="s">
        <v>35</v>
      </c>
      <c r="Q46">
        <v>45</v>
      </c>
      <c r="R46" s="29"/>
      <c r="S46" s="30" t="s">
        <v>575</v>
      </c>
      <c r="T46" s="31">
        <v>12100</v>
      </c>
      <c r="U46" s="31">
        <v>91300</v>
      </c>
      <c r="V46" s="31">
        <v>24200</v>
      </c>
      <c r="W46" s="30" t="s">
        <v>634</v>
      </c>
    </row>
    <row r="47" spans="1:23" x14ac:dyDescent="0.25">
      <c r="A47" t="s">
        <v>317</v>
      </c>
      <c r="B47" t="s">
        <v>318</v>
      </c>
      <c r="C47" t="s">
        <v>319</v>
      </c>
      <c r="D47" s="30" t="s">
        <v>162</v>
      </c>
      <c r="E47" s="30" t="s">
        <v>315</v>
      </c>
      <c r="F47" s="30" t="s">
        <v>313</v>
      </c>
      <c r="G47" s="29">
        <v>45307</v>
      </c>
      <c r="H47" s="29">
        <v>46402</v>
      </c>
      <c r="I47" s="25">
        <v>14850</v>
      </c>
      <c r="J47">
        <v>0</v>
      </c>
      <c r="K47" t="s">
        <v>635</v>
      </c>
      <c r="L47" s="25">
        <v>0</v>
      </c>
      <c r="M47" t="s">
        <v>570</v>
      </c>
      <c r="N47">
        <v>1</v>
      </c>
      <c r="O47" t="s">
        <v>35</v>
      </c>
      <c r="P47" t="s">
        <v>35</v>
      </c>
      <c r="Q47">
        <v>46</v>
      </c>
      <c r="R47" s="29"/>
      <c r="S47" s="30" t="s">
        <v>575</v>
      </c>
      <c r="T47" s="31">
        <v>14850</v>
      </c>
      <c r="U47" s="31">
        <v>127710</v>
      </c>
      <c r="V47" s="31">
        <v>29700</v>
      </c>
      <c r="W47" s="30" t="s">
        <v>636</v>
      </c>
    </row>
    <row r="48" spans="1:23" x14ac:dyDescent="0.25">
      <c r="A48" t="s">
        <v>322</v>
      </c>
      <c r="B48" t="s">
        <v>323</v>
      </c>
      <c r="C48" t="s">
        <v>324</v>
      </c>
      <c r="D48" s="30" t="s">
        <v>162</v>
      </c>
      <c r="E48" s="30" t="s">
        <v>138</v>
      </c>
      <c r="F48" s="30" t="s">
        <v>320</v>
      </c>
      <c r="G48" s="29">
        <v>46174</v>
      </c>
      <c r="H48" s="29">
        <v>46538</v>
      </c>
      <c r="I48" s="25">
        <v>13500</v>
      </c>
      <c r="J48">
        <v>0</v>
      </c>
      <c r="K48" t="s">
        <v>35</v>
      </c>
      <c r="L48" s="25">
        <v>0</v>
      </c>
      <c r="M48" t="s">
        <v>570</v>
      </c>
      <c r="N48">
        <v>1</v>
      </c>
      <c r="O48" t="s">
        <v>35</v>
      </c>
      <c r="P48" t="s">
        <v>35</v>
      </c>
      <c r="Q48">
        <v>47</v>
      </c>
      <c r="R48" s="29"/>
      <c r="S48" s="30" t="s">
        <v>575</v>
      </c>
      <c r="T48" s="31">
        <v>13500</v>
      </c>
      <c r="U48" s="31">
        <v>100500</v>
      </c>
      <c r="V48" s="31">
        <v>27000</v>
      </c>
      <c r="W48" s="30" t="s">
        <v>637</v>
      </c>
    </row>
    <row r="49" spans="1:23" x14ac:dyDescent="0.25">
      <c r="A49" t="s">
        <v>329</v>
      </c>
      <c r="B49" t="s">
        <v>330</v>
      </c>
      <c r="C49" t="s">
        <v>331</v>
      </c>
      <c r="D49" s="30" t="s">
        <v>162</v>
      </c>
      <c r="E49" s="30" t="s">
        <v>327</v>
      </c>
      <c r="F49" s="30" t="s">
        <v>325</v>
      </c>
      <c r="G49" s="29">
        <v>46082</v>
      </c>
      <c r="H49" s="29">
        <v>46446</v>
      </c>
      <c r="I49" s="25">
        <v>14000</v>
      </c>
      <c r="J49">
        <v>0</v>
      </c>
      <c r="K49" t="s">
        <v>35</v>
      </c>
      <c r="L49" s="25">
        <v>0</v>
      </c>
      <c r="M49" t="s">
        <v>570</v>
      </c>
      <c r="N49">
        <v>1</v>
      </c>
      <c r="O49" t="s">
        <v>35</v>
      </c>
      <c r="P49" t="s">
        <v>35</v>
      </c>
      <c r="Q49">
        <v>48</v>
      </c>
      <c r="R49" s="29"/>
      <c r="S49" s="30" t="s">
        <v>575</v>
      </c>
      <c r="T49" s="31">
        <v>14000</v>
      </c>
      <c r="U49" s="31">
        <v>108000</v>
      </c>
      <c r="V49" s="31">
        <v>28000</v>
      </c>
      <c r="W49" s="30" t="s">
        <v>638</v>
      </c>
    </row>
    <row r="50" spans="1:23" x14ac:dyDescent="0.25">
      <c r="A50" t="s">
        <v>336</v>
      </c>
      <c r="B50" t="s">
        <v>337</v>
      </c>
      <c r="C50" t="s">
        <v>338</v>
      </c>
      <c r="D50" s="30" t="s">
        <v>162</v>
      </c>
      <c r="E50" s="30" t="s">
        <v>334</v>
      </c>
      <c r="F50" s="30" t="s">
        <v>332</v>
      </c>
      <c r="G50" s="29">
        <v>45302</v>
      </c>
      <c r="H50" s="29">
        <v>46397</v>
      </c>
      <c r="I50" s="25">
        <v>14565</v>
      </c>
      <c r="J50">
        <v>0</v>
      </c>
      <c r="K50" t="s">
        <v>639</v>
      </c>
      <c r="L50" s="25">
        <v>0</v>
      </c>
      <c r="M50" t="s">
        <v>570</v>
      </c>
      <c r="N50">
        <v>1</v>
      </c>
      <c r="O50" t="s">
        <v>35</v>
      </c>
      <c r="P50" t="s">
        <v>35</v>
      </c>
      <c r="Q50">
        <v>49</v>
      </c>
      <c r="R50" s="29"/>
      <c r="S50" s="30" t="s">
        <v>575</v>
      </c>
      <c r="T50" s="31">
        <v>14565</v>
      </c>
      <c r="U50" s="31">
        <v>125350</v>
      </c>
      <c r="V50" s="31">
        <v>29130</v>
      </c>
      <c r="W50" s="30" t="s">
        <v>640</v>
      </c>
    </row>
    <row r="51" spans="1:23" x14ac:dyDescent="0.25">
      <c r="A51" t="s">
        <v>343</v>
      </c>
      <c r="B51" t="s">
        <v>344</v>
      </c>
      <c r="C51" t="s">
        <v>345</v>
      </c>
      <c r="D51" s="30" t="s">
        <v>162</v>
      </c>
      <c r="E51" s="30" t="s">
        <v>340</v>
      </c>
      <c r="F51" s="30" t="s">
        <v>339</v>
      </c>
      <c r="G51" s="29">
        <v>46023</v>
      </c>
      <c r="H51" s="29">
        <v>46387</v>
      </c>
      <c r="I51" s="25">
        <v>16500</v>
      </c>
      <c r="J51">
        <v>0</v>
      </c>
      <c r="K51" t="s">
        <v>35</v>
      </c>
      <c r="L51" s="25">
        <v>0</v>
      </c>
      <c r="M51" t="s">
        <v>570</v>
      </c>
      <c r="N51">
        <v>1</v>
      </c>
      <c r="O51" t="s">
        <v>35</v>
      </c>
      <c r="P51" t="s">
        <v>342</v>
      </c>
      <c r="Q51">
        <v>50</v>
      </c>
      <c r="R51" s="29"/>
      <c r="S51" s="30" t="s">
        <v>575</v>
      </c>
      <c r="T51" s="31">
        <v>16500</v>
      </c>
      <c r="U51" s="31">
        <v>132000</v>
      </c>
      <c r="V51" s="31">
        <v>33000</v>
      </c>
      <c r="W51" s="30" t="s">
        <v>641</v>
      </c>
    </row>
    <row r="52" spans="1:23" x14ac:dyDescent="0.25">
      <c r="A52" t="s">
        <v>349</v>
      </c>
      <c r="B52" t="s">
        <v>350</v>
      </c>
      <c r="C52" t="s">
        <v>351</v>
      </c>
      <c r="D52" s="30" t="s">
        <v>162</v>
      </c>
      <c r="E52" s="30" t="s">
        <v>347</v>
      </c>
      <c r="F52" s="30" t="s">
        <v>346</v>
      </c>
      <c r="G52" s="29">
        <v>45931</v>
      </c>
      <c r="H52" s="29">
        <v>46295</v>
      </c>
      <c r="I52" s="25">
        <v>18500</v>
      </c>
      <c r="J52">
        <v>0</v>
      </c>
      <c r="K52" t="s">
        <v>35</v>
      </c>
      <c r="L52" s="25">
        <v>0</v>
      </c>
      <c r="M52" t="s">
        <v>570</v>
      </c>
      <c r="N52">
        <v>1</v>
      </c>
      <c r="O52" t="s">
        <v>35</v>
      </c>
      <c r="P52" t="s">
        <v>35</v>
      </c>
      <c r="Q52">
        <v>51</v>
      </c>
      <c r="R52" s="29"/>
      <c r="S52" s="30" t="s">
        <v>571</v>
      </c>
      <c r="T52" s="31">
        <v>18500</v>
      </c>
      <c r="U52" s="31">
        <v>148000</v>
      </c>
      <c r="V52" s="31">
        <v>18500</v>
      </c>
      <c r="W52" s="30" t="s">
        <v>642</v>
      </c>
    </row>
    <row r="53" spans="1:23" x14ac:dyDescent="0.25">
      <c r="A53" t="s">
        <v>356</v>
      </c>
      <c r="B53" t="s">
        <v>357</v>
      </c>
      <c r="C53" t="s">
        <v>358</v>
      </c>
      <c r="D53" s="30" t="s">
        <v>162</v>
      </c>
      <c r="E53" s="30" t="s">
        <v>354</v>
      </c>
      <c r="F53" s="30" t="s">
        <v>352</v>
      </c>
      <c r="G53" s="29">
        <v>45870</v>
      </c>
      <c r="H53" s="29">
        <v>46234</v>
      </c>
      <c r="I53" s="25">
        <v>15000</v>
      </c>
      <c r="J53">
        <v>0</v>
      </c>
      <c r="K53" t="s">
        <v>35</v>
      </c>
      <c r="L53" s="25">
        <v>0</v>
      </c>
      <c r="M53" t="s">
        <v>570</v>
      </c>
      <c r="N53">
        <v>1</v>
      </c>
      <c r="O53" t="s">
        <v>35</v>
      </c>
      <c r="P53" t="s">
        <v>35</v>
      </c>
      <c r="Q53">
        <v>52</v>
      </c>
      <c r="R53" s="29"/>
      <c r="S53" s="30" t="s">
        <v>571</v>
      </c>
      <c r="T53" s="31">
        <v>15000</v>
      </c>
      <c r="U53" s="31">
        <v>105000</v>
      </c>
      <c r="V53" s="31">
        <v>0</v>
      </c>
      <c r="W53" s="30" t="s">
        <v>643</v>
      </c>
    </row>
    <row r="54" spans="1:23" x14ac:dyDescent="0.25">
      <c r="A54" t="s">
        <v>359</v>
      </c>
      <c r="B54" t="s">
        <v>360</v>
      </c>
      <c r="C54" t="s">
        <v>358</v>
      </c>
      <c r="D54" s="30" t="s">
        <v>162</v>
      </c>
      <c r="E54" s="30" t="s">
        <v>144</v>
      </c>
      <c r="F54" s="30" t="s">
        <v>352</v>
      </c>
      <c r="G54" s="29">
        <v>45870</v>
      </c>
      <c r="H54" s="29">
        <v>46234</v>
      </c>
      <c r="I54" s="25">
        <v>15000</v>
      </c>
      <c r="J54">
        <v>0</v>
      </c>
      <c r="K54" t="s">
        <v>35</v>
      </c>
      <c r="L54" s="25">
        <v>0</v>
      </c>
      <c r="M54" t="s">
        <v>570</v>
      </c>
      <c r="N54">
        <v>1</v>
      </c>
      <c r="O54" t="s">
        <v>35</v>
      </c>
      <c r="P54" t="s">
        <v>35</v>
      </c>
      <c r="Q54">
        <v>53</v>
      </c>
      <c r="R54" s="29"/>
      <c r="S54" s="30" t="s">
        <v>571</v>
      </c>
      <c r="T54" s="31">
        <v>15000</v>
      </c>
      <c r="U54" s="31">
        <v>105000</v>
      </c>
      <c r="V54" s="31">
        <v>0</v>
      </c>
      <c r="W54" s="30" t="s">
        <v>643</v>
      </c>
    </row>
    <row r="55" spans="1:23" x14ac:dyDescent="0.25">
      <c r="A55" t="s">
        <v>364</v>
      </c>
      <c r="B55" t="s">
        <v>365</v>
      </c>
      <c r="C55" t="s">
        <v>366</v>
      </c>
      <c r="D55" s="30" t="s">
        <v>162</v>
      </c>
      <c r="E55" s="30" t="s">
        <v>151</v>
      </c>
      <c r="F55" s="30" t="s">
        <v>361</v>
      </c>
      <c r="G55" s="29">
        <v>45231</v>
      </c>
      <c r="H55" s="29">
        <v>46326</v>
      </c>
      <c r="I55" s="25">
        <v>11195</v>
      </c>
      <c r="J55">
        <v>0</v>
      </c>
      <c r="K55" t="s">
        <v>629</v>
      </c>
      <c r="L55" s="25">
        <v>0</v>
      </c>
      <c r="M55" t="s">
        <v>570</v>
      </c>
      <c r="N55">
        <v>1</v>
      </c>
      <c r="O55" t="s">
        <v>35</v>
      </c>
      <c r="P55" t="s">
        <v>363</v>
      </c>
      <c r="Q55">
        <v>54</v>
      </c>
      <c r="R55" s="29"/>
      <c r="S55" s="30" t="s">
        <v>575</v>
      </c>
      <c r="T55" s="31">
        <v>11195</v>
      </c>
      <c r="U55" s="31">
        <v>78305</v>
      </c>
      <c r="V55" s="31">
        <v>33645</v>
      </c>
      <c r="W55" s="30" t="s">
        <v>644</v>
      </c>
    </row>
    <row r="56" spans="1:23" x14ac:dyDescent="0.25">
      <c r="A56" t="s">
        <v>370</v>
      </c>
      <c r="B56" t="s">
        <v>371</v>
      </c>
      <c r="C56" t="s">
        <v>372</v>
      </c>
      <c r="D56" s="30" t="s">
        <v>162</v>
      </c>
      <c r="E56" s="30" t="s">
        <v>157</v>
      </c>
      <c r="F56" s="30" t="s">
        <v>367</v>
      </c>
      <c r="G56" s="29">
        <v>45901</v>
      </c>
      <c r="H56" s="29">
        <v>46265</v>
      </c>
      <c r="I56" s="25">
        <v>10000</v>
      </c>
      <c r="J56">
        <v>0</v>
      </c>
      <c r="K56" t="s">
        <v>35</v>
      </c>
      <c r="L56" s="25">
        <v>0</v>
      </c>
      <c r="M56" t="s">
        <v>570</v>
      </c>
      <c r="N56">
        <v>1</v>
      </c>
      <c r="O56" t="s">
        <v>35</v>
      </c>
      <c r="P56" t="s">
        <v>35</v>
      </c>
      <c r="Q56">
        <v>55</v>
      </c>
      <c r="R56" s="29"/>
      <c r="S56" s="30" t="s">
        <v>571</v>
      </c>
      <c r="T56" s="31">
        <v>10000</v>
      </c>
      <c r="U56" s="31">
        <v>80000</v>
      </c>
      <c r="V56" s="31">
        <v>0</v>
      </c>
      <c r="W56" s="30" t="s">
        <v>645</v>
      </c>
    </row>
    <row r="57" spans="1:23" x14ac:dyDescent="0.25">
      <c r="A57" t="s">
        <v>374</v>
      </c>
      <c r="B57" t="s">
        <v>375</v>
      </c>
      <c r="C57" t="s">
        <v>203</v>
      </c>
      <c r="D57" s="30" t="s">
        <v>162</v>
      </c>
      <c r="E57" s="30" t="s">
        <v>373</v>
      </c>
      <c r="F57" s="30" t="s">
        <v>198</v>
      </c>
      <c r="G57" s="29">
        <v>46204</v>
      </c>
      <c r="H57" s="29">
        <v>46568</v>
      </c>
      <c r="I57" s="25">
        <v>13000</v>
      </c>
      <c r="J57">
        <v>0</v>
      </c>
      <c r="K57" t="s">
        <v>35</v>
      </c>
      <c r="L57" s="25">
        <v>0</v>
      </c>
      <c r="M57" t="s">
        <v>570</v>
      </c>
      <c r="N57">
        <v>1</v>
      </c>
      <c r="O57" t="s">
        <v>35</v>
      </c>
      <c r="P57" t="s">
        <v>35</v>
      </c>
      <c r="Q57">
        <v>56</v>
      </c>
      <c r="R57" s="29"/>
      <c r="S57" s="30" t="s">
        <v>575</v>
      </c>
      <c r="T57" s="31">
        <v>13000</v>
      </c>
      <c r="U57" s="31">
        <v>92000</v>
      </c>
      <c r="V57" s="31">
        <v>26000</v>
      </c>
      <c r="W57" s="30" t="s">
        <v>646</v>
      </c>
    </row>
    <row r="58" spans="1:23" x14ac:dyDescent="0.25">
      <c r="A58" t="s">
        <v>380</v>
      </c>
      <c r="B58" t="s">
        <v>381</v>
      </c>
      <c r="C58" t="s">
        <v>382</v>
      </c>
      <c r="D58" s="30" t="s">
        <v>162</v>
      </c>
      <c r="E58" s="30" t="s">
        <v>378</v>
      </c>
      <c r="F58" s="30" t="s">
        <v>376</v>
      </c>
      <c r="G58" s="29">
        <v>46174</v>
      </c>
      <c r="H58" s="29">
        <v>46538</v>
      </c>
      <c r="I58" s="25">
        <v>19000</v>
      </c>
      <c r="J58">
        <v>0</v>
      </c>
      <c r="K58" t="s">
        <v>35</v>
      </c>
      <c r="L58" s="25">
        <v>0</v>
      </c>
      <c r="M58" t="s">
        <v>570</v>
      </c>
      <c r="N58">
        <v>1</v>
      </c>
      <c r="O58" t="s">
        <v>35</v>
      </c>
      <c r="P58" t="s">
        <v>35</v>
      </c>
      <c r="Q58">
        <v>57</v>
      </c>
      <c r="R58" s="29"/>
      <c r="S58" s="30" t="s">
        <v>575</v>
      </c>
      <c r="T58" s="31">
        <v>19000</v>
      </c>
      <c r="U58" s="31">
        <v>142000</v>
      </c>
      <c r="V58" s="31">
        <v>38000</v>
      </c>
      <c r="W58" s="30" t="s">
        <v>647</v>
      </c>
    </row>
    <row r="59" spans="1:23" x14ac:dyDescent="0.25">
      <c r="A59" t="s">
        <v>388</v>
      </c>
      <c r="B59" t="s">
        <v>389</v>
      </c>
      <c r="C59" t="s">
        <v>390</v>
      </c>
      <c r="D59" s="30" t="s">
        <v>162</v>
      </c>
      <c r="E59" s="30" t="s">
        <v>385</v>
      </c>
      <c r="F59" s="30" t="s">
        <v>383</v>
      </c>
      <c r="G59" s="29">
        <v>46180</v>
      </c>
      <c r="H59" s="29">
        <v>46544</v>
      </c>
      <c r="I59" s="25">
        <v>18000</v>
      </c>
      <c r="J59">
        <v>0</v>
      </c>
      <c r="K59" t="s">
        <v>35</v>
      </c>
      <c r="L59" s="25">
        <v>0</v>
      </c>
      <c r="M59" t="s">
        <v>570</v>
      </c>
      <c r="N59">
        <v>1</v>
      </c>
      <c r="O59" t="s">
        <v>35</v>
      </c>
      <c r="P59" t="s">
        <v>35</v>
      </c>
      <c r="Q59">
        <v>58</v>
      </c>
      <c r="R59" s="29"/>
      <c r="S59" s="30" t="s">
        <v>575</v>
      </c>
      <c r="T59" s="31">
        <v>18000</v>
      </c>
      <c r="U59" s="31">
        <v>49500</v>
      </c>
      <c r="V59" s="31">
        <v>36900</v>
      </c>
      <c r="W59" s="30" t="s">
        <v>648</v>
      </c>
    </row>
    <row r="60" spans="1:23" x14ac:dyDescent="0.25">
      <c r="A60" t="s">
        <v>395</v>
      </c>
      <c r="B60" t="s">
        <v>396</v>
      </c>
      <c r="C60" t="s">
        <v>397</v>
      </c>
      <c r="D60" s="30" t="s">
        <v>162</v>
      </c>
      <c r="E60" s="30" t="s">
        <v>393</v>
      </c>
      <c r="F60" s="30" t="s">
        <v>391</v>
      </c>
      <c r="G60" s="29">
        <v>45170</v>
      </c>
      <c r="H60" s="29">
        <v>46265</v>
      </c>
      <c r="I60" s="25">
        <v>9680</v>
      </c>
      <c r="J60">
        <v>0</v>
      </c>
      <c r="K60" t="s">
        <v>649</v>
      </c>
      <c r="L60" s="25">
        <v>0</v>
      </c>
      <c r="M60" t="s">
        <v>570</v>
      </c>
      <c r="N60">
        <v>1</v>
      </c>
      <c r="O60" t="s">
        <v>35</v>
      </c>
      <c r="P60" t="s">
        <v>35</v>
      </c>
      <c r="Q60">
        <v>59</v>
      </c>
      <c r="R60" s="29"/>
      <c r="S60" s="30" t="s">
        <v>571</v>
      </c>
      <c r="T60" s="31">
        <v>9680</v>
      </c>
      <c r="U60" s="31">
        <v>77440</v>
      </c>
      <c r="V60" s="31">
        <v>0</v>
      </c>
      <c r="W60" s="30" t="s">
        <v>650</v>
      </c>
    </row>
    <row r="61" spans="1:23" x14ac:dyDescent="0.25">
      <c r="A61" t="s">
        <v>403</v>
      </c>
      <c r="B61" t="s">
        <v>404</v>
      </c>
      <c r="C61" t="s">
        <v>405</v>
      </c>
      <c r="D61" s="30" t="s">
        <v>162</v>
      </c>
      <c r="E61" s="30" t="s">
        <v>400</v>
      </c>
      <c r="F61" s="30" t="s">
        <v>398</v>
      </c>
      <c r="G61" s="29">
        <v>45931</v>
      </c>
      <c r="H61" s="29">
        <v>46295</v>
      </c>
      <c r="I61" s="25">
        <v>19000</v>
      </c>
      <c r="J61">
        <v>0</v>
      </c>
      <c r="K61" t="s">
        <v>35</v>
      </c>
      <c r="L61" s="25">
        <v>0</v>
      </c>
      <c r="M61" t="s">
        <v>570</v>
      </c>
      <c r="N61">
        <v>1</v>
      </c>
      <c r="O61" t="s">
        <v>35</v>
      </c>
      <c r="P61" t="s">
        <v>35</v>
      </c>
      <c r="Q61">
        <v>60</v>
      </c>
      <c r="R61" s="29"/>
      <c r="S61" s="30" t="s">
        <v>571</v>
      </c>
      <c r="T61" s="31">
        <v>19000</v>
      </c>
      <c r="U61" s="31">
        <v>152000</v>
      </c>
      <c r="V61" s="31">
        <v>19000</v>
      </c>
      <c r="W61" s="30" t="s">
        <v>651</v>
      </c>
    </row>
    <row r="62" spans="1:23" x14ac:dyDescent="0.25">
      <c r="A62" t="s">
        <v>409</v>
      </c>
      <c r="B62" t="s">
        <v>410</v>
      </c>
      <c r="C62" t="s">
        <v>411</v>
      </c>
      <c r="D62" s="30" t="s">
        <v>162</v>
      </c>
      <c r="E62" s="30" t="s">
        <v>407</v>
      </c>
      <c r="F62" s="30" t="s">
        <v>406</v>
      </c>
      <c r="G62" s="29">
        <v>45231</v>
      </c>
      <c r="H62" s="29">
        <v>46326</v>
      </c>
      <c r="I62" s="25">
        <v>11495</v>
      </c>
      <c r="J62">
        <v>0</v>
      </c>
      <c r="K62" t="s">
        <v>611</v>
      </c>
      <c r="L62" s="25">
        <v>0</v>
      </c>
      <c r="M62" t="s">
        <v>570</v>
      </c>
      <c r="N62">
        <v>1</v>
      </c>
      <c r="O62" t="s">
        <v>35</v>
      </c>
      <c r="P62" t="s">
        <v>35</v>
      </c>
      <c r="Q62">
        <v>61</v>
      </c>
      <c r="R62" s="29"/>
      <c r="S62" s="30" t="s">
        <v>575</v>
      </c>
      <c r="T62" s="31">
        <v>11495</v>
      </c>
      <c r="U62" s="31">
        <v>91960</v>
      </c>
      <c r="V62" s="31">
        <v>22990</v>
      </c>
      <c r="W62" s="30" t="s">
        <v>652</v>
      </c>
    </row>
    <row r="63" spans="1:23" x14ac:dyDescent="0.25">
      <c r="A63" t="s">
        <v>415</v>
      </c>
      <c r="B63" t="s">
        <v>416</v>
      </c>
      <c r="C63" t="s">
        <v>417</v>
      </c>
      <c r="D63" s="30" t="s">
        <v>162</v>
      </c>
      <c r="E63" s="30" t="s">
        <v>413</v>
      </c>
      <c r="F63" s="30" t="s">
        <v>412</v>
      </c>
      <c r="G63" s="29">
        <v>45962</v>
      </c>
      <c r="H63" s="29">
        <v>46326</v>
      </c>
      <c r="I63" s="25">
        <v>11000</v>
      </c>
      <c r="J63">
        <v>0</v>
      </c>
      <c r="K63" t="s">
        <v>35</v>
      </c>
      <c r="L63" s="25">
        <v>0</v>
      </c>
      <c r="M63" t="s">
        <v>570</v>
      </c>
      <c r="N63">
        <v>1</v>
      </c>
      <c r="O63" t="s">
        <v>35</v>
      </c>
      <c r="P63" t="s">
        <v>35</v>
      </c>
      <c r="Q63">
        <v>62</v>
      </c>
      <c r="R63" s="29"/>
      <c r="S63" s="30" t="s">
        <v>575</v>
      </c>
      <c r="T63" s="31">
        <v>11000</v>
      </c>
      <c r="U63" s="31">
        <v>88000</v>
      </c>
      <c r="V63" s="31">
        <v>22000</v>
      </c>
      <c r="W63" s="30" t="s">
        <v>653</v>
      </c>
    </row>
    <row r="64" spans="1:23" x14ac:dyDescent="0.25">
      <c r="A64" t="s">
        <v>423</v>
      </c>
      <c r="B64" t="s">
        <v>424</v>
      </c>
      <c r="C64" t="s">
        <v>425</v>
      </c>
      <c r="D64" s="30" t="s">
        <v>162</v>
      </c>
      <c r="E64" s="30" t="s">
        <v>419</v>
      </c>
      <c r="F64" s="30" t="s">
        <v>418</v>
      </c>
      <c r="G64" s="29">
        <v>46219</v>
      </c>
      <c r="H64" s="29">
        <v>46583</v>
      </c>
      <c r="I64" s="25">
        <v>8775</v>
      </c>
      <c r="J64">
        <v>0</v>
      </c>
      <c r="K64" t="s">
        <v>35</v>
      </c>
      <c r="L64" s="25">
        <v>0</v>
      </c>
      <c r="M64" t="s">
        <v>570</v>
      </c>
      <c r="N64">
        <v>1</v>
      </c>
      <c r="O64" t="s">
        <v>35</v>
      </c>
      <c r="P64" t="s">
        <v>422</v>
      </c>
      <c r="Q64">
        <v>63</v>
      </c>
      <c r="R64" s="29"/>
      <c r="S64" s="30" t="s">
        <v>575</v>
      </c>
      <c r="T64" s="31">
        <v>8775</v>
      </c>
      <c r="U64" s="31">
        <v>64040</v>
      </c>
      <c r="V64" s="31">
        <v>26325</v>
      </c>
      <c r="W64" s="30" t="s">
        <v>654</v>
      </c>
    </row>
    <row r="65" spans="1:23" x14ac:dyDescent="0.25">
      <c r="A65" t="s">
        <v>430</v>
      </c>
      <c r="B65" t="s">
        <v>431</v>
      </c>
      <c r="C65" t="s">
        <v>432</v>
      </c>
      <c r="D65" s="30" t="s">
        <v>162</v>
      </c>
      <c r="E65" s="30" t="s">
        <v>428</v>
      </c>
      <c r="F65" s="30" t="s">
        <v>426</v>
      </c>
      <c r="G65" s="29">
        <v>46219</v>
      </c>
      <c r="H65" s="29">
        <v>46583</v>
      </c>
      <c r="I65" s="25">
        <v>19000</v>
      </c>
      <c r="J65">
        <v>0</v>
      </c>
      <c r="K65" t="s">
        <v>35</v>
      </c>
      <c r="L65" s="25">
        <v>0</v>
      </c>
      <c r="M65" t="s">
        <v>570</v>
      </c>
      <c r="N65">
        <v>1</v>
      </c>
      <c r="O65" t="s">
        <v>35</v>
      </c>
      <c r="P65" t="s">
        <v>35</v>
      </c>
      <c r="Q65">
        <v>64</v>
      </c>
      <c r="R65" s="29"/>
      <c r="S65" s="30" t="s">
        <v>575</v>
      </c>
      <c r="T65" s="31">
        <v>19000</v>
      </c>
      <c r="U65" s="31">
        <v>126000</v>
      </c>
      <c r="V65" s="31">
        <v>38000</v>
      </c>
      <c r="W65" s="30" t="s">
        <v>655</v>
      </c>
    </row>
    <row r="66" spans="1:23" x14ac:dyDescent="0.25">
      <c r="A66" t="s">
        <v>438</v>
      </c>
      <c r="B66" t="s">
        <v>439</v>
      </c>
      <c r="C66" t="s">
        <v>440</v>
      </c>
      <c r="D66" s="30" t="s">
        <v>162</v>
      </c>
      <c r="E66" s="30" t="s">
        <v>435</v>
      </c>
      <c r="F66" s="30" t="s">
        <v>433</v>
      </c>
      <c r="G66" s="29">
        <v>46143</v>
      </c>
      <c r="H66" s="29">
        <v>46507</v>
      </c>
      <c r="I66" s="25">
        <v>10500</v>
      </c>
      <c r="J66">
        <v>0</v>
      </c>
      <c r="K66" t="s">
        <v>35</v>
      </c>
      <c r="L66" s="25">
        <v>0</v>
      </c>
      <c r="M66" t="s">
        <v>570</v>
      </c>
      <c r="N66">
        <v>1</v>
      </c>
      <c r="O66" t="s">
        <v>35</v>
      </c>
      <c r="P66" t="s">
        <v>437</v>
      </c>
      <c r="Q66">
        <v>65</v>
      </c>
      <c r="R66" s="29"/>
      <c r="S66" s="30" t="s">
        <v>575</v>
      </c>
      <c r="T66" s="31">
        <v>10500</v>
      </c>
      <c r="U66" s="31">
        <v>42000</v>
      </c>
      <c r="V66" s="31">
        <v>63000</v>
      </c>
      <c r="W66" s="30" t="s">
        <v>656</v>
      </c>
    </row>
    <row r="67" spans="1:23" x14ac:dyDescent="0.25">
      <c r="A67" t="s">
        <v>445</v>
      </c>
      <c r="B67" t="s">
        <v>446</v>
      </c>
      <c r="C67" t="s">
        <v>447</v>
      </c>
      <c r="D67" s="30" t="s">
        <v>162</v>
      </c>
      <c r="E67" s="30" t="s">
        <v>443</v>
      </c>
      <c r="F67" s="30" t="s">
        <v>441</v>
      </c>
      <c r="G67" s="29">
        <v>45839</v>
      </c>
      <c r="H67" s="29">
        <v>46203</v>
      </c>
      <c r="I67" s="25">
        <v>13000</v>
      </c>
      <c r="J67">
        <v>0</v>
      </c>
      <c r="K67" t="s">
        <v>35</v>
      </c>
      <c r="L67" s="25">
        <v>0</v>
      </c>
      <c r="M67" t="s">
        <v>570</v>
      </c>
      <c r="N67">
        <v>1</v>
      </c>
      <c r="O67" t="s">
        <v>35</v>
      </c>
      <c r="P67" t="s">
        <v>35</v>
      </c>
      <c r="Q67">
        <v>66</v>
      </c>
      <c r="R67" s="29"/>
      <c r="S67" s="30" t="s">
        <v>571</v>
      </c>
      <c r="T67" s="31">
        <v>13000</v>
      </c>
      <c r="U67" s="31">
        <v>78000</v>
      </c>
      <c r="V67" s="31">
        <v>0</v>
      </c>
      <c r="W67" s="30" t="s">
        <v>657</v>
      </c>
    </row>
    <row r="68" spans="1:23" x14ac:dyDescent="0.25">
      <c r="A68" t="s">
        <v>453</v>
      </c>
      <c r="B68" t="s">
        <v>454</v>
      </c>
      <c r="C68" t="s">
        <v>455</v>
      </c>
      <c r="D68" s="30" t="s">
        <v>162</v>
      </c>
      <c r="E68" s="30" t="s">
        <v>450</v>
      </c>
      <c r="F68" s="30" t="s">
        <v>448</v>
      </c>
      <c r="G68" s="29">
        <v>45916</v>
      </c>
      <c r="H68" s="29">
        <v>46280</v>
      </c>
      <c r="I68" s="25">
        <v>17000</v>
      </c>
      <c r="J68">
        <v>0</v>
      </c>
      <c r="K68" t="s">
        <v>35</v>
      </c>
      <c r="L68" s="25">
        <v>0</v>
      </c>
      <c r="M68" t="s">
        <v>570</v>
      </c>
      <c r="N68">
        <v>1</v>
      </c>
      <c r="O68" t="s">
        <v>35</v>
      </c>
      <c r="P68" t="s">
        <v>35</v>
      </c>
      <c r="Q68">
        <v>67</v>
      </c>
      <c r="R68" s="29"/>
      <c r="S68" s="30" t="s">
        <v>571</v>
      </c>
      <c r="T68" s="31">
        <v>17000</v>
      </c>
      <c r="U68" s="31">
        <v>136000</v>
      </c>
      <c r="V68" s="31">
        <v>8500</v>
      </c>
      <c r="W68" s="30" t="s">
        <v>623</v>
      </c>
    </row>
    <row r="69" spans="1:23" x14ac:dyDescent="0.25">
      <c r="A69" t="s">
        <v>460</v>
      </c>
      <c r="B69" t="s">
        <v>461</v>
      </c>
      <c r="C69" t="s">
        <v>462</v>
      </c>
      <c r="D69" s="30" t="s">
        <v>162</v>
      </c>
      <c r="E69" s="30" t="s">
        <v>458</v>
      </c>
      <c r="F69" s="30" t="s">
        <v>456</v>
      </c>
      <c r="G69" s="29">
        <v>46204</v>
      </c>
      <c r="H69" s="29">
        <v>46568</v>
      </c>
      <c r="I69" s="25">
        <v>20000</v>
      </c>
      <c r="J69">
        <v>0</v>
      </c>
      <c r="K69" t="s">
        <v>35</v>
      </c>
      <c r="L69" s="25">
        <v>0</v>
      </c>
      <c r="M69" t="s">
        <v>570</v>
      </c>
      <c r="N69">
        <v>1</v>
      </c>
      <c r="O69" t="s">
        <v>35</v>
      </c>
      <c r="P69" t="s">
        <v>35</v>
      </c>
      <c r="Q69">
        <v>68</v>
      </c>
      <c r="R69" s="29"/>
      <c r="S69" s="30" t="s">
        <v>575</v>
      </c>
      <c r="T69" s="31">
        <v>20000</v>
      </c>
      <c r="U69" s="31">
        <v>40000</v>
      </c>
      <c r="V69" s="31">
        <v>40000</v>
      </c>
      <c r="W69" s="30" t="s">
        <v>607</v>
      </c>
    </row>
    <row r="70" spans="1:23" x14ac:dyDescent="0.25">
      <c r="A70" t="s">
        <v>467</v>
      </c>
      <c r="B70" t="s">
        <v>468</v>
      </c>
      <c r="C70" t="s">
        <v>469</v>
      </c>
      <c r="D70" s="30" t="s">
        <v>162</v>
      </c>
      <c r="E70" s="30" t="s">
        <v>465</v>
      </c>
      <c r="F70" s="30" t="s">
        <v>463</v>
      </c>
      <c r="G70" s="29">
        <v>45946</v>
      </c>
      <c r="H70" s="29">
        <v>46310</v>
      </c>
      <c r="I70" s="25">
        <v>11000</v>
      </c>
      <c r="J70">
        <v>0</v>
      </c>
      <c r="K70" t="s">
        <v>35</v>
      </c>
      <c r="L70" s="25">
        <v>0</v>
      </c>
      <c r="M70" t="s">
        <v>570</v>
      </c>
      <c r="N70">
        <v>1</v>
      </c>
      <c r="O70" t="s">
        <v>35</v>
      </c>
      <c r="P70" t="s">
        <v>35</v>
      </c>
      <c r="Q70">
        <v>69</v>
      </c>
      <c r="R70" s="29"/>
      <c r="S70" s="30" t="s">
        <v>575</v>
      </c>
      <c r="T70" s="31">
        <v>11000</v>
      </c>
      <c r="U70" s="31">
        <v>77000</v>
      </c>
      <c r="V70" s="31">
        <v>27323</v>
      </c>
      <c r="W70" s="30" t="s">
        <v>658</v>
      </c>
    </row>
    <row r="71" spans="1:23" x14ac:dyDescent="0.25">
      <c r="A71" t="s">
        <v>473</v>
      </c>
      <c r="B71" t="s">
        <v>474</v>
      </c>
      <c r="C71" t="s">
        <v>475</v>
      </c>
      <c r="D71" s="30" t="s">
        <v>162</v>
      </c>
      <c r="E71" s="30" t="s">
        <v>471</v>
      </c>
      <c r="F71" s="30" t="s">
        <v>470</v>
      </c>
      <c r="G71" s="29">
        <v>45938</v>
      </c>
      <c r="H71" s="29">
        <v>46302</v>
      </c>
      <c r="I71" s="25">
        <v>11000</v>
      </c>
      <c r="J71">
        <v>0</v>
      </c>
      <c r="K71" t="s">
        <v>35</v>
      </c>
      <c r="L71" s="25">
        <v>0</v>
      </c>
      <c r="M71" t="s">
        <v>570</v>
      </c>
      <c r="N71">
        <v>1</v>
      </c>
      <c r="O71" t="s">
        <v>35</v>
      </c>
      <c r="P71" t="s">
        <v>35</v>
      </c>
      <c r="Q71">
        <v>70</v>
      </c>
      <c r="R71" s="29"/>
      <c r="S71" s="30" t="s">
        <v>571</v>
      </c>
      <c r="T71" s="31">
        <v>11000</v>
      </c>
      <c r="U71" s="31">
        <v>55000</v>
      </c>
      <c r="V71" s="31">
        <v>46484</v>
      </c>
      <c r="W71" s="30" t="s">
        <v>659</v>
      </c>
    </row>
    <row r="72" spans="1:23" x14ac:dyDescent="0.25">
      <c r="A72" t="s">
        <v>481</v>
      </c>
      <c r="B72" t="s">
        <v>482</v>
      </c>
      <c r="C72" t="s">
        <v>483</v>
      </c>
      <c r="D72" s="30" t="s">
        <v>162</v>
      </c>
      <c r="E72" s="30" t="s">
        <v>478</v>
      </c>
      <c r="F72" s="30" t="s">
        <v>476</v>
      </c>
      <c r="G72" s="29">
        <v>45139</v>
      </c>
      <c r="H72" s="29">
        <v>46234</v>
      </c>
      <c r="I72" s="25">
        <v>10890</v>
      </c>
      <c r="J72">
        <v>0</v>
      </c>
      <c r="K72" t="s">
        <v>660</v>
      </c>
      <c r="L72" s="25">
        <v>0</v>
      </c>
      <c r="M72" t="s">
        <v>570</v>
      </c>
      <c r="N72">
        <v>1</v>
      </c>
      <c r="O72" t="s">
        <v>35</v>
      </c>
      <c r="P72" t="s">
        <v>35</v>
      </c>
      <c r="Q72">
        <v>71</v>
      </c>
      <c r="R72" s="29"/>
      <c r="S72" s="30" t="s">
        <v>571</v>
      </c>
      <c r="T72" s="31">
        <v>10890</v>
      </c>
      <c r="U72" s="31">
        <v>65340</v>
      </c>
      <c r="V72" s="31">
        <v>10890</v>
      </c>
      <c r="W72" s="30" t="s">
        <v>661</v>
      </c>
    </row>
    <row r="73" spans="1:23" x14ac:dyDescent="0.25">
      <c r="A73" t="s">
        <v>488</v>
      </c>
      <c r="B73" t="s">
        <v>489</v>
      </c>
      <c r="C73" t="s">
        <v>490</v>
      </c>
      <c r="D73" s="30" t="s">
        <v>162</v>
      </c>
      <c r="E73" s="30" t="s">
        <v>486</v>
      </c>
      <c r="F73" s="30" t="s">
        <v>484</v>
      </c>
      <c r="G73" s="29">
        <v>45901</v>
      </c>
      <c r="H73" s="29">
        <v>46265</v>
      </c>
      <c r="I73" s="25">
        <v>13000</v>
      </c>
      <c r="J73">
        <v>0</v>
      </c>
      <c r="K73" t="s">
        <v>35</v>
      </c>
      <c r="L73" s="25">
        <v>0</v>
      </c>
      <c r="M73" t="s">
        <v>570</v>
      </c>
      <c r="N73">
        <v>1</v>
      </c>
      <c r="O73" t="s">
        <v>35</v>
      </c>
      <c r="P73" t="s">
        <v>35</v>
      </c>
      <c r="Q73">
        <v>72</v>
      </c>
      <c r="R73" s="29"/>
      <c r="S73" s="30" t="s">
        <v>571</v>
      </c>
      <c r="T73" s="31">
        <v>13000</v>
      </c>
      <c r="U73" s="31">
        <v>104000</v>
      </c>
      <c r="V73" s="31">
        <v>0</v>
      </c>
      <c r="W73" s="30" t="s">
        <v>662</v>
      </c>
    </row>
    <row r="74" spans="1:23" x14ac:dyDescent="0.25">
      <c r="A74" t="s">
        <v>492</v>
      </c>
      <c r="B74" t="s">
        <v>493</v>
      </c>
      <c r="C74" t="s">
        <v>490</v>
      </c>
      <c r="D74" s="30" t="s">
        <v>162</v>
      </c>
      <c r="E74" s="30" t="s">
        <v>491</v>
      </c>
      <c r="F74" s="30" t="s">
        <v>484</v>
      </c>
      <c r="G74" s="29">
        <v>45931</v>
      </c>
      <c r="H74" s="29">
        <v>46295</v>
      </c>
      <c r="I74" s="25">
        <v>13000</v>
      </c>
      <c r="J74">
        <v>0</v>
      </c>
      <c r="K74" t="s">
        <v>35</v>
      </c>
      <c r="L74" s="25">
        <v>0</v>
      </c>
      <c r="M74" t="s">
        <v>570</v>
      </c>
      <c r="N74">
        <v>1</v>
      </c>
      <c r="O74" t="s">
        <v>35</v>
      </c>
      <c r="P74" t="s">
        <v>35</v>
      </c>
      <c r="Q74">
        <v>73</v>
      </c>
      <c r="R74" s="29"/>
      <c r="S74" s="30" t="s">
        <v>571</v>
      </c>
      <c r="T74" s="31">
        <v>13000</v>
      </c>
      <c r="U74" s="31">
        <v>104000</v>
      </c>
      <c r="V74" s="31">
        <v>13000</v>
      </c>
      <c r="W74" s="30" t="s">
        <v>663</v>
      </c>
    </row>
    <row r="75" spans="13:13" x14ac:dyDescent="0.25"/>
    <row r="76" spans="13:13" x14ac:dyDescent="0.25"/>
    <row r="77" spans="13:13" x14ac:dyDescent="0.25"/>
    <row r="78" spans="13:13" x14ac:dyDescent="0.25"/>
    <row r="79" spans="13:13" x14ac:dyDescent="0.25"/>
    <row r="80" spans="13:13" x14ac:dyDescent="0.25"/>
    <row r="81" spans="13:13" x14ac:dyDescent="0.25"/>
    <row r="82" spans="13:13" x14ac:dyDescent="0.25"/>
    <row r="83" spans="13:13" x14ac:dyDescent="0.25"/>
    <row r="84" spans="13:13" x14ac:dyDescent="0.25"/>
    <row r="85" spans="13:13" x14ac:dyDescent="0.25"/>
    <row r="86" spans="13:13" x14ac:dyDescent="0.25"/>
    <row r="87" spans="13:13" x14ac:dyDescent="0.25"/>
    <row r="88" spans="13:13" x14ac:dyDescent="0.25"/>
    <row r="89" spans="13:13" x14ac:dyDescent="0.25"/>
    <row r="90" spans="13:13" x14ac:dyDescent="0.25"/>
    <row r="91" spans="13:13" x14ac:dyDescent="0.25"/>
    <row r="92" spans="13:13" x14ac:dyDescent="0.25"/>
    <row r="93" spans="13:13" x14ac:dyDescent="0.25"/>
    <row r="94" spans="13:13" x14ac:dyDescent="0.25"/>
    <row r="95" spans="13:13" x14ac:dyDescent="0.25"/>
    <row r="96" spans="13:13" x14ac:dyDescent="0.25"/>
    <row r="97" spans="13:13" x14ac:dyDescent="0.25"/>
    <row r="98" spans="13:13" x14ac:dyDescent="0.25"/>
    <row r="99" spans="13:13" x14ac:dyDescent="0.25"/>
    <row r="100" spans="13:13" x14ac:dyDescent="0.25"/>
    <row r="101" spans="13:13" x14ac:dyDescent="0.25"/>
    <row r="102" spans="13:13" x14ac:dyDescent="0.25"/>
    <row r="103" spans="13:13" x14ac:dyDescent="0.25"/>
    <row r="104" spans="13:13" x14ac:dyDescent="0.25"/>
    <row r="105" spans="13:13" x14ac:dyDescent="0.25"/>
    <row r="106" spans="13:13" x14ac:dyDescent="0.25"/>
    <row r="107" spans="13:13" x14ac:dyDescent="0.25"/>
    <row r="108" spans="13:13" x14ac:dyDescent="0.25"/>
    <row r="109" spans="13:13" x14ac:dyDescent="0.25"/>
    <row r="110" spans="13:13" x14ac:dyDescent="0.25"/>
    <row r="111" spans="13:13" x14ac:dyDescent="0.25"/>
    <row r="112" spans="13:13" x14ac:dyDescent="0.25"/>
    <row r="113" spans="13:13" x14ac:dyDescent="0.25"/>
    <row r="114" spans="13:13" x14ac:dyDescent="0.25"/>
    <row r="115" spans="13:13" x14ac:dyDescent="0.25"/>
    <row r="116" spans="13:13" x14ac:dyDescent="0.25"/>
    <row r="117" spans="13:13" x14ac:dyDescent="0.25"/>
    <row r="118" spans="13:13" x14ac:dyDescent="0.25"/>
    <row r="119" spans="13:13" x14ac:dyDescent="0.25"/>
    <row r="120" spans="13:13" x14ac:dyDescent="0.25"/>
    <row r="121" spans="13:13" x14ac:dyDescent="0.25"/>
    <row r="122" spans="13:13" x14ac:dyDescent="0.25"/>
    <row r="123" spans="13:13" x14ac:dyDescent="0.25"/>
    <row r="124" spans="13:13" x14ac:dyDescent="0.25"/>
    <row r="125" spans="13:13" x14ac:dyDescent="0.25"/>
    <row r="126" spans="13:13" x14ac:dyDescent="0.25"/>
    <row r="127" spans="13:13" x14ac:dyDescent="0.25"/>
    <row r="128" spans="13:13" x14ac:dyDescent="0.25"/>
    <row r="129" spans="13:13" x14ac:dyDescent="0.25"/>
    <row r="130" spans="13:13" x14ac:dyDescent="0.25"/>
    <row r="131" spans="13:13" x14ac:dyDescent="0.25"/>
    <row r="132" spans="13:13" x14ac:dyDescent="0.25"/>
    <row r="133" spans="13:13" x14ac:dyDescent="0.25"/>
    <row r="134" spans="13:13" x14ac:dyDescent="0.25"/>
    <row r="135" spans="13:13" x14ac:dyDescent="0.25"/>
    <row r="136" spans="13:13" x14ac:dyDescent="0.25"/>
    <row r="137" spans="13:13" x14ac:dyDescent="0.25"/>
    <row r="138" spans="13:13" x14ac:dyDescent="0.25"/>
    <row r="139" spans="13:13" x14ac:dyDescent="0.25"/>
    <row r="140" spans="13:13" x14ac:dyDescent="0.25"/>
    <row r="141" spans="13:13" x14ac:dyDescent="0.25"/>
    <row r="142" spans="13:13" x14ac:dyDescent="0.25"/>
    <row r="143" spans="13:13" x14ac:dyDescent="0.25"/>
    <row r="144" spans="13:13" x14ac:dyDescent="0.25"/>
    <row r="145" spans="13:13" x14ac:dyDescent="0.25"/>
    <row r="146" spans="13:13" x14ac:dyDescent="0.25"/>
    <row r="147" spans="13:13" x14ac:dyDescent="0.25"/>
    <row r="148" spans="13:13" x14ac:dyDescent="0.25"/>
    <row r="149" spans="13:13" x14ac:dyDescent="0.25"/>
    <row r="150" spans="13:13" x14ac:dyDescent="0.25"/>
    <row r="151" spans="13:13" x14ac:dyDescent="0.25"/>
    <row r="152" spans="13:13" x14ac:dyDescent="0.25"/>
    <row r="153" spans="13:13" x14ac:dyDescent="0.25"/>
    <row r="154" spans="13:13" x14ac:dyDescent="0.25"/>
    <row r="155" spans="13:13" x14ac:dyDescent="0.25"/>
    <row r="156" spans="13:13" x14ac:dyDescent="0.25"/>
    <row r="157" spans="13:13" x14ac:dyDescent="0.25"/>
    <row r="158" spans="13:13" x14ac:dyDescent="0.25"/>
    <row r="159" spans="13:13" x14ac:dyDescent="0.25"/>
    <row r="160" spans="13:13" x14ac:dyDescent="0.25"/>
    <row r="161" spans="13:13" x14ac:dyDescent="0.25"/>
    <row r="162" spans="13:13" x14ac:dyDescent="0.25"/>
    <row r="163" spans="13:13" x14ac:dyDescent="0.25"/>
    <row r="164" spans="13:13" x14ac:dyDescent="0.25"/>
    <row r="165" spans="13:13" x14ac:dyDescent="0.25"/>
    <row r="166" spans="13:13" x14ac:dyDescent="0.25"/>
    <row r="167" spans="13:13" x14ac:dyDescent="0.25"/>
    <row r="168" spans="13:13" x14ac:dyDescent="0.25"/>
    <row r="169" spans="13:13" x14ac:dyDescent="0.25"/>
    <row r="170" spans="13:13" x14ac:dyDescent="0.25"/>
    <row r="171" spans="13:13" x14ac:dyDescent="0.25"/>
    <row r="172" spans="13:13" x14ac:dyDescent="0.25"/>
    <row r="173" spans="13:13" x14ac:dyDescent="0.25"/>
    <row r="174" spans="13:13" x14ac:dyDescent="0.25"/>
    <row r="175" spans="13:13" x14ac:dyDescent="0.25"/>
    <row r="176" spans="13:13" x14ac:dyDescent="0.25"/>
    <row r="177" spans="13:13" x14ac:dyDescent="0.25"/>
    <row r="178" spans="13:13" x14ac:dyDescent="0.25"/>
    <row r="179" spans="13:13" x14ac:dyDescent="0.25"/>
    <row r="180" spans="13:13" x14ac:dyDescent="0.25"/>
    <row r="181" spans="13:13" x14ac:dyDescent="0.25"/>
    <row r="182" spans="13:13" x14ac:dyDescent="0.25"/>
    <row r="183" spans="13:13" x14ac:dyDescent="0.25"/>
    <row r="184" spans="13:13" x14ac:dyDescent="0.25"/>
    <row r="185" spans="13:13" x14ac:dyDescent="0.25"/>
    <row r="186" spans="13:13" x14ac:dyDescent="0.25"/>
    <row r="187" spans="13:13" x14ac:dyDescent="0.25"/>
    <row r="188" spans="13:13" x14ac:dyDescent="0.25"/>
    <row r="189" spans="13:13" x14ac:dyDescent="0.25"/>
    <row r="190" spans="13:13" x14ac:dyDescent="0.25"/>
    <row r="191" spans="13:13" x14ac:dyDescent="0.25"/>
    <row r="192" spans="13:13" x14ac:dyDescent="0.25"/>
    <row r="193" spans="13:13" x14ac:dyDescent="0.25"/>
    <row r="194" spans="13:13" x14ac:dyDescent="0.25"/>
    <row r="195" spans="13:13" x14ac:dyDescent="0.25"/>
    <row r="196" spans="13:13" x14ac:dyDescent="0.25"/>
    <row r="197" spans="13:13" x14ac:dyDescent="0.25"/>
    <row r="198" spans="13:13" x14ac:dyDescent="0.25"/>
    <row r="199" spans="13:13" x14ac:dyDescent="0.25"/>
    <row r="200" spans="13:13" x14ac:dyDescent="0.25"/>
  </sheetData>
  <autoFilter ref="A1:W74"/>
  <dataValidations count="2">
    <dataValidation type="list" allowBlank="1" showErrorMessage="1" errorTitle="قيمة غير مسموحة" error="اختر من القائمة: محتفظ به / مردود / مخصوم / بدون تأمين" sqref="M10:M200">
      <formula1>"محتفظ به,مردود,مخصوم,بدون تأمين"</formula1>
    </dataValidation>
    <dataValidation type="list" allowBlank="1" showErrorMessage="1" errorTitle="قيمة غير مسموحة" error="اختر من القائمة: محتفظ به / مردود / مخصوم / بدون تأمين" sqref="M2:M200">
      <formula1>"محتفظ به,مردود,مخصوم,بدون تأمين"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0"/>
  <sheetViews>
    <sheetView workbookViewId="0" rightToLeft="1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30" customWidth="1"/>
    <col min="4" max="4" width="12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30" customWidth="1"/>
    <col min="11" max="11" width="10" customWidth="1"/>
    <col min="12" max="12" width="12" customWidth="1"/>
  </cols>
  <sheetData>
    <row r="1" ht="28" customHeight="1" spans="1:12" x14ac:dyDescent="0.25">
      <c r="A1" s="3" t="s">
        <v>664</v>
      </c>
      <c r="B1" s="3" t="s">
        <v>26</v>
      </c>
      <c r="C1" s="3" t="s">
        <v>556</v>
      </c>
      <c r="D1" s="3" t="s">
        <v>6</v>
      </c>
      <c r="E1" s="3" t="s">
        <v>665</v>
      </c>
      <c r="F1" s="3" t="s">
        <v>666</v>
      </c>
      <c r="G1" s="3" t="s">
        <v>667</v>
      </c>
      <c r="H1" s="3" t="s">
        <v>668</v>
      </c>
      <c r="I1" s="3" t="s">
        <v>669</v>
      </c>
      <c r="J1" s="3" t="s">
        <v>25</v>
      </c>
      <c r="K1" s="3" t="s">
        <v>670</v>
      </c>
      <c r="L1" s="3" t="s">
        <v>671</v>
      </c>
    </row>
    <row r="2" spans="1:12" x14ac:dyDescent="0.25">
      <c r="A2" t="s">
        <v>672</v>
      </c>
      <c r="B2" t="s">
        <v>37</v>
      </c>
      <c r="C2" s="30" t="s">
        <v>31</v>
      </c>
      <c r="D2" s="30" t="s">
        <v>33</v>
      </c>
      <c r="E2" t="s">
        <v>673</v>
      </c>
      <c r="F2" s="25">
        <v>12705</v>
      </c>
      <c r="G2" s="29"/>
      <c r="H2" t="s">
        <v>674</v>
      </c>
      <c r="I2" t="s">
        <v>35</v>
      </c>
      <c r="J2" t="s">
        <v>35</v>
      </c>
      <c r="K2" t="s">
        <v>675</v>
      </c>
      <c r="L2" s="29">
        <v>46304</v>
      </c>
    </row>
    <row r="3" spans="1:12" x14ac:dyDescent="0.25">
      <c r="A3" t="s">
        <v>676</v>
      </c>
      <c r="B3" t="s">
        <v>44</v>
      </c>
      <c r="C3" s="30" t="s">
        <v>41</v>
      </c>
      <c r="D3" s="30" t="s">
        <v>33</v>
      </c>
      <c r="E3" t="s">
        <v>673</v>
      </c>
      <c r="F3" s="25">
        <v>30500</v>
      </c>
      <c r="G3" s="29"/>
      <c r="H3" t="s">
        <v>674</v>
      </c>
      <c r="I3" t="s">
        <v>35</v>
      </c>
      <c r="J3" t="s">
        <v>35</v>
      </c>
      <c r="K3" t="s">
        <v>675</v>
      </c>
      <c r="L3" s="29">
        <v>46304</v>
      </c>
    </row>
    <row r="4" spans="1:12" x14ac:dyDescent="0.25">
      <c r="A4" t="s">
        <v>677</v>
      </c>
      <c r="B4" t="s">
        <v>52</v>
      </c>
      <c r="C4" s="30" t="s">
        <v>47</v>
      </c>
      <c r="D4" s="30" t="s">
        <v>49</v>
      </c>
      <c r="E4" t="s">
        <v>673</v>
      </c>
      <c r="F4" s="25">
        <v>45100</v>
      </c>
      <c r="G4" s="29"/>
      <c r="H4" t="s">
        <v>674</v>
      </c>
      <c r="I4" t="s">
        <v>35</v>
      </c>
      <c r="J4" t="s">
        <v>35</v>
      </c>
      <c r="K4" t="s">
        <v>675</v>
      </c>
      <c r="L4" s="29">
        <v>46304</v>
      </c>
    </row>
    <row r="5" spans="1:12" x14ac:dyDescent="0.25">
      <c r="A5" t="s">
        <v>678</v>
      </c>
      <c r="B5" t="s">
        <v>59</v>
      </c>
      <c r="C5" s="30" t="s">
        <v>55</v>
      </c>
      <c r="D5" s="30" t="s">
        <v>57</v>
      </c>
      <c r="E5" t="s">
        <v>673</v>
      </c>
      <c r="F5" s="25">
        <v>41800</v>
      </c>
      <c r="G5" s="29"/>
      <c r="H5" t="s">
        <v>674</v>
      </c>
      <c r="I5" t="s">
        <v>35</v>
      </c>
      <c r="J5" t="s">
        <v>35</v>
      </c>
      <c r="K5" t="s">
        <v>675</v>
      </c>
      <c r="L5" s="29">
        <v>46304</v>
      </c>
    </row>
    <row r="6" spans="1:12" x14ac:dyDescent="0.25">
      <c r="A6" t="s">
        <v>679</v>
      </c>
      <c r="B6" t="s">
        <v>63</v>
      </c>
      <c r="C6" s="30" t="s">
        <v>47</v>
      </c>
      <c r="D6" s="30" t="s">
        <v>62</v>
      </c>
      <c r="E6" t="s">
        <v>673</v>
      </c>
      <c r="F6" s="25">
        <v>83600</v>
      </c>
      <c r="G6" s="29"/>
      <c r="H6" t="s">
        <v>674</v>
      </c>
      <c r="I6" t="s">
        <v>35</v>
      </c>
      <c r="J6" t="s">
        <v>35</v>
      </c>
      <c r="K6" t="s">
        <v>675</v>
      </c>
      <c r="L6" s="29">
        <v>46304</v>
      </c>
    </row>
    <row r="7" spans="1:12" x14ac:dyDescent="0.25">
      <c r="A7" t="s">
        <v>680</v>
      </c>
      <c r="B7" t="s">
        <v>70</v>
      </c>
      <c r="C7" s="30" t="s">
        <v>65</v>
      </c>
      <c r="D7" s="30" t="s">
        <v>67</v>
      </c>
      <c r="E7" t="s">
        <v>673</v>
      </c>
      <c r="F7" s="25">
        <v>30250</v>
      </c>
      <c r="G7" s="29"/>
      <c r="H7" t="s">
        <v>674</v>
      </c>
      <c r="I7" t="s">
        <v>35</v>
      </c>
      <c r="J7" t="s">
        <v>35</v>
      </c>
      <c r="K7" t="s">
        <v>675</v>
      </c>
      <c r="L7" s="29">
        <v>46304</v>
      </c>
    </row>
    <row r="8" spans="1:12" x14ac:dyDescent="0.25">
      <c r="A8" t="s">
        <v>681</v>
      </c>
      <c r="B8" t="s">
        <v>76</v>
      </c>
      <c r="C8" s="30" t="s">
        <v>73</v>
      </c>
      <c r="D8" s="30" t="s">
        <v>74</v>
      </c>
      <c r="E8" t="s">
        <v>673</v>
      </c>
      <c r="F8" s="25">
        <v>24330</v>
      </c>
      <c r="G8" s="29"/>
      <c r="H8" t="s">
        <v>674</v>
      </c>
      <c r="I8" t="s">
        <v>35</v>
      </c>
      <c r="J8" t="s">
        <v>35</v>
      </c>
      <c r="K8" t="s">
        <v>675</v>
      </c>
      <c r="L8" s="29">
        <v>46304</v>
      </c>
    </row>
    <row r="9" spans="1:12" x14ac:dyDescent="0.25">
      <c r="A9" t="s">
        <v>682</v>
      </c>
      <c r="B9" t="s">
        <v>86</v>
      </c>
      <c r="C9" s="30" t="s">
        <v>80</v>
      </c>
      <c r="D9" s="30" t="s">
        <v>82</v>
      </c>
      <c r="E9" t="s">
        <v>673</v>
      </c>
      <c r="F9" s="25">
        <v>42350</v>
      </c>
      <c r="G9" s="29"/>
      <c r="H9" t="s">
        <v>674</v>
      </c>
      <c r="I9" t="s">
        <v>35</v>
      </c>
      <c r="J9" t="s">
        <v>35</v>
      </c>
      <c r="K9" t="s">
        <v>675</v>
      </c>
      <c r="L9" s="29">
        <v>46304</v>
      </c>
    </row>
    <row r="10" spans="1:12" x14ac:dyDescent="0.25">
      <c r="A10" t="s">
        <v>683</v>
      </c>
      <c r="B10" t="s">
        <v>95</v>
      </c>
      <c r="C10" s="30" t="s">
        <v>90</v>
      </c>
      <c r="D10" s="30" t="s">
        <v>92</v>
      </c>
      <c r="E10" t="s">
        <v>673</v>
      </c>
      <c r="F10" s="25">
        <v>25410</v>
      </c>
      <c r="G10" s="29"/>
      <c r="H10" t="s">
        <v>674</v>
      </c>
      <c r="I10" t="s">
        <v>35</v>
      </c>
      <c r="J10" t="s">
        <v>35</v>
      </c>
      <c r="K10" t="s">
        <v>675</v>
      </c>
      <c r="L10" s="29">
        <v>46304</v>
      </c>
    </row>
    <row r="11" spans="1:12" x14ac:dyDescent="0.25">
      <c r="A11" t="s">
        <v>684</v>
      </c>
      <c r="B11" t="s">
        <v>103</v>
      </c>
      <c r="C11" s="30" t="s">
        <v>98</v>
      </c>
      <c r="D11" s="30" t="s">
        <v>100</v>
      </c>
      <c r="E11" t="s">
        <v>673</v>
      </c>
      <c r="F11" s="25">
        <v>46585</v>
      </c>
      <c r="G11" s="29"/>
      <c r="H11" t="s">
        <v>674</v>
      </c>
      <c r="I11" t="s">
        <v>35</v>
      </c>
      <c r="J11" t="s">
        <v>35</v>
      </c>
      <c r="K11" t="s">
        <v>675</v>
      </c>
      <c r="L11" s="29">
        <v>46304</v>
      </c>
    </row>
    <row r="12" spans="1:12" x14ac:dyDescent="0.25">
      <c r="A12" t="s">
        <v>685</v>
      </c>
      <c r="B12" t="s">
        <v>109</v>
      </c>
      <c r="C12" s="30" t="s">
        <v>106</v>
      </c>
      <c r="D12" s="30" t="s">
        <v>107</v>
      </c>
      <c r="E12" t="s">
        <v>673</v>
      </c>
      <c r="F12" s="25">
        <v>22990</v>
      </c>
      <c r="G12" s="29"/>
      <c r="H12" t="s">
        <v>674</v>
      </c>
      <c r="I12" t="s">
        <v>35</v>
      </c>
      <c r="J12" t="s">
        <v>35</v>
      </c>
      <c r="K12" t="s">
        <v>675</v>
      </c>
      <c r="L12" s="29">
        <v>46304</v>
      </c>
    </row>
    <row r="13" spans="1:12" x14ac:dyDescent="0.25">
      <c r="A13" t="s">
        <v>686</v>
      </c>
      <c r="B13" t="s">
        <v>115</v>
      </c>
      <c r="C13" s="30" t="s">
        <v>112</v>
      </c>
      <c r="D13" s="30" t="s">
        <v>113</v>
      </c>
      <c r="E13" t="s">
        <v>673</v>
      </c>
      <c r="F13" s="25">
        <v>35000</v>
      </c>
      <c r="G13" s="29"/>
      <c r="H13" t="s">
        <v>674</v>
      </c>
      <c r="I13" t="s">
        <v>35</v>
      </c>
      <c r="J13" t="s">
        <v>35</v>
      </c>
      <c r="K13" t="s">
        <v>675</v>
      </c>
      <c r="L13" s="29">
        <v>46304</v>
      </c>
    </row>
    <row r="14" spans="1:12" x14ac:dyDescent="0.25">
      <c r="A14" t="s">
        <v>687</v>
      </c>
      <c r="B14" t="s">
        <v>123</v>
      </c>
      <c r="C14" s="30" t="s">
        <v>118</v>
      </c>
      <c r="D14" s="30" t="s">
        <v>120</v>
      </c>
      <c r="E14" t="s">
        <v>673</v>
      </c>
      <c r="F14" s="25">
        <v>43000</v>
      </c>
      <c r="G14" s="29"/>
      <c r="H14" t="s">
        <v>674</v>
      </c>
      <c r="I14" t="s">
        <v>35</v>
      </c>
      <c r="J14" t="s">
        <v>35</v>
      </c>
      <c r="K14" t="s">
        <v>675</v>
      </c>
      <c r="L14" s="29">
        <v>46304</v>
      </c>
    </row>
    <row r="15" spans="1:12" x14ac:dyDescent="0.25">
      <c r="A15" t="s">
        <v>688</v>
      </c>
      <c r="B15" t="s">
        <v>127</v>
      </c>
      <c r="C15" s="30" t="s">
        <v>118</v>
      </c>
      <c r="D15" s="30" t="s">
        <v>126</v>
      </c>
      <c r="E15" t="s">
        <v>673</v>
      </c>
      <c r="F15" s="25">
        <v>25300</v>
      </c>
      <c r="G15" s="29"/>
      <c r="H15" t="s">
        <v>674</v>
      </c>
      <c r="I15" t="s">
        <v>35</v>
      </c>
      <c r="J15" t="s">
        <v>35</v>
      </c>
      <c r="K15" t="s">
        <v>675</v>
      </c>
      <c r="L15" s="29">
        <v>46304</v>
      </c>
    </row>
    <row r="16" spans="1:12" x14ac:dyDescent="0.25">
      <c r="A16" t="s">
        <v>689</v>
      </c>
      <c r="B16" t="s">
        <v>133</v>
      </c>
      <c r="C16" s="30" t="s">
        <v>129</v>
      </c>
      <c r="D16" s="30" t="s">
        <v>131</v>
      </c>
      <c r="E16" t="s">
        <v>673</v>
      </c>
      <c r="F16" s="25">
        <v>36025</v>
      </c>
      <c r="G16" s="29"/>
      <c r="H16" t="s">
        <v>674</v>
      </c>
      <c r="I16" t="s">
        <v>35</v>
      </c>
      <c r="J16" t="s">
        <v>35</v>
      </c>
      <c r="K16" t="s">
        <v>675</v>
      </c>
      <c r="L16" s="29">
        <v>46304</v>
      </c>
    </row>
    <row r="17" spans="1:12" x14ac:dyDescent="0.25">
      <c r="A17" t="s">
        <v>690</v>
      </c>
      <c r="B17" t="s">
        <v>140</v>
      </c>
      <c r="C17" s="30" t="s">
        <v>136</v>
      </c>
      <c r="D17" s="30" t="s">
        <v>138</v>
      </c>
      <c r="E17" t="s">
        <v>673</v>
      </c>
      <c r="F17" s="25">
        <v>30250</v>
      </c>
      <c r="G17" s="29"/>
      <c r="H17" t="s">
        <v>674</v>
      </c>
      <c r="I17" t="s">
        <v>35</v>
      </c>
      <c r="J17" t="s">
        <v>35</v>
      </c>
      <c r="K17" t="s">
        <v>675</v>
      </c>
      <c r="L17" s="29">
        <v>46304</v>
      </c>
    </row>
    <row r="18" spans="1:12" x14ac:dyDescent="0.25">
      <c r="A18" t="s">
        <v>691</v>
      </c>
      <c r="B18" t="s">
        <v>146</v>
      </c>
      <c r="C18" s="30" t="s">
        <v>143</v>
      </c>
      <c r="D18" s="30" t="s">
        <v>144</v>
      </c>
      <c r="E18" t="s">
        <v>673</v>
      </c>
      <c r="F18" s="25">
        <v>19060</v>
      </c>
      <c r="G18" s="29"/>
      <c r="H18" t="s">
        <v>674</v>
      </c>
      <c r="I18" t="s">
        <v>35</v>
      </c>
      <c r="J18" t="s">
        <v>35</v>
      </c>
      <c r="K18" t="s">
        <v>675</v>
      </c>
      <c r="L18" s="29">
        <v>46304</v>
      </c>
    </row>
    <row r="19" spans="1:12" x14ac:dyDescent="0.25">
      <c r="A19" t="s">
        <v>692</v>
      </c>
      <c r="B19" t="s">
        <v>153</v>
      </c>
      <c r="C19" s="30" t="s">
        <v>149</v>
      </c>
      <c r="D19" s="30" t="s">
        <v>151</v>
      </c>
      <c r="E19" t="s">
        <v>673</v>
      </c>
      <c r="F19" s="25">
        <v>20570</v>
      </c>
      <c r="G19" s="29"/>
      <c r="H19" t="s">
        <v>674</v>
      </c>
      <c r="I19" t="s">
        <v>35</v>
      </c>
      <c r="J19" t="s">
        <v>35</v>
      </c>
      <c r="K19" t="s">
        <v>675</v>
      </c>
      <c r="L19" s="29">
        <v>46304</v>
      </c>
    </row>
    <row r="20" spans="1:12" x14ac:dyDescent="0.25">
      <c r="A20" t="s">
        <v>693</v>
      </c>
      <c r="B20" t="s">
        <v>159</v>
      </c>
      <c r="C20" s="30" t="s">
        <v>156</v>
      </c>
      <c r="D20" s="30" t="s">
        <v>157</v>
      </c>
      <c r="E20" t="s">
        <v>673</v>
      </c>
      <c r="F20" s="25">
        <v>25410</v>
      </c>
      <c r="G20" s="29"/>
      <c r="H20" t="s">
        <v>674</v>
      </c>
      <c r="I20" t="s">
        <v>35</v>
      </c>
      <c r="J20" t="s">
        <v>35</v>
      </c>
      <c r="K20" t="s">
        <v>675</v>
      </c>
      <c r="L20" s="29">
        <v>46304</v>
      </c>
    </row>
    <row r="21" spans="1:12" x14ac:dyDescent="0.25">
      <c r="A21" t="s">
        <v>694</v>
      </c>
      <c r="B21" t="s">
        <v>168</v>
      </c>
      <c r="C21" s="30" t="s">
        <v>163</v>
      </c>
      <c r="D21" s="30" t="s">
        <v>82</v>
      </c>
      <c r="E21" t="s">
        <v>673</v>
      </c>
      <c r="F21" s="25">
        <v>40700</v>
      </c>
      <c r="G21" s="29"/>
      <c r="H21" t="s">
        <v>674</v>
      </c>
      <c r="I21" t="s">
        <v>35</v>
      </c>
      <c r="J21" t="s">
        <v>35</v>
      </c>
      <c r="K21" t="s">
        <v>675</v>
      </c>
      <c r="L21" s="29">
        <v>46304</v>
      </c>
    </row>
    <row r="22" spans="1:12" x14ac:dyDescent="0.25">
      <c r="A22" t="s">
        <v>695</v>
      </c>
      <c r="B22" t="s">
        <v>174</v>
      </c>
      <c r="C22" s="30" t="s">
        <v>172</v>
      </c>
      <c r="D22" s="30" t="s">
        <v>92</v>
      </c>
      <c r="E22" t="s">
        <v>673</v>
      </c>
      <c r="F22" s="25">
        <v>40700</v>
      </c>
      <c r="G22" s="29"/>
      <c r="H22" t="s">
        <v>674</v>
      </c>
      <c r="I22" t="s">
        <v>35</v>
      </c>
      <c r="J22" t="s">
        <v>35</v>
      </c>
      <c r="K22" t="s">
        <v>675</v>
      </c>
      <c r="L22" s="29">
        <v>46304</v>
      </c>
    </row>
    <row r="23" spans="1:12" x14ac:dyDescent="0.25">
      <c r="A23" t="s">
        <v>696</v>
      </c>
      <c r="B23" t="s">
        <v>180</v>
      </c>
      <c r="C23" s="30" t="s">
        <v>177</v>
      </c>
      <c r="D23" s="30" t="s">
        <v>178</v>
      </c>
      <c r="E23" t="s">
        <v>673</v>
      </c>
      <c r="F23" s="25">
        <v>17500</v>
      </c>
      <c r="G23" s="29"/>
      <c r="H23" t="s">
        <v>674</v>
      </c>
      <c r="I23" t="s">
        <v>35</v>
      </c>
      <c r="J23" t="s">
        <v>35</v>
      </c>
      <c r="K23" t="s">
        <v>675</v>
      </c>
      <c r="L23" s="29">
        <v>46304</v>
      </c>
    </row>
    <row r="24" spans="1:12" x14ac:dyDescent="0.25">
      <c r="A24" t="s">
        <v>697</v>
      </c>
      <c r="B24" t="s">
        <v>186</v>
      </c>
      <c r="C24" s="30" t="s">
        <v>183</v>
      </c>
      <c r="D24" s="30" t="s">
        <v>184</v>
      </c>
      <c r="E24" t="s">
        <v>673</v>
      </c>
      <c r="F24" s="25">
        <v>7000</v>
      </c>
      <c r="G24" s="29"/>
      <c r="H24" t="s">
        <v>674</v>
      </c>
      <c r="I24" t="s">
        <v>35</v>
      </c>
      <c r="J24" t="s">
        <v>35</v>
      </c>
      <c r="K24" t="s">
        <v>675</v>
      </c>
      <c r="L24" s="29">
        <v>46304</v>
      </c>
    </row>
    <row r="25" spans="1:12" x14ac:dyDescent="0.25">
      <c r="A25" t="s">
        <v>698</v>
      </c>
      <c r="B25" t="s">
        <v>192</v>
      </c>
      <c r="C25" s="30" t="s">
        <v>189</v>
      </c>
      <c r="D25" s="30" t="s">
        <v>190</v>
      </c>
      <c r="E25" t="s">
        <v>673</v>
      </c>
      <c r="F25" s="25">
        <v>13000</v>
      </c>
      <c r="G25" s="29"/>
      <c r="H25" t="s">
        <v>674</v>
      </c>
      <c r="I25" t="s">
        <v>35</v>
      </c>
      <c r="J25" t="s">
        <v>35</v>
      </c>
      <c r="K25" t="s">
        <v>675</v>
      </c>
      <c r="L25" s="29">
        <v>46304</v>
      </c>
    </row>
    <row r="26" spans="1:12" x14ac:dyDescent="0.25">
      <c r="A26" t="s">
        <v>699</v>
      </c>
      <c r="B26" t="s">
        <v>196</v>
      </c>
      <c r="C26" s="30" t="s">
        <v>177</v>
      </c>
      <c r="D26" s="30" t="s">
        <v>195</v>
      </c>
      <c r="E26" t="s">
        <v>673</v>
      </c>
      <c r="F26" s="25">
        <v>13500</v>
      </c>
      <c r="G26" s="29"/>
      <c r="H26" t="s">
        <v>674</v>
      </c>
      <c r="I26" t="s">
        <v>35</v>
      </c>
      <c r="J26" t="s">
        <v>35</v>
      </c>
      <c r="K26" t="s">
        <v>675</v>
      </c>
      <c r="L26" s="29">
        <v>46304</v>
      </c>
    </row>
    <row r="27" spans="1:12" x14ac:dyDescent="0.25">
      <c r="A27" t="s">
        <v>700</v>
      </c>
      <c r="B27" t="s">
        <v>201</v>
      </c>
      <c r="C27" s="30" t="s">
        <v>198</v>
      </c>
      <c r="D27" s="30" t="s">
        <v>199</v>
      </c>
      <c r="E27" t="s">
        <v>673</v>
      </c>
      <c r="F27" s="25">
        <v>7000</v>
      </c>
      <c r="G27" s="29"/>
      <c r="H27" t="s">
        <v>674</v>
      </c>
      <c r="I27" t="s">
        <v>35</v>
      </c>
      <c r="J27" t="s">
        <v>35</v>
      </c>
      <c r="K27" t="s">
        <v>675</v>
      </c>
      <c r="L27" s="29">
        <v>46304</v>
      </c>
    </row>
    <row r="28" spans="1:12" x14ac:dyDescent="0.25">
      <c r="A28" t="s">
        <v>701</v>
      </c>
      <c r="B28" t="s">
        <v>205</v>
      </c>
      <c r="C28" s="30" t="s">
        <v>198</v>
      </c>
      <c r="D28" s="30" t="s">
        <v>204</v>
      </c>
      <c r="E28" t="s">
        <v>673</v>
      </c>
      <c r="F28" s="25">
        <v>6000</v>
      </c>
      <c r="G28" s="29"/>
      <c r="H28" t="s">
        <v>674</v>
      </c>
      <c r="I28" t="s">
        <v>35</v>
      </c>
      <c r="J28" t="s">
        <v>35</v>
      </c>
      <c r="K28" t="s">
        <v>675</v>
      </c>
      <c r="L28" s="29">
        <v>46304</v>
      </c>
    </row>
    <row r="29" spans="1:12" x14ac:dyDescent="0.25">
      <c r="A29" t="s">
        <v>702</v>
      </c>
      <c r="B29" t="s">
        <v>208</v>
      </c>
      <c r="C29" s="30" t="s">
        <v>198</v>
      </c>
      <c r="D29" s="30" t="s">
        <v>207</v>
      </c>
      <c r="E29" t="s">
        <v>673</v>
      </c>
      <c r="F29" s="25">
        <v>6000</v>
      </c>
      <c r="G29" s="29"/>
      <c r="H29" t="s">
        <v>674</v>
      </c>
      <c r="I29" t="s">
        <v>35</v>
      </c>
      <c r="J29" t="s">
        <v>35</v>
      </c>
      <c r="K29" t="s">
        <v>675</v>
      </c>
      <c r="L29" s="29">
        <v>46304</v>
      </c>
    </row>
    <row r="30" spans="1:12" x14ac:dyDescent="0.25">
      <c r="A30" t="s">
        <v>703</v>
      </c>
      <c r="B30" t="s">
        <v>214</v>
      </c>
      <c r="C30" s="30" t="s">
        <v>210</v>
      </c>
      <c r="D30" s="30" t="s">
        <v>212</v>
      </c>
      <c r="E30" t="s">
        <v>673</v>
      </c>
      <c r="F30" s="25">
        <v>11495</v>
      </c>
      <c r="G30" s="29"/>
      <c r="H30" t="s">
        <v>674</v>
      </c>
      <c r="I30" t="s">
        <v>35</v>
      </c>
      <c r="J30" t="s">
        <v>35</v>
      </c>
      <c r="K30" t="s">
        <v>675</v>
      </c>
      <c r="L30" s="29">
        <v>46304</v>
      </c>
    </row>
    <row r="31" spans="1:12" x14ac:dyDescent="0.25">
      <c r="A31" t="s">
        <v>704</v>
      </c>
      <c r="B31" t="s">
        <v>220</v>
      </c>
      <c r="C31" s="30" t="s">
        <v>217</v>
      </c>
      <c r="D31" s="30" t="s">
        <v>100</v>
      </c>
      <c r="E31" t="s">
        <v>673</v>
      </c>
      <c r="F31" s="25">
        <v>16500</v>
      </c>
      <c r="G31" s="29"/>
      <c r="H31" t="s">
        <v>674</v>
      </c>
      <c r="I31" t="s">
        <v>35</v>
      </c>
      <c r="J31" t="s">
        <v>35</v>
      </c>
      <c r="K31" t="s">
        <v>675</v>
      </c>
      <c r="L31" s="29">
        <v>46304</v>
      </c>
    </row>
    <row r="32" spans="1:12" x14ac:dyDescent="0.25">
      <c r="A32" t="s">
        <v>705</v>
      </c>
      <c r="B32" t="s">
        <v>227</v>
      </c>
      <c r="C32" s="30" t="s">
        <v>223</v>
      </c>
      <c r="D32" s="30" t="s">
        <v>225</v>
      </c>
      <c r="E32" t="s">
        <v>673</v>
      </c>
      <c r="F32" s="25">
        <v>12500</v>
      </c>
      <c r="G32" s="29"/>
      <c r="H32" t="s">
        <v>674</v>
      </c>
      <c r="I32" t="s">
        <v>35</v>
      </c>
      <c r="J32" t="s">
        <v>35</v>
      </c>
      <c r="K32" t="s">
        <v>675</v>
      </c>
      <c r="L32" s="29">
        <v>46304</v>
      </c>
    </row>
    <row r="33" spans="1:12" x14ac:dyDescent="0.25">
      <c r="A33" t="s">
        <v>706</v>
      </c>
      <c r="B33" t="s">
        <v>238</v>
      </c>
      <c r="C33" s="30" t="s">
        <v>235</v>
      </c>
      <c r="D33" s="30" t="s">
        <v>236</v>
      </c>
      <c r="E33" t="s">
        <v>673</v>
      </c>
      <c r="F33" s="25">
        <v>14000</v>
      </c>
      <c r="G33" s="29"/>
      <c r="H33" t="s">
        <v>674</v>
      </c>
      <c r="I33" t="s">
        <v>35</v>
      </c>
      <c r="J33" t="s">
        <v>35</v>
      </c>
      <c r="K33" t="s">
        <v>675</v>
      </c>
      <c r="L33" s="29">
        <v>46304</v>
      </c>
    </row>
    <row r="34" spans="1:12" x14ac:dyDescent="0.25">
      <c r="A34" t="s">
        <v>707</v>
      </c>
      <c r="B34" t="s">
        <v>245</v>
      </c>
      <c r="C34" s="30" t="s">
        <v>241</v>
      </c>
      <c r="D34" s="30" t="s">
        <v>243</v>
      </c>
      <c r="E34" t="s">
        <v>673</v>
      </c>
      <c r="F34" s="25">
        <v>16500</v>
      </c>
      <c r="G34" s="29"/>
      <c r="H34" t="s">
        <v>674</v>
      </c>
      <c r="I34" t="s">
        <v>35</v>
      </c>
      <c r="J34" t="s">
        <v>35</v>
      </c>
      <c r="K34" t="s">
        <v>675</v>
      </c>
      <c r="L34" s="29">
        <v>46304</v>
      </c>
    </row>
    <row r="35" spans="1:12" x14ac:dyDescent="0.25">
      <c r="A35" t="s">
        <v>708</v>
      </c>
      <c r="B35" t="s">
        <v>260</v>
      </c>
      <c r="C35" s="30" t="s">
        <v>255</v>
      </c>
      <c r="D35" s="30" t="s">
        <v>257</v>
      </c>
      <c r="E35" t="s">
        <v>673</v>
      </c>
      <c r="F35" s="25">
        <v>19250</v>
      </c>
      <c r="G35" s="29"/>
      <c r="H35" t="s">
        <v>674</v>
      </c>
      <c r="I35" t="s">
        <v>35</v>
      </c>
      <c r="J35" t="s">
        <v>35</v>
      </c>
      <c r="K35" t="s">
        <v>675</v>
      </c>
      <c r="L35" s="29">
        <v>46304</v>
      </c>
    </row>
    <row r="36" spans="1:12" x14ac:dyDescent="0.25">
      <c r="A36" t="s">
        <v>709</v>
      </c>
      <c r="B36" t="s">
        <v>265</v>
      </c>
      <c r="C36" s="30" t="s">
        <v>263</v>
      </c>
      <c r="D36" s="30" t="s">
        <v>107</v>
      </c>
      <c r="E36" t="s">
        <v>673</v>
      </c>
      <c r="F36" s="25">
        <v>17000</v>
      </c>
      <c r="G36" s="29"/>
      <c r="H36" t="s">
        <v>674</v>
      </c>
      <c r="I36" t="s">
        <v>35</v>
      </c>
      <c r="J36" t="s">
        <v>35</v>
      </c>
      <c r="K36" t="s">
        <v>675</v>
      </c>
      <c r="L36" s="29">
        <v>46304</v>
      </c>
    </row>
    <row r="37" spans="1:12" x14ac:dyDescent="0.25">
      <c r="A37" t="s">
        <v>710</v>
      </c>
      <c r="B37" t="s">
        <v>271</v>
      </c>
      <c r="C37" s="30" t="s">
        <v>268</v>
      </c>
      <c r="D37" s="30" t="s">
        <v>113</v>
      </c>
      <c r="E37" t="s">
        <v>673</v>
      </c>
      <c r="F37" s="25">
        <v>17000</v>
      </c>
      <c r="G37" s="29"/>
      <c r="H37" t="s">
        <v>674</v>
      </c>
      <c r="I37" t="s">
        <v>35</v>
      </c>
      <c r="J37" t="s">
        <v>35</v>
      </c>
      <c r="K37" t="s">
        <v>675</v>
      </c>
      <c r="L37" s="29">
        <v>46304</v>
      </c>
    </row>
    <row r="38" spans="1:12" x14ac:dyDescent="0.25">
      <c r="A38" t="s">
        <v>711</v>
      </c>
      <c r="B38" t="s">
        <v>278</v>
      </c>
      <c r="C38" s="30" t="s">
        <v>276</v>
      </c>
      <c r="D38" s="30" t="s">
        <v>126</v>
      </c>
      <c r="E38" t="s">
        <v>673</v>
      </c>
      <c r="F38" s="25">
        <v>7565</v>
      </c>
      <c r="G38" s="29"/>
      <c r="H38" t="s">
        <v>674</v>
      </c>
      <c r="I38" t="s">
        <v>35</v>
      </c>
      <c r="J38" t="s">
        <v>35</v>
      </c>
      <c r="K38" t="s">
        <v>675</v>
      </c>
      <c r="L38" s="29">
        <v>46304</v>
      </c>
    </row>
    <row r="39" spans="1:12" x14ac:dyDescent="0.25">
      <c r="A39" t="s">
        <v>712</v>
      </c>
      <c r="B39" t="s">
        <v>290</v>
      </c>
      <c r="C39" s="30" t="s">
        <v>285</v>
      </c>
      <c r="D39" s="30" t="s">
        <v>287</v>
      </c>
      <c r="E39" t="s">
        <v>673</v>
      </c>
      <c r="F39" s="25">
        <v>11500</v>
      </c>
      <c r="G39" s="29"/>
      <c r="H39" t="s">
        <v>674</v>
      </c>
      <c r="I39" t="s">
        <v>35</v>
      </c>
      <c r="J39" t="s">
        <v>35</v>
      </c>
      <c r="K39" t="s">
        <v>675</v>
      </c>
      <c r="L39" s="29">
        <v>46304</v>
      </c>
    </row>
    <row r="40" spans="1:12" x14ac:dyDescent="0.25">
      <c r="A40" t="s">
        <v>713</v>
      </c>
      <c r="B40" t="s">
        <v>296</v>
      </c>
      <c r="C40" s="30" t="s">
        <v>293</v>
      </c>
      <c r="D40" s="30" t="s">
        <v>294</v>
      </c>
      <c r="E40" t="s">
        <v>673</v>
      </c>
      <c r="F40" s="25">
        <v>11195</v>
      </c>
      <c r="G40" s="29"/>
      <c r="H40" t="s">
        <v>674</v>
      </c>
      <c r="I40" t="s">
        <v>35</v>
      </c>
      <c r="J40" t="s">
        <v>35</v>
      </c>
      <c r="K40" t="s">
        <v>675</v>
      </c>
      <c r="L40" s="29">
        <v>46304</v>
      </c>
    </row>
    <row r="41" spans="1:12" x14ac:dyDescent="0.25">
      <c r="A41" t="s">
        <v>714</v>
      </c>
      <c r="B41" t="s">
        <v>303</v>
      </c>
      <c r="C41" s="30" t="s">
        <v>299</v>
      </c>
      <c r="D41" s="30" t="s">
        <v>301</v>
      </c>
      <c r="E41" t="s">
        <v>673</v>
      </c>
      <c r="F41" s="25">
        <v>12100</v>
      </c>
      <c r="G41" s="29"/>
      <c r="H41" t="s">
        <v>674</v>
      </c>
      <c r="I41" t="s">
        <v>35</v>
      </c>
      <c r="J41" t="s">
        <v>35</v>
      </c>
      <c r="K41" t="s">
        <v>675</v>
      </c>
      <c r="L41" s="29">
        <v>46304</v>
      </c>
    </row>
    <row r="42" spans="1:12" x14ac:dyDescent="0.25">
      <c r="A42" t="s">
        <v>715</v>
      </c>
      <c r="B42" t="s">
        <v>310</v>
      </c>
      <c r="C42" s="30" t="s">
        <v>306</v>
      </c>
      <c r="D42" s="30" t="s">
        <v>131</v>
      </c>
      <c r="E42" t="s">
        <v>673</v>
      </c>
      <c r="F42" s="25">
        <v>11000</v>
      </c>
      <c r="G42" s="29"/>
      <c r="H42" t="s">
        <v>674</v>
      </c>
      <c r="I42" t="s">
        <v>35</v>
      </c>
      <c r="J42" t="s">
        <v>35</v>
      </c>
      <c r="K42" t="s">
        <v>675</v>
      </c>
      <c r="L42" s="29">
        <v>46304</v>
      </c>
    </row>
    <row r="43" spans="1:12" x14ac:dyDescent="0.25">
      <c r="A43" t="s">
        <v>716</v>
      </c>
      <c r="B43" t="s">
        <v>317</v>
      </c>
      <c r="C43" s="30" t="s">
        <v>313</v>
      </c>
      <c r="D43" s="30" t="s">
        <v>315</v>
      </c>
      <c r="E43" t="s">
        <v>673</v>
      </c>
      <c r="F43" s="25">
        <v>14850</v>
      </c>
      <c r="G43" s="29"/>
      <c r="H43" t="s">
        <v>674</v>
      </c>
      <c r="I43" t="s">
        <v>35</v>
      </c>
      <c r="J43" t="s">
        <v>35</v>
      </c>
      <c r="K43" t="s">
        <v>675</v>
      </c>
      <c r="L43" s="29">
        <v>46304</v>
      </c>
    </row>
    <row r="44" spans="1:12" x14ac:dyDescent="0.25">
      <c r="A44" t="s">
        <v>717</v>
      </c>
      <c r="B44" t="s">
        <v>322</v>
      </c>
      <c r="C44" s="30" t="s">
        <v>320</v>
      </c>
      <c r="D44" s="30" t="s">
        <v>138</v>
      </c>
      <c r="E44" t="s">
        <v>673</v>
      </c>
      <c r="F44" s="25">
        <v>12000</v>
      </c>
      <c r="G44" s="29"/>
      <c r="H44" t="s">
        <v>674</v>
      </c>
      <c r="I44" t="s">
        <v>35</v>
      </c>
      <c r="J44" t="s">
        <v>35</v>
      </c>
      <c r="K44" t="s">
        <v>675</v>
      </c>
      <c r="L44" s="29">
        <v>46304</v>
      </c>
    </row>
    <row r="45" spans="1:12" x14ac:dyDescent="0.25">
      <c r="A45" t="s">
        <v>718</v>
      </c>
      <c r="B45" t="s">
        <v>329</v>
      </c>
      <c r="C45" s="30" t="s">
        <v>325</v>
      </c>
      <c r="D45" s="30" t="s">
        <v>327</v>
      </c>
      <c r="E45" t="s">
        <v>673</v>
      </c>
      <c r="F45" s="25">
        <v>12000</v>
      </c>
      <c r="G45" s="29"/>
      <c r="H45" t="s">
        <v>674</v>
      </c>
      <c r="I45" t="s">
        <v>35</v>
      </c>
      <c r="J45" t="s">
        <v>35</v>
      </c>
      <c r="K45" t="s">
        <v>675</v>
      </c>
      <c r="L45" s="29">
        <v>46304</v>
      </c>
    </row>
    <row r="46" spans="1:12" x14ac:dyDescent="0.25">
      <c r="A46" t="s">
        <v>719</v>
      </c>
      <c r="B46" t="s">
        <v>336</v>
      </c>
      <c r="C46" s="30" t="s">
        <v>332</v>
      </c>
      <c r="D46" s="30" t="s">
        <v>334</v>
      </c>
      <c r="E46" t="s">
        <v>673</v>
      </c>
      <c r="F46" s="25">
        <v>14575</v>
      </c>
      <c r="G46" s="29"/>
      <c r="H46" t="s">
        <v>674</v>
      </c>
      <c r="I46" t="s">
        <v>35</v>
      </c>
      <c r="J46" t="s">
        <v>35</v>
      </c>
      <c r="K46" t="s">
        <v>675</v>
      </c>
      <c r="L46" s="29">
        <v>46304</v>
      </c>
    </row>
    <row r="47" spans="1:12" x14ac:dyDescent="0.25">
      <c r="A47" t="s">
        <v>720</v>
      </c>
      <c r="B47" t="s">
        <v>343</v>
      </c>
      <c r="C47" s="30" t="s">
        <v>339</v>
      </c>
      <c r="D47" s="30" t="s">
        <v>340</v>
      </c>
      <c r="E47" t="s">
        <v>673</v>
      </c>
      <c r="F47" s="25">
        <v>16500</v>
      </c>
      <c r="G47" s="29"/>
      <c r="H47" t="s">
        <v>674</v>
      </c>
      <c r="I47" t="s">
        <v>35</v>
      </c>
      <c r="J47" t="s">
        <v>35</v>
      </c>
      <c r="K47" t="s">
        <v>675</v>
      </c>
      <c r="L47" s="29">
        <v>46304</v>
      </c>
    </row>
    <row r="48" spans="1:12" x14ac:dyDescent="0.25">
      <c r="A48" t="s">
        <v>721</v>
      </c>
      <c r="B48" t="s">
        <v>349</v>
      </c>
      <c r="C48" s="30" t="s">
        <v>346</v>
      </c>
      <c r="D48" s="30" t="s">
        <v>347</v>
      </c>
      <c r="E48" t="s">
        <v>673</v>
      </c>
      <c r="F48" s="25">
        <v>18500</v>
      </c>
      <c r="G48" s="29"/>
      <c r="H48" t="s">
        <v>674</v>
      </c>
      <c r="I48" t="s">
        <v>35</v>
      </c>
      <c r="J48" t="s">
        <v>35</v>
      </c>
      <c r="K48" t="s">
        <v>675</v>
      </c>
      <c r="L48" s="29">
        <v>46304</v>
      </c>
    </row>
    <row r="49" spans="1:12" x14ac:dyDescent="0.25">
      <c r="A49" t="s">
        <v>722</v>
      </c>
      <c r="B49" t="s">
        <v>356</v>
      </c>
      <c r="C49" s="30" t="s">
        <v>352</v>
      </c>
      <c r="D49" s="30" t="s">
        <v>354</v>
      </c>
      <c r="E49" t="s">
        <v>673</v>
      </c>
      <c r="F49" s="25">
        <v>15000</v>
      </c>
      <c r="G49" s="29"/>
      <c r="H49" t="s">
        <v>674</v>
      </c>
      <c r="I49" t="s">
        <v>35</v>
      </c>
      <c r="J49" t="s">
        <v>35</v>
      </c>
      <c r="K49" t="s">
        <v>675</v>
      </c>
      <c r="L49" s="29">
        <v>46304</v>
      </c>
    </row>
    <row r="50" spans="1:12" x14ac:dyDescent="0.25">
      <c r="A50" t="s">
        <v>723</v>
      </c>
      <c r="B50" t="s">
        <v>359</v>
      </c>
      <c r="C50" s="30" t="s">
        <v>352</v>
      </c>
      <c r="D50" s="30" t="s">
        <v>144</v>
      </c>
      <c r="E50" t="s">
        <v>673</v>
      </c>
      <c r="F50" s="25">
        <v>15000</v>
      </c>
      <c r="G50" s="29"/>
      <c r="H50" t="s">
        <v>674</v>
      </c>
      <c r="I50" t="s">
        <v>35</v>
      </c>
      <c r="J50" t="s">
        <v>35</v>
      </c>
      <c r="K50" t="s">
        <v>675</v>
      </c>
      <c r="L50" s="29">
        <v>46304</v>
      </c>
    </row>
    <row r="51" spans="1:12" x14ac:dyDescent="0.25">
      <c r="A51" t="s">
        <v>724</v>
      </c>
      <c r="B51" t="s">
        <v>364</v>
      </c>
      <c r="C51" s="30" t="s">
        <v>361</v>
      </c>
      <c r="D51" s="30" t="s">
        <v>151</v>
      </c>
      <c r="E51" t="s">
        <v>673</v>
      </c>
      <c r="F51" s="25">
        <v>11195</v>
      </c>
      <c r="G51" s="29"/>
      <c r="H51" t="s">
        <v>674</v>
      </c>
      <c r="I51" t="s">
        <v>35</v>
      </c>
      <c r="J51" t="s">
        <v>35</v>
      </c>
      <c r="K51" t="s">
        <v>675</v>
      </c>
      <c r="L51" s="29">
        <v>46304</v>
      </c>
    </row>
    <row r="52" spans="1:12" x14ac:dyDescent="0.25">
      <c r="A52" t="s">
        <v>725</v>
      </c>
      <c r="B52" t="s">
        <v>370</v>
      </c>
      <c r="C52" s="30" t="s">
        <v>367</v>
      </c>
      <c r="D52" s="30" t="s">
        <v>157</v>
      </c>
      <c r="E52" t="s">
        <v>673</v>
      </c>
      <c r="F52" s="25">
        <v>10000</v>
      </c>
      <c r="G52" s="29"/>
      <c r="H52" t="s">
        <v>674</v>
      </c>
      <c r="I52" t="s">
        <v>35</v>
      </c>
      <c r="J52" t="s">
        <v>35</v>
      </c>
      <c r="K52" t="s">
        <v>675</v>
      </c>
      <c r="L52" s="29">
        <v>46304</v>
      </c>
    </row>
    <row r="53" spans="1:12" x14ac:dyDescent="0.25">
      <c r="A53" t="s">
        <v>726</v>
      </c>
      <c r="B53" t="s">
        <v>374</v>
      </c>
      <c r="C53" s="30" t="s">
        <v>198</v>
      </c>
      <c r="D53" s="30" t="s">
        <v>373</v>
      </c>
      <c r="E53" t="s">
        <v>673</v>
      </c>
      <c r="F53" s="25">
        <v>11000</v>
      </c>
      <c r="G53" s="29"/>
      <c r="H53" t="s">
        <v>674</v>
      </c>
      <c r="I53" t="s">
        <v>35</v>
      </c>
      <c r="J53" t="s">
        <v>35</v>
      </c>
      <c r="K53" t="s">
        <v>675</v>
      </c>
      <c r="L53" s="29">
        <v>46304</v>
      </c>
    </row>
    <row r="54" spans="1:12" x14ac:dyDescent="0.25">
      <c r="A54" t="s">
        <v>727</v>
      </c>
      <c r="B54" t="s">
        <v>380</v>
      </c>
      <c r="C54" s="30" t="s">
        <v>376</v>
      </c>
      <c r="D54" s="30" t="s">
        <v>378</v>
      </c>
      <c r="E54" t="s">
        <v>673</v>
      </c>
      <c r="F54" s="25">
        <v>17000</v>
      </c>
      <c r="G54" s="29"/>
      <c r="H54" t="s">
        <v>674</v>
      </c>
      <c r="I54" t="s">
        <v>35</v>
      </c>
      <c r="J54" t="s">
        <v>35</v>
      </c>
      <c r="K54" t="s">
        <v>675</v>
      </c>
      <c r="L54" s="29">
        <v>46304</v>
      </c>
    </row>
    <row r="55" spans="1:12" x14ac:dyDescent="0.25">
      <c r="A55" t="s">
        <v>728</v>
      </c>
      <c r="B55" t="s">
        <v>395</v>
      </c>
      <c r="C55" s="30" t="s">
        <v>391</v>
      </c>
      <c r="D55" s="30" t="s">
        <v>393</v>
      </c>
      <c r="E55" t="s">
        <v>673</v>
      </c>
      <c r="F55" s="25">
        <v>9680</v>
      </c>
      <c r="G55" s="29"/>
      <c r="H55" t="s">
        <v>674</v>
      </c>
      <c r="I55" t="s">
        <v>35</v>
      </c>
      <c r="J55" t="s">
        <v>35</v>
      </c>
      <c r="K55" t="s">
        <v>675</v>
      </c>
      <c r="L55" s="29">
        <v>46304</v>
      </c>
    </row>
    <row r="56" spans="1:12" x14ac:dyDescent="0.25">
      <c r="A56" t="s">
        <v>729</v>
      </c>
      <c r="B56" t="s">
        <v>403</v>
      </c>
      <c r="C56" s="30" t="s">
        <v>398</v>
      </c>
      <c r="D56" s="30" t="s">
        <v>400</v>
      </c>
      <c r="E56" t="s">
        <v>673</v>
      </c>
      <c r="F56" s="25">
        <v>19000</v>
      </c>
      <c r="G56" s="29"/>
      <c r="H56" t="s">
        <v>674</v>
      </c>
      <c r="I56" t="s">
        <v>35</v>
      </c>
      <c r="J56" t="s">
        <v>35</v>
      </c>
      <c r="K56" t="s">
        <v>675</v>
      </c>
      <c r="L56" s="29">
        <v>46304</v>
      </c>
    </row>
    <row r="57" spans="1:12" x14ac:dyDescent="0.25">
      <c r="A57" t="s">
        <v>730</v>
      </c>
      <c r="B57" t="s">
        <v>409</v>
      </c>
      <c r="C57" s="30" t="s">
        <v>406</v>
      </c>
      <c r="D57" s="30" t="s">
        <v>407</v>
      </c>
      <c r="E57" t="s">
        <v>673</v>
      </c>
      <c r="F57" s="25">
        <v>11495</v>
      </c>
      <c r="G57" s="29"/>
      <c r="H57" t="s">
        <v>674</v>
      </c>
      <c r="I57" t="s">
        <v>35</v>
      </c>
      <c r="J57" t="s">
        <v>35</v>
      </c>
      <c r="K57" t="s">
        <v>675</v>
      </c>
      <c r="L57" s="29">
        <v>46304</v>
      </c>
    </row>
    <row r="58" spans="1:12" x14ac:dyDescent="0.25">
      <c r="A58" t="s">
        <v>731</v>
      </c>
      <c r="B58" t="s">
        <v>415</v>
      </c>
      <c r="C58" s="30" t="s">
        <v>412</v>
      </c>
      <c r="D58" s="30" t="s">
        <v>413</v>
      </c>
      <c r="E58" t="s">
        <v>673</v>
      </c>
      <c r="F58" s="25">
        <v>11000</v>
      </c>
      <c r="G58" s="29"/>
      <c r="H58" t="s">
        <v>674</v>
      </c>
      <c r="I58" t="s">
        <v>35</v>
      </c>
      <c r="J58" t="s">
        <v>35</v>
      </c>
      <c r="K58" t="s">
        <v>675</v>
      </c>
      <c r="L58" s="29">
        <v>46304</v>
      </c>
    </row>
    <row r="59" spans="1:12" x14ac:dyDescent="0.25">
      <c r="A59" t="s">
        <v>732</v>
      </c>
      <c r="B59" t="s">
        <v>423</v>
      </c>
      <c r="C59" s="30" t="s">
        <v>418</v>
      </c>
      <c r="D59" s="30" t="s">
        <v>419</v>
      </c>
      <c r="E59" t="s">
        <v>673</v>
      </c>
      <c r="F59" s="25">
        <v>8775</v>
      </c>
      <c r="G59" s="29"/>
      <c r="H59" t="s">
        <v>674</v>
      </c>
      <c r="I59" t="s">
        <v>35</v>
      </c>
      <c r="J59" t="s">
        <v>35</v>
      </c>
      <c r="K59" t="s">
        <v>675</v>
      </c>
      <c r="L59" s="29">
        <v>46304</v>
      </c>
    </row>
    <row r="60" spans="1:12" x14ac:dyDescent="0.25">
      <c r="A60" t="s">
        <v>733</v>
      </c>
      <c r="B60" t="s">
        <v>430</v>
      </c>
      <c r="C60" s="30" t="s">
        <v>426</v>
      </c>
      <c r="D60" s="30" t="s">
        <v>428</v>
      </c>
      <c r="E60" t="s">
        <v>673</v>
      </c>
      <c r="F60" s="25">
        <v>15000</v>
      </c>
      <c r="G60" s="29"/>
      <c r="H60" t="s">
        <v>674</v>
      </c>
      <c r="I60" t="s">
        <v>35</v>
      </c>
      <c r="J60" t="s">
        <v>35</v>
      </c>
      <c r="K60" t="s">
        <v>675</v>
      </c>
      <c r="L60" s="29">
        <v>46304</v>
      </c>
    </row>
    <row r="61" spans="1:12" x14ac:dyDescent="0.25">
      <c r="A61" t="s">
        <v>734</v>
      </c>
      <c r="B61" t="s">
        <v>438</v>
      </c>
      <c r="C61" s="30" t="s">
        <v>433</v>
      </c>
      <c r="D61" s="30" t="s">
        <v>435</v>
      </c>
      <c r="E61" t="s">
        <v>673</v>
      </c>
      <c r="F61" s="25">
        <v>10500</v>
      </c>
      <c r="G61" s="29"/>
      <c r="H61" t="s">
        <v>674</v>
      </c>
      <c r="I61" t="s">
        <v>35</v>
      </c>
      <c r="J61" t="s">
        <v>35</v>
      </c>
      <c r="K61" t="s">
        <v>675</v>
      </c>
      <c r="L61" s="29">
        <v>46304</v>
      </c>
    </row>
    <row r="62" spans="1:12" x14ac:dyDescent="0.25">
      <c r="A62" t="s">
        <v>735</v>
      </c>
      <c r="B62" t="s">
        <v>445</v>
      </c>
      <c r="C62" s="30" t="s">
        <v>441</v>
      </c>
      <c r="D62" s="30" t="s">
        <v>443</v>
      </c>
      <c r="E62" t="s">
        <v>673</v>
      </c>
      <c r="F62" s="25">
        <v>13000</v>
      </c>
      <c r="G62" s="29"/>
      <c r="H62" t="s">
        <v>674</v>
      </c>
      <c r="I62" t="s">
        <v>35</v>
      </c>
      <c r="J62" t="s">
        <v>35</v>
      </c>
      <c r="K62" t="s">
        <v>675</v>
      </c>
      <c r="L62" s="29">
        <v>46304</v>
      </c>
    </row>
    <row r="63" spans="1:12" x14ac:dyDescent="0.25">
      <c r="A63" t="s">
        <v>736</v>
      </c>
      <c r="B63" t="s">
        <v>453</v>
      </c>
      <c r="C63" s="30" t="s">
        <v>448</v>
      </c>
      <c r="D63" s="30" t="s">
        <v>450</v>
      </c>
      <c r="E63" t="s">
        <v>673</v>
      </c>
      <c r="F63" s="25">
        <v>17000</v>
      </c>
      <c r="G63" s="29"/>
      <c r="H63" t="s">
        <v>674</v>
      </c>
      <c r="I63" t="s">
        <v>35</v>
      </c>
      <c r="J63" t="s">
        <v>35</v>
      </c>
      <c r="K63" t="s">
        <v>675</v>
      </c>
      <c r="L63" s="29">
        <v>46304</v>
      </c>
    </row>
    <row r="64" spans="1:12" x14ac:dyDescent="0.25">
      <c r="A64" t="s">
        <v>737</v>
      </c>
      <c r="B64" t="s">
        <v>467</v>
      </c>
      <c r="C64" s="30" t="s">
        <v>463</v>
      </c>
      <c r="D64" s="30" t="s">
        <v>465</v>
      </c>
      <c r="E64" t="s">
        <v>673</v>
      </c>
      <c r="F64" s="25">
        <v>11000</v>
      </c>
      <c r="G64" s="29"/>
      <c r="H64" t="s">
        <v>674</v>
      </c>
      <c r="I64" t="s">
        <v>35</v>
      </c>
      <c r="J64" t="s">
        <v>35</v>
      </c>
      <c r="K64" t="s">
        <v>675</v>
      </c>
      <c r="L64" s="29">
        <v>46304</v>
      </c>
    </row>
    <row r="65" spans="1:12" x14ac:dyDescent="0.25">
      <c r="A65" t="s">
        <v>738</v>
      </c>
      <c r="B65" t="s">
        <v>473</v>
      </c>
      <c r="C65" s="30" t="s">
        <v>470</v>
      </c>
      <c r="D65" s="30" t="s">
        <v>471</v>
      </c>
      <c r="E65" t="s">
        <v>673</v>
      </c>
      <c r="F65" s="25">
        <v>11000</v>
      </c>
      <c r="G65" s="29"/>
      <c r="H65" t="s">
        <v>674</v>
      </c>
      <c r="I65" t="s">
        <v>35</v>
      </c>
      <c r="J65" t="s">
        <v>35</v>
      </c>
      <c r="K65" t="s">
        <v>675</v>
      </c>
      <c r="L65" s="29">
        <v>46304</v>
      </c>
    </row>
    <row r="66" spans="1:12" x14ac:dyDescent="0.25">
      <c r="A66" t="s">
        <v>739</v>
      </c>
      <c r="B66" t="s">
        <v>481</v>
      </c>
      <c r="C66" s="30" t="s">
        <v>476</v>
      </c>
      <c r="D66" s="30" t="s">
        <v>478</v>
      </c>
      <c r="E66" t="s">
        <v>673</v>
      </c>
      <c r="F66" s="25">
        <v>10890</v>
      </c>
      <c r="G66" s="29"/>
      <c r="H66" t="s">
        <v>674</v>
      </c>
      <c r="I66" t="s">
        <v>35</v>
      </c>
      <c r="J66" t="s">
        <v>35</v>
      </c>
      <c r="K66" t="s">
        <v>675</v>
      </c>
      <c r="L66" s="29">
        <v>46304</v>
      </c>
    </row>
    <row r="67" spans="1:12" x14ac:dyDescent="0.25">
      <c r="A67" t="s">
        <v>740</v>
      </c>
      <c r="B67" t="s">
        <v>488</v>
      </c>
      <c r="C67" s="30" t="s">
        <v>484</v>
      </c>
      <c r="D67" s="30" t="s">
        <v>486</v>
      </c>
      <c r="E67" t="s">
        <v>673</v>
      </c>
      <c r="F67" s="25">
        <v>13000</v>
      </c>
      <c r="G67" s="29"/>
      <c r="H67" t="s">
        <v>674</v>
      </c>
      <c r="I67" t="s">
        <v>35</v>
      </c>
      <c r="J67" t="s">
        <v>35</v>
      </c>
      <c r="K67" t="s">
        <v>675</v>
      </c>
      <c r="L67" s="29">
        <v>46304</v>
      </c>
    </row>
    <row r="68" spans="1:12" x14ac:dyDescent="0.25">
      <c r="A68" t="s">
        <v>741</v>
      </c>
      <c r="B68" t="s">
        <v>492</v>
      </c>
      <c r="C68" s="30" t="s">
        <v>484</v>
      </c>
      <c r="D68" s="30" t="s">
        <v>491</v>
      </c>
      <c r="E68" t="s">
        <v>673</v>
      </c>
      <c r="F68" s="25">
        <v>13000</v>
      </c>
      <c r="G68" s="29"/>
      <c r="H68" t="s">
        <v>674</v>
      </c>
      <c r="I68" t="s">
        <v>35</v>
      </c>
      <c r="J68" t="s">
        <v>35</v>
      </c>
      <c r="K68" t="s">
        <v>675</v>
      </c>
      <c r="L68" s="29">
        <v>46304</v>
      </c>
    </row>
    <row r="69" spans="1:12" x14ac:dyDescent="0.25">
      <c r="A69" t="s">
        <v>742</v>
      </c>
      <c r="B69" t="s">
        <v>37</v>
      </c>
      <c r="C69" s="30" t="s">
        <v>31</v>
      </c>
      <c r="D69" s="30" t="s">
        <v>33</v>
      </c>
      <c r="E69" t="s">
        <v>743</v>
      </c>
      <c r="F69" s="25">
        <v>12705</v>
      </c>
      <c r="G69" s="29"/>
      <c r="H69" t="s">
        <v>674</v>
      </c>
      <c r="I69" t="s">
        <v>35</v>
      </c>
      <c r="J69" t="s">
        <v>35</v>
      </c>
      <c r="K69" t="s">
        <v>675</v>
      </c>
      <c r="L69" s="29">
        <v>46304</v>
      </c>
    </row>
    <row r="70" spans="1:12" x14ac:dyDescent="0.25">
      <c r="A70" t="s">
        <v>744</v>
      </c>
      <c r="B70" t="s">
        <v>44</v>
      </c>
      <c r="C70" s="30" t="s">
        <v>41</v>
      </c>
      <c r="D70" s="30" t="s">
        <v>33</v>
      </c>
      <c r="E70" t="s">
        <v>743</v>
      </c>
      <c r="F70" s="25">
        <v>30500</v>
      </c>
      <c r="G70" s="29"/>
      <c r="H70" t="s">
        <v>674</v>
      </c>
      <c r="I70" t="s">
        <v>35</v>
      </c>
      <c r="J70" t="s">
        <v>35</v>
      </c>
      <c r="K70" t="s">
        <v>675</v>
      </c>
      <c r="L70" s="29">
        <v>46304</v>
      </c>
    </row>
    <row r="71" spans="1:12" x14ac:dyDescent="0.25">
      <c r="A71" t="s">
        <v>745</v>
      </c>
      <c r="B71" t="s">
        <v>52</v>
      </c>
      <c r="C71" s="30" t="s">
        <v>47</v>
      </c>
      <c r="D71" s="30" t="s">
        <v>49</v>
      </c>
      <c r="E71" t="s">
        <v>743</v>
      </c>
      <c r="F71" s="25">
        <v>45100</v>
      </c>
      <c r="G71" s="29"/>
      <c r="H71" t="s">
        <v>674</v>
      </c>
      <c r="I71" t="s">
        <v>35</v>
      </c>
      <c r="J71" t="s">
        <v>35</v>
      </c>
      <c r="K71" t="s">
        <v>675</v>
      </c>
      <c r="L71" s="29">
        <v>46304</v>
      </c>
    </row>
    <row r="72" spans="1:12" x14ac:dyDescent="0.25">
      <c r="A72" t="s">
        <v>746</v>
      </c>
      <c r="B72" t="s">
        <v>59</v>
      </c>
      <c r="C72" s="30" t="s">
        <v>55</v>
      </c>
      <c r="D72" s="30" t="s">
        <v>57</v>
      </c>
      <c r="E72" t="s">
        <v>743</v>
      </c>
      <c r="F72" s="25">
        <v>41800</v>
      </c>
      <c r="G72" s="29"/>
      <c r="H72" t="s">
        <v>674</v>
      </c>
      <c r="I72" t="s">
        <v>35</v>
      </c>
      <c r="J72" t="s">
        <v>35</v>
      </c>
      <c r="K72" t="s">
        <v>675</v>
      </c>
      <c r="L72" s="29">
        <v>46304</v>
      </c>
    </row>
    <row r="73" spans="1:12" x14ac:dyDescent="0.25">
      <c r="A73" t="s">
        <v>747</v>
      </c>
      <c r="B73" t="s">
        <v>63</v>
      </c>
      <c r="C73" s="30" t="s">
        <v>47</v>
      </c>
      <c r="D73" s="30" t="s">
        <v>62</v>
      </c>
      <c r="E73" t="s">
        <v>743</v>
      </c>
      <c r="F73" s="25">
        <v>83600</v>
      </c>
      <c r="G73" s="29"/>
      <c r="H73" t="s">
        <v>674</v>
      </c>
      <c r="I73" t="s">
        <v>35</v>
      </c>
      <c r="J73" t="s">
        <v>35</v>
      </c>
      <c r="K73" t="s">
        <v>675</v>
      </c>
      <c r="L73" s="29">
        <v>46304</v>
      </c>
    </row>
    <row r="74" spans="1:12" x14ac:dyDescent="0.25">
      <c r="A74" t="s">
        <v>748</v>
      </c>
      <c r="B74" t="s">
        <v>70</v>
      </c>
      <c r="C74" s="30" t="s">
        <v>65</v>
      </c>
      <c r="D74" s="30" t="s">
        <v>67</v>
      </c>
      <c r="E74" t="s">
        <v>743</v>
      </c>
      <c r="F74" s="25">
        <v>30250</v>
      </c>
      <c r="G74" s="29"/>
      <c r="H74" t="s">
        <v>674</v>
      </c>
      <c r="I74" t="s">
        <v>35</v>
      </c>
      <c r="J74" t="s">
        <v>35</v>
      </c>
      <c r="K74" t="s">
        <v>675</v>
      </c>
      <c r="L74" s="29">
        <v>46304</v>
      </c>
    </row>
    <row r="75" spans="1:12" x14ac:dyDescent="0.25">
      <c r="A75" t="s">
        <v>749</v>
      </c>
      <c r="B75" t="s">
        <v>76</v>
      </c>
      <c r="C75" s="30" t="s">
        <v>73</v>
      </c>
      <c r="D75" s="30" t="s">
        <v>74</v>
      </c>
      <c r="E75" t="s">
        <v>743</v>
      </c>
      <c r="F75" s="25">
        <v>24330</v>
      </c>
      <c r="G75" s="29"/>
      <c r="H75" t="s">
        <v>674</v>
      </c>
      <c r="I75" t="s">
        <v>35</v>
      </c>
      <c r="J75" t="s">
        <v>35</v>
      </c>
      <c r="K75" t="s">
        <v>675</v>
      </c>
      <c r="L75" s="29">
        <v>46304</v>
      </c>
    </row>
    <row r="76" spans="1:12" x14ac:dyDescent="0.25">
      <c r="A76" t="s">
        <v>750</v>
      </c>
      <c r="B76" t="s">
        <v>86</v>
      </c>
      <c r="C76" s="30" t="s">
        <v>80</v>
      </c>
      <c r="D76" s="30" t="s">
        <v>82</v>
      </c>
      <c r="E76" t="s">
        <v>743</v>
      </c>
      <c r="F76" s="25">
        <v>42350</v>
      </c>
      <c r="G76" s="29"/>
      <c r="H76" t="s">
        <v>674</v>
      </c>
      <c r="I76" t="s">
        <v>35</v>
      </c>
      <c r="J76" t="s">
        <v>35</v>
      </c>
      <c r="K76" t="s">
        <v>675</v>
      </c>
      <c r="L76" s="29">
        <v>46304</v>
      </c>
    </row>
    <row r="77" spans="1:12" x14ac:dyDescent="0.25">
      <c r="A77" t="s">
        <v>751</v>
      </c>
      <c r="B77" t="s">
        <v>95</v>
      </c>
      <c r="C77" s="30" t="s">
        <v>90</v>
      </c>
      <c r="D77" s="30" t="s">
        <v>92</v>
      </c>
      <c r="E77" t="s">
        <v>743</v>
      </c>
      <c r="F77" s="25">
        <v>25410</v>
      </c>
      <c r="G77" s="29"/>
      <c r="H77" t="s">
        <v>674</v>
      </c>
      <c r="I77" t="s">
        <v>35</v>
      </c>
      <c r="J77" t="s">
        <v>35</v>
      </c>
      <c r="K77" t="s">
        <v>675</v>
      </c>
      <c r="L77" s="29">
        <v>46304</v>
      </c>
    </row>
    <row r="78" spans="1:12" x14ac:dyDescent="0.25">
      <c r="A78" t="s">
        <v>752</v>
      </c>
      <c r="B78" t="s">
        <v>103</v>
      </c>
      <c r="C78" s="30" t="s">
        <v>98</v>
      </c>
      <c r="D78" s="30" t="s">
        <v>100</v>
      </c>
      <c r="E78" t="s">
        <v>743</v>
      </c>
      <c r="F78" s="25">
        <v>46585</v>
      </c>
      <c r="G78" s="29"/>
      <c r="H78" t="s">
        <v>674</v>
      </c>
      <c r="I78" t="s">
        <v>35</v>
      </c>
      <c r="J78" t="s">
        <v>35</v>
      </c>
      <c r="K78" t="s">
        <v>675</v>
      </c>
      <c r="L78" s="29">
        <v>46304</v>
      </c>
    </row>
    <row r="79" spans="1:12" x14ac:dyDescent="0.25">
      <c r="A79" t="s">
        <v>753</v>
      </c>
      <c r="B79" t="s">
        <v>109</v>
      </c>
      <c r="C79" s="30" t="s">
        <v>106</v>
      </c>
      <c r="D79" s="30" t="s">
        <v>107</v>
      </c>
      <c r="E79" t="s">
        <v>743</v>
      </c>
      <c r="F79" s="25">
        <v>22990</v>
      </c>
      <c r="G79" s="29"/>
      <c r="H79" t="s">
        <v>674</v>
      </c>
      <c r="I79" t="s">
        <v>35</v>
      </c>
      <c r="J79" t="s">
        <v>35</v>
      </c>
      <c r="K79" t="s">
        <v>675</v>
      </c>
      <c r="L79" s="29">
        <v>46304</v>
      </c>
    </row>
    <row r="80" spans="1:12" x14ac:dyDescent="0.25">
      <c r="A80" t="s">
        <v>754</v>
      </c>
      <c r="B80" t="s">
        <v>115</v>
      </c>
      <c r="C80" s="30" t="s">
        <v>112</v>
      </c>
      <c r="D80" s="30" t="s">
        <v>113</v>
      </c>
      <c r="E80" t="s">
        <v>743</v>
      </c>
      <c r="F80" s="25">
        <v>35000</v>
      </c>
      <c r="G80" s="29"/>
      <c r="H80" t="s">
        <v>674</v>
      </c>
      <c r="I80" t="s">
        <v>35</v>
      </c>
      <c r="J80" t="s">
        <v>35</v>
      </c>
      <c r="K80" t="s">
        <v>675</v>
      </c>
      <c r="L80" s="29">
        <v>46304</v>
      </c>
    </row>
    <row r="81" spans="1:12" x14ac:dyDescent="0.25">
      <c r="A81" t="s">
        <v>755</v>
      </c>
      <c r="B81" t="s">
        <v>123</v>
      </c>
      <c r="C81" s="30" t="s">
        <v>118</v>
      </c>
      <c r="D81" s="30" t="s">
        <v>120</v>
      </c>
      <c r="E81" t="s">
        <v>743</v>
      </c>
      <c r="F81" s="25">
        <v>43000</v>
      </c>
      <c r="G81" s="29"/>
      <c r="H81" t="s">
        <v>674</v>
      </c>
      <c r="I81" t="s">
        <v>35</v>
      </c>
      <c r="J81" t="s">
        <v>35</v>
      </c>
      <c r="K81" t="s">
        <v>675</v>
      </c>
      <c r="L81" s="29">
        <v>46304</v>
      </c>
    </row>
    <row r="82" spans="1:12" x14ac:dyDescent="0.25">
      <c r="A82" t="s">
        <v>756</v>
      </c>
      <c r="B82" t="s">
        <v>127</v>
      </c>
      <c r="C82" s="30" t="s">
        <v>118</v>
      </c>
      <c r="D82" s="30" t="s">
        <v>126</v>
      </c>
      <c r="E82" t="s">
        <v>743</v>
      </c>
      <c r="F82" s="25">
        <v>25300</v>
      </c>
      <c r="G82" s="29"/>
      <c r="H82" t="s">
        <v>674</v>
      </c>
      <c r="I82" t="s">
        <v>35</v>
      </c>
      <c r="J82" t="s">
        <v>35</v>
      </c>
      <c r="K82" t="s">
        <v>675</v>
      </c>
      <c r="L82" s="29">
        <v>46304</v>
      </c>
    </row>
    <row r="83" spans="1:12" x14ac:dyDescent="0.25">
      <c r="A83" t="s">
        <v>757</v>
      </c>
      <c r="B83" t="s">
        <v>133</v>
      </c>
      <c r="C83" s="30" t="s">
        <v>129</v>
      </c>
      <c r="D83" s="30" t="s">
        <v>131</v>
      </c>
      <c r="E83" t="s">
        <v>743</v>
      </c>
      <c r="F83" s="25">
        <v>37665</v>
      </c>
      <c r="G83" s="29"/>
      <c r="H83" t="s">
        <v>674</v>
      </c>
      <c r="I83" t="s">
        <v>35</v>
      </c>
      <c r="J83" t="s">
        <v>35</v>
      </c>
      <c r="K83" t="s">
        <v>675</v>
      </c>
      <c r="L83" s="29">
        <v>46304</v>
      </c>
    </row>
    <row r="84" spans="1:12" x14ac:dyDescent="0.25">
      <c r="A84" t="s">
        <v>758</v>
      </c>
      <c r="B84" t="s">
        <v>140</v>
      </c>
      <c r="C84" s="30" t="s">
        <v>136</v>
      </c>
      <c r="D84" s="30" t="s">
        <v>138</v>
      </c>
      <c r="E84" t="s">
        <v>743</v>
      </c>
      <c r="F84" s="25">
        <v>30250</v>
      </c>
      <c r="G84" s="29"/>
      <c r="H84" t="s">
        <v>674</v>
      </c>
      <c r="I84" t="s">
        <v>35</v>
      </c>
      <c r="J84" t="s">
        <v>35</v>
      </c>
      <c r="K84" t="s">
        <v>675</v>
      </c>
      <c r="L84" s="29">
        <v>46304</v>
      </c>
    </row>
    <row r="85" spans="1:12" x14ac:dyDescent="0.25">
      <c r="A85" t="s">
        <v>759</v>
      </c>
      <c r="B85" t="s">
        <v>146</v>
      </c>
      <c r="C85" s="30" t="s">
        <v>143</v>
      </c>
      <c r="D85" s="30" t="s">
        <v>144</v>
      </c>
      <c r="E85" t="s">
        <v>743</v>
      </c>
      <c r="F85" s="25">
        <v>19060</v>
      </c>
      <c r="G85" s="29"/>
      <c r="H85" t="s">
        <v>674</v>
      </c>
      <c r="I85" t="s">
        <v>35</v>
      </c>
      <c r="J85" t="s">
        <v>35</v>
      </c>
      <c r="K85" t="s">
        <v>675</v>
      </c>
      <c r="L85" s="29">
        <v>46304</v>
      </c>
    </row>
    <row r="86" spans="1:12" x14ac:dyDescent="0.25">
      <c r="A86" t="s">
        <v>760</v>
      </c>
      <c r="B86" t="s">
        <v>153</v>
      </c>
      <c r="C86" s="30" t="s">
        <v>149</v>
      </c>
      <c r="D86" s="30" t="s">
        <v>151</v>
      </c>
      <c r="E86" t="s">
        <v>743</v>
      </c>
      <c r="F86" s="25">
        <v>20570</v>
      </c>
      <c r="G86" s="29"/>
      <c r="H86" t="s">
        <v>674</v>
      </c>
      <c r="I86" t="s">
        <v>35</v>
      </c>
      <c r="J86" t="s">
        <v>35</v>
      </c>
      <c r="K86" t="s">
        <v>675</v>
      </c>
      <c r="L86" s="29">
        <v>46304</v>
      </c>
    </row>
    <row r="87" spans="1:12" x14ac:dyDescent="0.25">
      <c r="A87" t="s">
        <v>761</v>
      </c>
      <c r="B87" t="s">
        <v>159</v>
      </c>
      <c r="C87" s="30" t="s">
        <v>156</v>
      </c>
      <c r="D87" s="30" t="s">
        <v>157</v>
      </c>
      <c r="E87" t="s">
        <v>743</v>
      </c>
      <c r="F87" s="25">
        <v>25410</v>
      </c>
      <c r="G87" s="29"/>
      <c r="H87" t="s">
        <v>674</v>
      </c>
      <c r="I87" t="s">
        <v>35</v>
      </c>
      <c r="J87" t="s">
        <v>35</v>
      </c>
      <c r="K87" t="s">
        <v>675</v>
      </c>
      <c r="L87" s="29">
        <v>46304</v>
      </c>
    </row>
    <row r="88" spans="1:12" x14ac:dyDescent="0.25">
      <c r="A88" t="s">
        <v>762</v>
      </c>
      <c r="B88" t="s">
        <v>168</v>
      </c>
      <c r="C88" s="30" t="s">
        <v>163</v>
      </c>
      <c r="D88" s="30" t="s">
        <v>82</v>
      </c>
      <c r="E88" t="s">
        <v>743</v>
      </c>
      <c r="F88" s="25">
        <v>40700</v>
      </c>
      <c r="G88" s="29"/>
      <c r="H88" t="s">
        <v>674</v>
      </c>
      <c r="I88" t="s">
        <v>35</v>
      </c>
      <c r="J88" t="s">
        <v>35</v>
      </c>
      <c r="K88" t="s">
        <v>675</v>
      </c>
      <c r="L88" s="29">
        <v>46304</v>
      </c>
    </row>
    <row r="89" spans="1:12" x14ac:dyDescent="0.25">
      <c r="A89" t="s">
        <v>763</v>
      </c>
      <c r="B89" t="s">
        <v>174</v>
      </c>
      <c r="C89" s="30" t="s">
        <v>172</v>
      </c>
      <c r="D89" s="30" t="s">
        <v>92</v>
      </c>
      <c r="E89" t="s">
        <v>743</v>
      </c>
      <c r="F89" s="25">
        <v>40700</v>
      </c>
      <c r="G89" s="29"/>
      <c r="H89" t="s">
        <v>674</v>
      </c>
      <c r="I89" t="s">
        <v>35</v>
      </c>
      <c r="J89" t="s">
        <v>35</v>
      </c>
      <c r="K89" t="s">
        <v>675</v>
      </c>
      <c r="L89" s="29">
        <v>46304</v>
      </c>
    </row>
    <row r="90" spans="1:12" x14ac:dyDescent="0.25">
      <c r="A90" t="s">
        <v>764</v>
      </c>
      <c r="B90" t="s">
        <v>180</v>
      </c>
      <c r="C90" s="30" t="s">
        <v>177</v>
      </c>
      <c r="D90" s="30" t="s">
        <v>178</v>
      </c>
      <c r="E90" t="s">
        <v>743</v>
      </c>
      <c r="F90" s="25">
        <v>17500</v>
      </c>
      <c r="G90" s="29"/>
      <c r="H90" t="s">
        <v>674</v>
      </c>
      <c r="I90" t="s">
        <v>35</v>
      </c>
      <c r="J90" t="s">
        <v>35</v>
      </c>
      <c r="K90" t="s">
        <v>675</v>
      </c>
      <c r="L90" s="29">
        <v>46304</v>
      </c>
    </row>
    <row r="91" spans="1:12" x14ac:dyDescent="0.25">
      <c r="A91" t="s">
        <v>765</v>
      </c>
      <c r="B91" t="s">
        <v>186</v>
      </c>
      <c r="C91" s="30" t="s">
        <v>183</v>
      </c>
      <c r="D91" s="30" t="s">
        <v>184</v>
      </c>
      <c r="E91" t="s">
        <v>743</v>
      </c>
      <c r="F91" s="25">
        <v>7000</v>
      </c>
      <c r="G91" s="29"/>
      <c r="H91" t="s">
        <v>674</v>
      </c>
      <c r="I91" t="s">
        <v>35</v>
      </c>
      <c r="J91" t="s">
        <v>35</v>
      </c>
      <c r="K91" t="s">
        <v>675</v>
      </c>
      <c r="L91" s="29">
        <v>46304</v>
      </c>
    </row>
    <row r="92" spans="1:12" x14ac:dyDescent="0.25">
      <c r="A92" t="s">
        <v>766</v>
      </c>
      <c r="B92" t="s">
        <v>192</v>
      </c>
      <c r="C92" s="30" t="s">
        <v>189</v>
      </c>
      <c r="D92" s="30" t="s">
        <v>190</v>
      </c>
      <c r="E92" t="s">
        <v>743</v>
      </c>
      <c r="F92" s="25">
        <v>13000</v>
      </c>
      <c r="G92" s="29"/>
      <c r="H92" t="s">
        <v>674</v>
      </c>
      <c r="I92" t="s">
        <v>35</v>
      </c>
      <c r="J92" t="s">
        <v>35</v>
      </c>
      <c r="K92" t="s">
        <v>675</v>
      </c>
      <c r="L92" s="29">
        <v>46304</v>
      </c>
    </row>
    <row r="93" spans="1:12" x14ac:dyDescent="0.25">
      <c r="A93" t="s">
        <v>767</v>
      </c>
      <c r="B93" t="s">
        <v>196</v>
      </c>
      <c r="C93" s="30" t="s">
        <v>177</v>
      </c>
      <c r="D93" s="30" t="s">
        <v>195</v>
      </c>
      <c r="E93" t="s">
        <v>743</v>
      </c>
      <c r="F93" s="25">
        <v>13500</v>
      </c>
      <c r="G93" s="29"/>
      <c r="H93" t="s">
        <v>674</v>
      </c>
      <c r="I93" t="s">
        <v>35</v>
      </c>
      <c r="J93" t="s">
        <v>35</v>
      </c>
      <c r="K93" t="s">
        <v>675</v>
      </c>
      <c r="L93" s="29">
        <v>46304</v>
      </c>
    </row>
    <row r="94" spans="1:12" x14ac:dyDescent="0.25">
      <c r="A94" t="s">
        <v>768</v>
      </c>
      <c r="B94" t="s">
        <v>201</v>
      </c>
      <c r="C94" s="30" t="s">
        <v>198</v>
      </c>
      <c r="D94" s="30" t="s">
        <v>199</v>
      </c>
      <c r="E94" t="s">
        <v>743</v>
      </c>
      <c r="F94" s="25">
        <v>7000</v>
      </c>
      <c r="G94" s="29"/>
      <c r="H94" t="s">
        <v>674</v>
      </c>
      <c r="I94" t="s">
        <v>35</v>
      </c>
      <c r="J94" t="s">
        <v>35</v>
      </c>
      <c r="K94" t="s">
        <v>675</v>
      </c>
      <c r="L94" s="29">
        <v>46304</v>
      </c>
    </row>
    <row r="95" spans="1:12" x14ac:dyDescent="0.25">
      <c r="A95" t="s">
        <v>769</v>
      </c>
      <c r="B95" t="s">
        <v>205</v>
      </c>
      <c r="C95" s="30" t="s">
        <v>198</v>
      </c>
      <c r="D95" s="30" t="s">
        <v>204</v>
      </c>
      <c r="E95" t="s">
        <v>743</v>
      </c>
      <c r="F95" s="25">
        <v>6000</v>
      </c>
      <c r="G95" s="29"/>
      <c r="H95" t="s">
        <v>674</v>
      </c>
      <c r="I95" t="s">
        <v>35</v>
      </c>
      <c r="J95" t="s">
        <v>35</v>
      </c>
      <c r="K95" t="s">
        <v>675</v>
      </c>
      <c r="L95" s="29">
        <v>46304</v>
      </c>
    </row>
    <row r="96" spans="1:12" x14ac:dyDescent="0.25">
      <c r="A96" t="s">
        <v>770</v>
      </c>
      <c r="B96" t="s">
        <v>208</v>
      </c>
      <c r="C96" s="30" t="s">
        <v>198</v>
      </c>
      <c r="D96" s="30" t="s">
        <v>207</v>
      </c>
      <c r="E96" t="s">
        <v>743</v>
      </c>
      <c r="F96" s="25">
        <v>6000</v>
      </c>
      <c r="G96" s="29"/>
      <c r="H96" t="s">
        <v>674</v>
      </c>
      <c r="I96" t="s">
        <v>35</v>
      </c>
      <c r="J96" t="s">
        <v>35</v>
      </c>
      <c r="K96" t="s">
        <v>675</v>
      </c>
      <c r="L96" s="29">
        <v>46304</v>
      </c>
    </row>
    <row r="97" spans="1:12" x14ac:dyDescent="0.25">
      <c r="A97" t="s">
        <v>771</v>
      </c>
      <c r="B97" t="s">
        <v>214</v>
      </c>
      <c r="C97" s="30" t="s">
        <v>210</v>
      </c>
      <c r="D97" s="30" t="s">
        <v>212</v>
      </c>
      <c r="E97" t="s">
        <v>743</v>
      </c>
      <c r="F97" s="25">
        <v>11495</v>
      </c>
      <c r="G97" s="29"/>
      <c r="H97" t="s">
        <v>674</v>
      </c>
      <c r="I97" t="s">
        <v>35</v>
      </c>
      <c r="J97" t="s">
        <v>35</v>
      </c>
      <c r="K97" t="s">
        <v>675</v>
      </c>
      <c r="L97" s="29">
        <v>46304</v>
      </c>
    </row>
    <row r="98" spans="1:12" x14ac:dyDescent="0.25">
      <c r="A98" t="s">
        <v>772</v>
      </c>
      <c r="B98" t="s">
        <v>220</v>
      </c>
      <c r="C98" s="30" t="s">
        <v>217</v>
      </c>
      <c r="D98" s="30" t="s">
        <v>100</v>
      </c>
      <c r="E98" t="s">
        <v>743</v>
      </c>
      <c r="F98" s="25">
        <v>16500</v>
      </c>
      <c r="G98" s="29"/>
      <c r="H98" t="s">
        <v>674</v>
      </c>
      <c r="I98" t="s">
        <v>35</v>
      </c>
      <c r="J98" t="s">
        <v>35</v>
      </c>
      <c r="K98" t="s">
        <v>675</v>
      </c>
      <c r="L98" s="29">
        <v>46304</v>
      </c>
    </row>
    <row r="99" spans="1:12" x14ac:dyDescent="0.25">
      <c r="A99" t="s">
        <v>773</v>
      </c>
      <c r="B99" t="s">
        <v>227</v>
      </c>
      <c r="C99" s="30" t="s">
        <v>223</v>
      </c>
      <c r="D99" s="30" t="s">
        <v>225</v>
      </c>
      <c r="E99" t="s">
        <v>743</v>
      </c>
      <c r="F99" s="25">
        <v>12500</v>
      </c>
      <c r="G99" s="29"/>
      <c r="H99" t="s">
        <v>674</v>
      </c>
      <c r="I99" t="s">
        <v>35</v>
      </c>
      <c r="J99" t="s">
        <v>35</v>
      </c>
      <c r="K99" t="s">
        <v>675</v>
      </c>
      <c r="L99" s="29">
        <v>46304</v>
      </c>
    </row>
    <row r="100" spans="1:12" x14ac:dyDescent="0.25">
      <c r="A100" t="s">
        <v>774</v>
      </c>
      <c r="B100" t="s">
        <v>238</v>
      </c>
      <c r="C100" s="30" t="s">
        <v>235</v>
      </c>
      <c r="D100" s="30" t="s">
        <v>236</v>
      </c>
      <c r="E100" t="s">
        <v>743</v>
      </c>
      <c r="F100" s="25">
        <v>14000</v>
      </c>
      <c r="G100" s="29"/>
      <c r="H100" t="s">
        <v>674</v>
      </c>
      <c r="I100" t="s">
        <v>35</v>
      </c>
      <c r="J100" t="s">
        <v>35</v>
      </c>
      <c r="K100" t="s">
        <v>675</v>
      </c>
      <c r="L100" s="29">
        <v>46304</v>
      </c>
    </row>
    <row r="101" spans="1:12" x14ac:dyDescent="0.25">
      <c r="A101" t="s">
        <v>775</v>
      </c>
      <c r="B101" t="s">
        <v>245</v>
      </c>
      <c r="C101" s="30" t="s">
        <v>241</v>
      </c>
      <c r="D101" s="30" t="s">
        <v>243</v>
      </c>
      <c r="E101" t="s">
        <v>743</v>
      </c>
      <c r="F101" s="25">
        <v>16500</v>
      </c>
      <c r="G101" s="29"/>
      <c r="H101" t="s">
        <v>674</v>
      </c>
      <c r="I101" t="s">
        <v>35</v>
      </c>
      <c r="J101" t="s">
        <v>35</v>
      </c>
      <c r="K101" t="s">
        <v>675</v>
      </c>
      <c r="L101" s="29">
        <v>46304</v>
      </c>
    </row>
    <row r="102" spans="1:12" x14ac:dyDescent="0.25">
      <c r="A102" t="s">
        <v>776</v>
      </c>
      <c r="B102" t="s">
        <v>260</v>
      </c>
      <c r="C102" s="30" t="s">
        <v>255</v>
      </c>
      <c r="D102" s="30" t="s">
        <v>257</v>
      </c>
      <c r="E102" t="s">
        <v>743</v>
      </c>
      <c r="F102" s="25">
        <v>19250</v>
      </c>
      <c r="G102" s="29"/>
      <c r="H102" t="s">
        <v>674</v>
      </c>
      <c r="I102" t="s">
        <v>35</v>
      </c>
      <c r="J102" t="s">
        <v>35</v>
      </c>
      <c r="K102" t="s">
        <v>675</v>
      </c>
      <c r="L102" s="29">
        <v>46304</v>
      </c>
    </row>
    <row r="103" spans="1:12" x14ac:dyDescent="0.25">
      <c r="A103" t="s">
        <v>777</v>
      </c>
      <c r="B103" t="s">
        <v>265</v>
      </c>
      <c r="C103" s="30" t="s">
        <v>263</v>
      </c>
      <c r="D103" s="30" t="s">
        <v>107</v>
      </c>
      <c r="E103" t="s">
        <v>743</v>
      </c>
      <c r="F103" s="25">
        <v>17000</v>
      </c>
      <c r="G103" s="29"/>
      <c r="H103" t="s">
        <v>674</v>
      </c>
      <c r="I103" t="s">
        <v>35</v>
      </c>
      <c r="J103" t="s">
        <v>35</v>
      </c>
      <c r="K103" t="s">
        <v>675</v>
      </c>
      <c r="L103" s="29">
        <v>46304</v>
      </c>
    </row>
    <row r="104" spans="1:12" x14ac:dyDescent="0.25">
      <c r="A104" t="s">
        <v>778</v>
      </c>
      <c r="B104" t="s">
        <v>271</v>
      </c>
      <c r="C104" s="30" t="s">
        <v>268</v>
      </c>
      <c r="D104" s="30" t="s">
        <v>113</v>
      </c>
      <c r="E104" t="s">
        <v>743</v>
      </c>
      <c r="F104" s="25">
        <v>17000</v>
      </c>
      <c r="G104" s="29"/>
      <c r="H104" t="s">
        <v>674</v>
      </c>
      <c r="I104" t="s">
        <v>35</v>
      </c>
      <c r="J104" t="s">
        <v>35</v>
      </c>
      <c r="K104" t="s">
        <v>675</v>
      </c>
      <c r="L104" s="29">
        <v>46304</v>
      </c>
    </row>
    <row r="105" spans="1:12" x14ac:dyDescent="0.25">
      <c r="A105" t="s">
        <v>779</v>
      </c>
      <c r="B105" t="s">
        <v>274</v>
      </c>
      <c r="C105" s="30" t="s">
        <v>177</v>
      </c>
      <c r="D105" s="30" t="s">
        <v>120</v>
      </c>
      <c r="E105" t="s">
        <v>743</v>
      </c>
      <c r="F105" s="25">
        <v>19000</v>
      </c>
      <c r="G105" s="29"/>
      <c r="H105" t="s">
        <v>674</v>
      </c>
      <c r="I105" t="s">
        <v>35</v>
      </c>
      <c r="J105" t="s">
        <v>35</v>
      </c>
      <c r="K105" t="s">
        <v>675</v>
      </c>
      <c r="L105" s="29">
        <v>46304</v>
      </c>
    </row>
    <row r="106" spans="1:12" x14ac:dyDescent="0.25">
      <c r="A106" t="s">
        <v>780</v>
      </c>
      <c r="B106" t="s">
        <v>290</v>
      </c>
      <c r="C106" s="30" t="s">
        <v>285</v>
      </c>
      <c r="D106" s="30" t="s">
        <v>287</v>
      </c>
      <c r="E106" t="s">
        <v>743</v>
      </c>
      <c r="F106" s="25">
        <v>11500</v>
      </c>
      <c r="G106" s="29"/>
      <c r="H106" t="s">
        <v>674</v>
      </c>
      <c r="I106" t="s">
        <v>35</v>
      </c>
      <c r="J106" t="s">
        <v>35</v>
      </c>
      <c r="K106" t="s">
        <v>675</v>
      </c>
      <c r="L106" s="29">
        <v>46304</v>
      </c>
    </row>
    <row r="107" spans="1:12" x14ac:dyDescent="0.25">
      <c r="A107" t="s">
        <v>781</v>
      </c>
      <c r="B107" t="s">
        <v>296</v>
      </c>
      <c r="C107" s="30" t="s">
        <v>293</v>
      </c>
      <c r="D107" s="30" t="s">
        <v>294</v>
      </c>
      <c r="E107" t="s">
        <v>743</v>
      </c>
      <c r="F107" s="25">
        <v>11195</v>
      </c>
      <c r="G107" s="29"/>
      <c r="H107" t="s">
        <v>674</v>
      </c>
      <c r="I107" t="s">
        <v>35</v>
      </c>
      <c r="J107" t="s">
        <v>35</v>
      </c>
      <c r="K107" t="s">
        <v>675</v>
      </c>
      <c r="L107" s="29">
        <v>46304</v>
      </c>
    </row>
    <row r="108" spans="1:12" x14ac:dyDescent="0.25">
      <c r="A108" t="s">
        <v>782</v>
      </c>
      <c r="B108" t="s">
        <v>303</v>
      </c>
      <c r="C108" s="30" t="s">
        <v>299</v>
      </c>
      <c r="D108" s="30" t="s">
        <v>301</v>
      </c>
      <c r="E108" t="s">
        <v>743</v>
      </c>
      <c r="F108" s="25">
        <v>12100</v>
      </c>
      <c r="G108" s="29"/>
      <c r="H108" t="s">
        <v>674</v>
      </c>
      <c r="I108" t="s">
        <v>35</v>
      </c>
      <c r="J108" t="s">
        <v>35</v>
      </c>
      <c r="K108" t="s">
        <v>675</v>
      </c>
      <c r="L108" s="29">
        <v>46304</v>
      </c>
    </row>
    <row r="109" spans="1:12" x14ac:dyDescent="0.25">
      <c r="A109" t="s">
        <v>783</v>
      </c>
      <c r="B109" t="s">
        <v>310</v>
      </c>
      <c r="C109" s="30" t="s">
        <v>306</v>
      </c>
      <c r="D109" s="30" t="s">
        <v>131</v>
      </c>
      <c r="E109" t="s">
        <v>743</v>
      </c>
      <c r="F109" s="25">
        <v>11000</v>
      </c>
      <c r="G109" s="29"/>
      <c r="H109" t="s">
        <v>674</v>
      </c>
      <c r="I109" t="s">
        <v>35</v>
      </c>
      <c r="J109" t="s">
        <v>35</v>
      </c>
      <c r="K109" t="s">
        <v>675</v>
      </c>
      <c r="L109" s="29">
        <v>46304</v>
      </c>
    </row>
    <row r="110" spans="1:12" x14ac:dyDescent="0.25">
      <c r="A110" t="s">
        <v>784</v>
      </c>
      <c r="B110" t="s">
        <v>317</v>
      </c>
      <c r="C110" s="30" t="s">
        <v>313</v>
      </c>
      <c r="D110" s="30" t="s">
        <v>315</v>
      </c>
      <c r="E110" t="s">
        <v>743</v>
      </c>
      <c r="F110" s="25">
        <v>14850</v>
      </c>
      <c r="G110" s="29"/>
      <c r="H110" t="s">
        <v>674</v>
      </c>
      <c r="I110" t="s">
        <v>35</v>
      </c>
      <c r="J110" t="s">
        <v>35</v>
      </c>
      <c r="K110" t="s">
        <v>675</v>
      </c>
      <c r="L110" s="29">
        <v>46304</v>
      </c>
    </row>
    <row r="111" spans="1:12" x14ac:dyDescent="0.25">
      <c r="A111" t="s">
        <v>785</v>
      </c>
      <c r="B111" t="s">
        <v>322</v>
      </c>
      <c r="C111" s="30" t="s">
        <v>320</v>
      </c>
      <c r="D111" s="30" t="s">
        <v>138</v>
      </c>
      <c r="E111" t="s">
        <v>743</v>
      </c>
      <c r="F111" s="25">
        <v>12000</v>
      </c>
      <c r="G111" s="29"/>
      <c r="H111" t="s">
        <v>674</v>
      </c>
      <c r="I111" t="s">
        <v>35</v>
      </c>
      <c r="J111" t="s">
        <v>35</v>
      </c>
      <c r="K111" t="s">
        <v>675</v>
      </c>
      <c r="L111" s="29">
        <v>46304</v>
      </c>
    </row>
    <row r="112" spans="1:12" x14ac:dyDescent="0.25">
      <c r="A112" t="s">
        <v>786</v>
      </c>
      <c r="B112" t="s">
        <v>329</v>
      </c>
      <c r="C112" s="30" t="s">
        <v>325</v>
      </c>
      <c r="D112" s="30" t="s">
        <v>327</v>
      </c>
      <c r="E112" t="s">
        <v>743</v>
      </c>
      <c r="F112" s="25">
        <v>12000</v>
      </c>
      <c r="G112" s="29"/>
      <c r="H112" t="s">
        <v>674</v>
      </c>
      <c r="I112" t="s">
        <v>35</v>
      </c>
      <c r="J112" t="s">
        <v>35</v>
      </c>
      <c r="K112" t="s">
        <v>675</v>
      </c>
      <c r="L112" s="29">
        <v>46304</v>
      </c>
    </row>
    <row r="113" spans="1:12" x14ac:dyDescent="0.25">
      <c r="A113" t="s">
        <v>787</v>
      </c>
      <c r="B113" t="s">
        <v>336</v>
      </c>
      <c r="C113" s="30" t="s">
        <v>332</v>
      </c>
      <c r="D113" s="30" t="s">
        <v>334</v>
      </c>
      <c r="E113" t="s">
        <v>743</v>
      </c>
      <c r="F113" s="25">
        <v>14565</v>
      </c>
      <c r="G113" s="29"/>
      <c r="H113" t="s">
        <v>674</v>
      </c>
      <c r="I113" t="s">
        <v>35</v>
      </c>
      <c r="J113" t="s">
        <v>35</v>
      </c>
      <c r="K113" t="s">
        <v>675</v>
      </c>
      <c r="L113" s="29">
        <v>46304</v>
      </c>
    </row>
    <row r="114" spans="1:12" x14ac:dyDescent="0.25">
      <c r="A114" t="s">
        <v>788</v>
      </c>
      <c r="B114" t="s">
        <v>343</v>
      </c>
      <c r="C114" s="30" t="s">
        <v>339</v>
      </c>
      <c r="D114" s="30" t="s">
        <v>340</v>
      </c>
      <c r="E114" t="s">
        <v>743</v>
      </c>
      <c r="F114" s="25">
        <v>16500</v>
      </c>
      <c r="G114" s="29"/>
      <c r="H114" t="s">
        <v>674</v>
      </c>
      <c r="I114" t="s">
        <v>35</v>
      </c>
      <c r="J114" t="s">
        <v>35</v>
      </c>
      <c r="K114" t="s">
        <v>675</v>
      </c>
      <c r="L114" s="29">
        <v>46304</v>
      </c>
    </row>
    <row r="115" spans="1:12" x14ac:dyDescent="0.25">
      <c r="A115" t="s">
        <v>789</v>
      </c>
      <c r="B115" t="s">
        <v>349</v>
      </c>
      <c r="C115" s="30" t="s">
        <v>346</v>
      </c>
      <c r="D115" s="30" t="s">
        <v>347</v>
      </c>
      <c r="E115" t="s">
        <v>743</v>
      </c>
      <c r="F115" s="25">
        <v>18500</v>
      </c>
      <c r="G115" s="29"/>
      <c r="H115" t="s">
        <v>674</v>
      </c>
      <c r="I115" t="s">
        <v>35</v>
      </c>
      <c r="J115" t="s">
        <v>35</v>
      </c>
      <c r="K115" t="s">
        <v>675</v>
      </c>
      <c r="L115" s="29">
        <v>46304</v>
      </c>
    </row>
    <row r="116" spans="1:12" x14ac:dyDescent="0.25">
      <c r="A116" t="s">
        <v>790</v>
      </c>
      <c r="B116" t="s">
        <v>356</v>
      </c>
      <c r="C116" s="30" t="s">
        <v>352</v>
      </c>
      <c r="D116" s="30" t="s">
        <v>354</v>
      </c>
      <c r="E116" t="s">
        <v>743</v>
      </c>
      <c r="F116" s="25">
        <v>15000</v>
      </c>
      <c r="G116" s="29"/>
      <c r="H116" t="s">
        <v>674</v>
      </c>
      <c r="I116" t="s">
        <v>35</v>
      </c>
      <c r="J116" t="s">
        <v>35</v>
      </c>
      <c r="K116" t="s">
        <v>675</v>
      </c>
      <c r="L116" s="29">
        <v>46304</v>
      </c>
    </row>
    <row r="117" spans="1:12" x14ac:dyDescent="0.25">
      <c r="A117" t="s">
        <v>791</v>
      </c>
      <c r="B117" t="s">
        <v>359</v>
      </c>
      <c r="C117" s="30" t="s">
        <v>352</v>
      </c>
      <c r="D117" s="30" t="s">
        <v>144</v>
      </c>
      <c r="E117" t="s">
        <v>743</v>
      </c>
      <c r="F117" s="25">
        <v>15000</v>
      </c>
      <c r="G117" s="29"/>
      <c r="H117" t="s">
        <v>674</v>
      </c>
      <c r="I117" t="s">
        <v>35</v>
      </c>
      <c r="J117" t="s">
        <v>35</v>
      </c>
      <c r="K117" t="s">
        <v>675</v>
      </c>
      <c r="L117" s="29">
        <v>46304</v>
      </c>
    </row>
    <row r="118" spans="1:12" x14ac:dyDescent="0.25">
      <c r="A118" t="s">
        <v>792</v>
      </c>
      <c r="B118" t="s">
        <v>364</v>
      </c>
      <c r="C118" s="30" t="s">
        <v>361</v>
      </c>
      <c r="D118" s="30" t="s">
        <v>151</v>
      </c>
      <c r="E118" t="s">
        <v>743</v>
      </c>
      <c r="F118" s="25">
        <v>11195</v>
      </c>
      <c r="G118" s="29"/>
      <c r="H118" t="s">
        <v>674</v>
      </c>
      <c r="I118" t="s">
        <v>35</v>
      </c>
      <c r="J118" t="s">
        <v>35</v>
      </c>
      <c r="K118" t="s">
        <v>675</v>
      </c>
      <c r="L118" s="29">
        <v>46304</v>
      </c>
    </row>
    <row r="119" spans="1:12" x14ac:dyDescent="0.25">
      <c r="A119" t="s">
        <v>793</v>
      </c>
      <c r="B119" t="s">
        <v>370</v>
      </c>
      <c r="C119" s="30" t="s">
        <v>367</v>
      </c>
      <c r="D119" s="30" t="s">
        <v>157</v>
      </c>
      <c r="E119" t="s">
        <v>743</v>
      </c>
      <c r="F119" s="25">
        <v>10000</v>
      </c>
      <c r="G119" s="29"/>
      <c r="H119" t="s">
        <v>674</v>
      </c>
      <c r="I119" t="s">
        <v>35</v>
      </c>
      <c r="J119" t="s">
        <v>35</v>
      </c>
      <c r="K119" t="s">
        <v>675</v>
      </c>
      <c r="L119" s="29">
        <v>46304</v>
      </c>
    </row>
    <row r="120" spans="1:12" x14ac:dyDescent="0.25">
      <c r="A120" t="s">
        <v>794</v>
      </c>
      <c r="B120" t="s">
        <v>374</v>
      </c>
      <c r="C120" s="30" t="s">
        <v>198</v>
      </c>
      <c r="D120" s="30" t="s">
        <v>373</v>
      </c>
      <c r="E120" t="s">
        <v>743</v>
      </c>
      <c r="F120" s="25">
        <v>11000</v>
      </c>
      <c r="G120" s="29"/>
      <c r="H120" t="s">
        <v>674</v>
      </c>
      <c r="I120" t="s">
        <v>35</v>
      </c>
      <c r="J120" t="s">
        <v>35</v>
      </c>
      <c r="K120" t="s">
        <v>675</v>
      </c>
      <c r="L120" s="29">
        <v>46304</v>
      </c>
    </row>
    <row r="121" spans="1:12" x14ac:dyDescent="0.25">
      <c r="A121" t="s">
        <v>795</v>
      </c>
      <c r="B121" t="s">
        <v>380</v>
      </c>
      <c r="C121" s="30" t="s">
        <v>376</v>
      </c>
      <c r="D121" s="30" t="s">
        <v>378</v>
      </c>
      <c r="E121" t="s">
        <v>743</v>
      </c>
      <c r="F121" s="25">
        <v>17000</v>
      </c>
      <c r="G121" s="29"/>
      <c r="H121" t="s">
        <v>674</v>
      </c>
      <c r="I121" t="s">
        <v>35</v>
      </c>
      <c r="J121" t="s">
        <v>35</v>
      </c>
      <c r="K121" t="s">
        <v>675</v>
      </c>
      <c r="L121" s="29">
        <v>46304</v>
      </c>
    </row>
    <row r="122" spans="1:12" x14ac:dyDescent="0.25">
      <c r="A122" t="s">
        <v>796</v>
      </c>
      <c r="B122" t="s">
        <v>395</v>
      </c>
      <c r="C122" s="30" t="s">
        <v>391</v>
      </c>
      <c r="D122" s="30" t="s">
        <v>393</v>
      </c>
      <c r="E122" t="s">
        <v>743</v>
      </c>
      <c r="F122" s="25">
        <v>9680</v>
      </c>
      <c r="G122" s="29"/>
      <c r="H122" t="s">
        <v>674</v>
      </c>
      <c r="I122" t="s">
        <v>35</v>
      </c>
      <c r="J122" t="s">
        <v>35</v>
      </c>
      <c r="K122" t="s">
        <v>675</v>
      </c>
      <c r="L122" s="29">
        <v>46304</v>
      </c>
    </row>
    <row r="123" spans="1:12" x14ac:dyDescent="0.25">
      <c r="A123" t="s">
        <v>797</v>
      </c>
      <c r="B123" t="s">
        <v>403</v>
      </c>
      <c r="C123" s="30" t="s">
        <v>398</v>
      </c>
      <c r="D123" s="30" t="s">
        <v>400</v>
      </c>
      <c r="E123" t="s">
        <v>743</v>
      </c>
      <c r="F123" s="25">
        <v>19000</v>
      </c>
      <c r="G123" s="29"/>
      <c r="H123" t="s">
        <v>674</v>
      </c>
      <c r="I123" t="s">
        <v>35</v>
      </c>
      <c r="J123" t="s">
        <v>35</v>
      </c>
      <c r="K123" t="s">
        <v>675</v>
      </c>
      <c r="L123" s="29">
        <v>46304</v>
      </c>
    </row>
    <row r="124" spans="1:12" x14ac:dyDescent="0.25">
      <c r="A124" t="s">
        <v>798</v>
      </c>
      <c r="B124" t="s">
        <v>409</v>
      </c>
      <c r="C124" s="30" t="s">
        <v>406</v>
      </c>
      <c r="D124" s="30" t="s">
        <v>407</v>
      </c>
      <c r="E124" t="s">
        <v>743</v>
      </c>
      <c r="F124" s="25">
        <v>11495</v>
      </c>
      <c r="G124" s="29"/>
      <c r="H124" t="s">
        <v>674</v>
      </c>
      <c r="I124" t="s">
        <v>35</v>
      </c>
      <c r="J124" t="s">
        <v>35</v>
      </c>
      <c r="K124" t="s">
        <v>675</v>
      </c>
      <c r="L124" s="29">
        <v>46304</v>
      </c>
    </row>
    <row r="125" spans="1:12" x14ac:dyDescent="0.25">
      <c r="A125" t="s">
        <v>799</v>
      </c>
      <c r="B125" t="s">
        <v>415</v>
      </c>
      <c r="C125" s="30" t="s">
        <v>412</v>
      </c>
      <c r="D125" s="30" t="s">
        <v>413</v>
      </c>
      <c r="E125" t="s">
        <v>743</v>
      </c>
      <c r="F125" s="25">
        <v>11000</v>
      </c>
      <c r="G125" s="29"/>
      <c r="H125" t="s">
        <v>674</v>
      </c>
      <c r="I125" t="s">
        <v>35</v>
      </c>
      <c r="J125" t="s">
        <v>35</v>
      </c>
      <c r="K125" t="s">
        <v>675</v>
      </c>
      <c r="L125" s="29">
        <v>46304</v>
      </c>
    </row>
    <row r="126" spans="1:12" x14ac:dyDescent="0.25">
      <c r="A126" t="s">
        <v>800</v>
      </c>
      <c r="B126" t="s">
        <v>423</v>
      </c>
      <c r="C126" s="30" t="s">
        <v>418</v>
      </c>
      <c r="D126" s="30" t="s">
        <v>419</v>
      </c>
      <c r="E126" t="s">
        <v>743</v>
      </c>
      <c r="F126" s="25">
        <v>8775</v>
      </c>
      <c r="G126" s="29"/>
      <c r="H126" t="s">
        <v>674</v>
      </c>
      <c r="I126" t="s">
        <v>35</v>
      </c>
      <c r="J126" t="s">
        <v>35</v>
      </c>
      <c r="K126" t="s">
        <v>675</v>
      </c>
      <c r="L126" s="29">
        <v>46304</v>
      </c>
    </row>
    <row r="127" spans="1:12" x14ac:dyDescent="0.25">
      <c r="A127" t="s">
        <v>801</v>
      </c>
      <c r="B127" t="s">
        <v>430</v>
      </c>
      <c r="C127" s="30" t="s">
        <v>426</v>
      </c>
      <c r="D127" s="30" t="s">
        <v>428</v>
      </c>
      <c r="E127" t="s">
        <v>743</v>
      </c>
      <c r="F127" s="25">
        <v>15000</v>
      </c>
      <c r="G127" s="29"/>
      <c r="H127" t="s">
        <v>674</v>
      </c>
      <c r="I127" t="s">
        <v>35</v>
      </c>
      <c r="J127" t="s">
        <v>35</v>
      </c>
      <c r="K127" t="s">
        <v>675</v>
      </c>
      <c r="L127" s="29">
        <v>46304</v>
      </c>
    </row>
    <row r="128" spans="1:12" x14ac:dyDescent="0.25">
      <c r="A128" t="s">
        <v>802</v>
      </c>
      <c r="B128" t="s">
        <v>438</v>
      </c>
      <c r="C128" s="30" t="s">
        <v>433</v>
      </c>
      <c r="D128" s="30" t="s">
        <v>435</v>
      </c>
      <c r="E128" t="s">
        <v>743</v>
      </c>
      <c r="F128" s="25">
        <v>10500</v>
      </c>
      <c r="G128" s="29"/>
      <c r="H128" t="s">
        <v>674</v>
      </c>
      <c r="I128" t="s">
        <v>35</v>
      </c>
      <c r="J128" t="s">
        <v>35</v>
      </c>
      <c r="K128" t="s">
        <v>675</v>
      </c>
      <c r="L128" s="29">
        <v>46304</v>
      </c>
    </row>
    <row r="129" spans="1:12" x14ac:dyDescent="0.25">
      <c r="A129" t="s">
        <v>803</v>
      </c>
      <c r="B129" t="s">
        <v>445</v>
      </c>
      <c r="C129" s="30" t="s">
        <v>441</v>
      </c>
      <c r="D129" s="30" t="s">
        <v>443</v>
      </c>
      <c r="E129" t="s">
        <v>743</v>
      </c>
      <c r="F129" s="25">
        <v>13000</v>
      </c>
      <c r="G129" s="29"/>
      <c r="H129" t="s">
        <v>674</v>
      </c>
      <c r="I129" t="s">
        <v>35</v>
      </c>
      <c r="J129" t="s">
        <v>35</v>
      </c>
      <c r="K129" t="s">
        <v>675</v>
      </c>
      <c r="L129" s="29">
        <v>46304</v>
      </c>
    </row>
    <row r="130" spans="1:12" x14ac:dyDescent="0.25">
      <c r="A130" t="s">
        <v>804</v>
      </c>
      <c r="B130" t="s">
        <v>453</v>
      </c>
      <c r="C130" s="30" t="s">
        <v>448</v>
      </c>
      <c r="D130" s="30" t="s">
        <v>450</v>
      </c>
      <c r="E130" t="s">
        <v>743</v>
      </c>
      <c r="F130" s="25">
        <v>17000</v>
      </c>
      <c r="G130" s="29"/>
      <c r="H130" t="s">
        <v>674</v>
      </c>
      <c r="I130" t="s">
        <v>35</v>
      </c>
      <c r="J130" t="s">
        <v>35</v>
      </c>
      <c r="K130" t="s">
        <v>675</v>
      </c>
      <c r="L130" s="29">
        <v>46304</v>
      </c>
    </row>
    <row r="131" spans="1:12" x14ac:dyDescent="0.25">
      <c r="A131" t="s">
        <v>805</v>
      </c>
      <c r="B131" t="s">
        <v>467</v>
      </c>
      <c r="C131" s="30" t="s">
        <v>463</v>
      </c>
      <c r="D131" s="30" t="s">
        <v>465</v>
      </c>
      <c r="E131" t="s">
        <v>743</v>
      </c>
      <c r="F131" s="25">
        <v>11000</v>
      </c>
      <c r="G131" s="29"/>
      <c r="H131" t="s">
        <v>674</v>
      </c>
      <c r="I131" t="s">
        <v>35</v>
      </c>
      <c r="J131" t="s">
        <v>35</v>
      </c>
      <c r="K131" t="s">
        <v>675</v>
      </c>
      <c r="L131" s="29">
        <v>46304</v>
      </c>
    </row>
    <row r="132" spans="1:12" x14ac:dyDescent="0.25">
      <c r="A132" t="s">
        <v>806</v>
      </c>
      <c r="B132" t="s">
        <v>473</v>
      </c>
      <c r="C132" s="30" t="s">
        <v>470</v>
      </c>
      <c r="D132" s="30" t="s">
        <v>471</v>
      </c>
      <c r="E132" t="s">
        <v>743</v>
      </c>
      <c r="F132" s="25">
        <v>11000</v>
      </c>
      <c r="G132" s="29"/>
      <c r="H132" t="s">
        <v>674</v>
      </c>
      <c r="I132" t="s">
        <v>35</v>
      </c>
      <c r="J132" t="s">
        <v>35</v>
      </c>
      <c r="K132" t="s">
        <v>675</v>
      </c>
      <c r="L132" s="29">
        <v>46304</v>
      </c>
    </row>
    <row r="133" spans="1:12" x14ac:dyDescent="0.25">
      <c r="A133" t="s">
        <v>807</v>
      </c>
      <c r="B133" t="s">
        <v>481</v>
      </c>
      <c r="C133" s="30" t="s">
        <v>476</v>
      </c>
      <c r="D133" s="30" t="s">
        <v>478</v>
      </c>
      <c r="E133" t="s">
        <v>743</v>
      </c>
      <c r="F133" s="25">
        <v>10890</v>
      </c>
      <c r="G133" s="29"/>
      <c r="H133" t="s">
        <v>674</v>
      </c>
      <c r="I133" t="s">
        <v>35</v>
      </c>
      <c r="J133" t="s">
        <v>35</v>
      </c>
      <c r="K133" t="s">
        <v>675</v>
      </c>
      <c r="L133" s="29">
        <v>46304</v>
      </c>
    </row>
    <row r="134" spans="1:12" x14ac:dyDescent="0.25">
      <c r="A134" t="s">
        <v>808</v>
      </c>
      <c r="B134" t="s">
        <v>488</v>
      </c>
      <c r="C134" s="30" t="s">
        <v>484</v>
      </c>
      <c r="D134" s="30" t="s">
        <v>486</v>
      </c>
      <c r="E134" t="s">
        <v>743</v>
      </c>
      <c r="F134" s="25">
        <v>13000</v>
      </c>
      <c r="G134" s="29"/>
      <c r="H134" t="s">
        <v>674</v>
      </c>
      <c r="I134" t="s">
        <v>35</v>
      </c>
      <c r="J134" t="s">
        <v>35</v>
      </c>
      <c r="K134" t="s">
        <v>675</v>
      </c>
      <c r="L134" s="29">
        <v>46304</v>
      </c>
    </row>
    <row r="135" spans="1:12" x14ac:dyDescent="0.25">
      <c r="A135" t="s">
        <v>809</v>
      </c>
      <c r="B135" t="s">
        <v>492</v>
      </c>
      <c r="C135" s="30" t="s">
        <v>484</v>
      </c>
      <c r="D135" s="30" t="s">
        <v>491</v>
      </c>
      <c r="E135" t="s">
        <v>743</v>
      </c>
      <c r="F135" s="25">
        <v>13000</v>
      </c>
      <c r="G135" s="29"/>
      <c r="H135" t="s">
        <v>674</v>
      </c>
      <c r="I135" t="s">
        <v>35</v>
      </c>
      <c r="J135" t="s">
        <v>35</v>
      </c>
      <c r="K135" t="s">
        <v>675</v>
      </c>
      <c r="L135" s="29">
        <v>46304</v>
      </c>
    </row>
    <row r="136" spans="1:12" x14ac:dyDescent="0.25">
      <c r="A136" t="s">
        <v>810</v>
      </c>
      <c r="B136" t="s">
        <v>37</v>
      </c>
      <c r="C136" s="30" t="s">
        <v>31</v>
      </c>
      <c r="D136" s="30" t="s">
        <v>33</v>
      </c>
      <c r="E136" t="s">
        <v>811</v>
      </c>
      <c r="F136" s="25">
        <v>12705</v>
      </c>
      <c r="G136" s="29"/>
      <c r="H136" t="s">
        <v>674</v>
      </c>
      <c r="I136" t="s">
        <v>35</v>
      </c>
      <c r="J136" t="s">
        <v>35</v>
      </c>
      <c r="K136" t="s">
        <v>675</v>
      </c>
      <c r="L136" s="29">
        <v>46304</v>
      </c>
    </row>
    <row r="137" spans="1:12" x14ac:dyDescent="0.25">
      <c r="A137" t="s">
        <v>812</v>
      </c>
      <c r="B137" t="s">
        <v>44</v>
      </c>
      <c r="C137" s="30" t="s">
        <v>41</v>
      </c>
      <c r="D137" s="30" t="s">
        <v>33</v>
      </c>
      <c r="E137" t="s">
        <v>811</v>
      </c>
      <c r="F137" s="25">
        <v>30500</v>
      </c>
      <c r="G137" s="29"/>
      <c r="H137" t="s">
        <v>674</v>
      </c>
      <c r="I137" t="s">
        <v>35</v>
      </c>
      <c r="J137" t="s">
        <v>35</v>
      </c>
      <c r="K137" t="s">
        <v>675</v>
      </c>
      <c r="L137" s="29">
        <v>46304</v>
      </c>
    </row>
    <row r="138" spans="1:12" x14ac:dyDescent="0.25">
      <c r="A138" t="s">
        <v>813</v>
      </c>
      <c r="B138" t="s">
        <v>52</v>
      </c>
      <c r="C138" s="30" t="s">
        <v>47</v>
      </c>
      <c r="D138" s="30" t="s">
        <v>49</v>
      </c>
      <c r="E138" t="s">
        <v>811</v>
      </c>
      <c r="F138" s="25">
        <v>45100</v>
      </c>
      <c r="G138" s="29"/>
      <c r="H138" t="s">
        <v>674</v>
      </c>
      <c r="I138" t="s">
        <v>35</v>
      </c>
      <c r="J138" t="s">
        <v>35</v>
      </c>
      <c r="K138" t="s">
        <v>675</v>
      </c>
      <c r="L138" s="29">
        <v>46304</v>
      </c>
    </row>
    <row r="139" spans="1:12" x14ac:dyDescent="0.25">
      <c r="A139" t="s">
        <v>814</v>
      </c>
      <c r="B139" t="s">
        <v>59</v>
      </c>
      <c r="C139" s="30" t="s">
        <v>55</v>
      </c>
      <c r="D139" s="30" t="s">
        <v>57</v>
      </c>
      <c r="E139" t="s">
        <v>811</v>
      </c>
      <c r="F139" s="25">
        <v>41800</v>
      </c>
      <c r="G139" s="29"/>
      <c r="H139" t="s">
        <v>674</v>
      </c>
      <c r="I139" t="s">
        <v>35</v>
      </c>
      <c r="J139" t="s">
        <v>35</v>
      </c>
      <c r="K139" t="s">
        <v>675</v>
      </c>
      <c r="L139" s="29">
        <v>46304</v>
      </c>
    </row>
    <row r="140" spans="1:12" x14ac:dyDescent="0.25">
      <c r="A140" t="s">
        <v>815</v>
      </c>
      <c r="B140" t="s">
        <v>63</v>
      </c>
      <c r="C140" s="30" t="s">
        <v>47</v>
      </c>
      <c r="D140" s="30" t="s">
        <v>62</v>
      </c>
      <c r="E140" t="s">
        <v>811</v>
      </c>
      <c r="F140" s="25">
        <v>91960</v>
      </c>
      <c r="G140" s="29"/>
      <c r="H140" t="s">
        <v>674</v>
      </c>
      <c r="I140" t="s">
        <v>35</v>
      </c>
      <c r="J140" t="s">
        <v>35</v>
      </c>
      <c r="K140" t="s">
        <v>675</v>
      </c>
      <c r="L140" s="29">
        <v>46304</v>
      </c>
    </row>
    <row r="141" spans="1:12" x14ac:dyDescent="0.25">
      <c r="A141" t="s">
        <v>816</v>
      </c>
      <c r="B141" t="s">
        <v>70</v>
      </c>
      <c r="C141" s="30" t="s">
        <v>65</v>
      </c>
      <c r="D141" s="30" t="s">
        <v>67</v>
      </c>
      <c r="E141" t="s">
        <v>811</v>
      </c>
      <c r="F141" s="25">
        <v>30250</v>
      </c>
      <c r="G141" s="29"/>
      <c r="H141" t="s">
        <v>674</v>
      </c>
      <c r="I141" t="s">
        <v>35</v>
      </c>
      <c r="J141" t="s">
        <v>35</v>
      </c>
      <c r="K141" t="s">
        <v>675</v>
      </c>
      <c r="L141" s="29">
        <v>46304</v>
      </c>
    </row>
    <row r="142" spans="1:12" x14ac:dyDescent="0.25">
      <c r="A142" t="s">
        <v>817</v>
      </c>
      <c r="B142" t="s">
        <v>76</v>
      </c>
      <c r="C142" s="30" t="s">
        <v>73</v>
      </c>
      <c r="D142" s="30" t="s">
        <v>74</v>
      </c>
      <c r="E142" t="s">
        <v>811</v>
      </c>
      <c r="F142" s="25">
        <v>24330</v>
      </c>
      <c r="G142" s="29"/>
      <c r="H142" t="s">
        <v>674</v>
      </c>
      <c r="I142" t="s">
        <v>35</v>
      </c>
      <c r="J142" t="s">
        <v>35</v>
      </c>
      <c r="K142" t="s">
        <v>675</v>
      </c>
      <c r="L142" s="29">
        <v>46304</v>
      </c>
    </row>
    <row r="143" spans="1:12" x14ac:dyDescent="0.25">
      <c r="A143" t="s">
        <v>818</v>
      </c>
      <c r="B143" t="s">
        <v>86</v>
      </c>
      <c r="C143" s="30" t="s">
        <v>80</v>
      </c>
      <c r="D143" s="30" t="s">
        <v>82</v>
      </c>
      <c r="E143" t="s">
        <v>811</v>
      </c>
      <c r="F143" s="25">
        <v>42350</v>
      </c>
      <c r="G143" s="29"/>
      <c r="H143" t="s">
        <v>674</v>
      </c>
      <c r="I143" t="s">
        <v>35</v>
      </c>
      <c r="J143" t="s">
        <v>35</v>
      </c>
      <c r="K143" t="s">
        <v>675</v>
      </c>
      <c r="L143" s="29">
        <v>46304</v>
      </c>
    </row>
    <row r="144" spans="1:12" x14ac:dyDescent="0.25">
      <c r="A144" t="s">
        <v>819</v>
      </c>
      <c r="B144" t="s">
        <v>95</v>
      </c>
      <c r="C144" s="30" t="s">
        <v>90</v>
      </c>
      <c r="D144" s="30" t="s">
        <v>92</v>
      </c>
      <c r="E144" t="s">
        <v>811</v>
      </c>
      <c r="F144" s="25">
        <v>25410</v>
      </c>
      <c r="G144" s="29"/>
      <c r="H144" t="s">
        <v>674</v>
      </c>
      <c r="I144" t="s">
        <v>35</v>
      </c>
      <c r="J144" t="s">
        <v>35</v>
      </c>
      <c r="K144" t="s">
        <v>675</v>
      </c>
      <c r="L144" s="29">
        <v>46304</v>
      </c>
    </row>
    <row r="145" spans="1:12" x14ac:dyDescent="0.25">
      <c r="A145" t="s">
        <v>820</v>
      </c>
      <c r="B145" t="s">
        <v>103</v>
      </c>
      <c r="C145" s="30" t="s">
        <v>98</v>
      </c>
      <c r="D145" s="30" t="s">
        <v>100</v>
      </c>
      <c r="E145" t="s">
        <v>811</v>
      </c>
      <c r="F145" s="25">
        <v>46585</v>
      </c>
      <c r="G145" s="29"/>
      <c r="H145" t="s">
        <v>674</v>
      </c>
      <c r="I145" t="s">
        <v>35</v>
      </c>
      <c r="J145" t="s">
        <v>35</v>
      </c>
      <c r="K145" t="s">
        <v>675</v>
      </c>
      <c r="L145" s="29">
        <v>46304</v>
      </c>
    </row>
    <row r="146" spans="1:12" x14ac:dyDescent="0.25">
      <c r="A146" t="s">
        <v>821</v>
      </c>
      <c r="B146" t="s">
        <v>109</v>
      </c>
      <c r="C146" s="30" t="s">
        <v>106</v>
      </c>
      <c r="D146" s="30" t="s">
        <v>107</v>
      </c>
      <c r="E146" t="s">
        <v>811</v>
      </c>
      <c r="F146" s="25">
        <v>22990</v>
      </c>
      <c r="G146" s="29"/>
      <c r="H146" t="s">
        <v>674</v>
      </c>
      <c r="I146" t="s">
        <v>35</v>
      </c>
      <c r="J146" t="s">
        <v>35</v>
      </c>
      <c r="K146" t="s">
        <v>675</v>
      </c>
      <c r="L146" s="29">
        <v>46304</v>
      </c>
    </row>
    <row r="147" spans="1:12" x14ac:dyDescent="0.25">
      <c r="A147" t="s">
        <v>822</v>
      </c>
      <c r="B147" t="s">
        <v>115</v>
      </c>
      <c r="C147" s="30" t="s">
        <v>112</v>
      </c>
      <c r="D147" s="30" t="s">
        <v>113</v>
      </c>
      <c r="E147" t="s">
        <v>811</v>
      </c>
      <c r="F147" s="25">
        <v>35000</v>
      </c>
      <c r="G147" s="29"/>
      <c r="H147" t="s">
        <v>674</v>
      </c>
      <c r="I147" t="s">
        <v>35</v>
      </c>
      <c r="J147" t="s">
        <v>35</v>
      </c>
      <c r="K147" t="s">
        <v>675</v>
      </c>
      <c r="L147" s="29">
        <v>46304</v>
      </c>
    </row>
    <row r="148" spans="1:12" x14ac:dyDescent="0.25">
      <c r="A148" t="s">
        <v>823</v>
      </c>
      <c r="B148" t="s">
        <v>123</v>
      </c>
      <c r="C148" s="30" t="s">
        <v>118</v>
      </c>
      <c r="D148" s="30" t="s">
        <v>120</v>
      </c>
      <c r="E148" t="s">
        <v>811</v>
      </c>
      <c r="F148" s="25">
        <v>43000</v>
      </c>
      <c r="G148" s="29"/>
      <c r="H148" t="s">
        <v>674</v>
      </c>
      <c r="I148" t="s">
        <v>35</v>
      </c>
      <c r="J148" t="s">
        <v>35</v>
      </c>
      <c r="K148" t="s">
        <v>675</v>
      </c>
      <c r="L148" s="29">
        <v>46304</v>
      </c>
    </row>
    <row r="149" spans="1:12" x14ac:dyDescent="0.25">
      <c r="A149" t="s">
        <v>824</v>
      </c>
      <c r="B149" t="s">
        <v>127</v>
      </c>
      <c r="C149" s="30" t="s">
        <v>118</v>
      </c>
      <c r="D149" s="30" t="s">
        <v>126</v>
      </c>
      <c r="E149" t="s">
        <v>811</v>
      </c>
      <c r="F149" s="25">
        <v>25300</v>
      </c>
      <c r="G149" s="29"/>
      <c r="H149" t="s">
        <v>674</v>
      </c>
      <c r="I149" t="s">
        <v>35</v>
      </c>
      <c r="J149" t="s">
        <v>35</v>
      </c>
      <c r="K149" t="s">
        <v>675</v>
      </c>
      <c r="L149" s="29">
        <v>46304</v>
      </c>
    </row>
    <row r="150" spans="1:12" x14ac:dyDescent="0.25">
      <c r="A150" t="s">
        <v>825</v>
      </c>
      <c r="B150" t="s">
        <v>133</v>
      </c>
      <c r="C150" s="30" t="s">
        <v>129</v>
      </c>
      <c r="D150" s="30" t="s">
        <v>131</v>
      </c>
      <c r="E150" t="s">
        <v>811</v>
      </c>
      <c r="F150" s="25">
        <v>37665</v>
      </c>
      <c r="G150" s="29"/>
      <c r="H150" t="s">
        <v>674</v>
      </c>
      <c r="I150" t="s">
        <v>35</v>
      </c>
      <c r="J150" t="s">
        <v>35</v>
      </c>
      <c r="K150" t="s">
        <v>675</v>
      </c>
      <c r="L150" s="29">
        <v>46304</v>
      </c>
    </row>
    <row r="151" spans="1:12" x14ac:dyDescent="0.25">
      <c r="A151" t="s">
        <v>826</v>
      </c>
      <c r="B151" t="s">
        <v>140</v>
      </c>
      <c r="C151" s="30" t="s">
        <v>136</v>
      </c>
      <c r="D151" s="30" t="s">
        <v>138</v>
      </c>
      <c r="E151" t="s">
        <v>811</v>
      </c>
      <c r="F151" s="25">
        <v>30250</v>
      </c>
      <c r="G151" s="29"/>
      <c r="H151" t="s">
        <v>674</v>
      </c>
      <c r="I151" t="s">
        <v>35</v>
      </c>
      <c r="J151" t="s">
        <v>35</v>
      </c>
      <c r="K151" t="s">
        <v>675</v>
      </c>
      <c r="L151" s="29">
        <v>46304</v>
      </c>
    </row>
    <row r="152" spans="1:12" x14ac:dyDescent="0.25">
      <c r="A152" t="s">
        <v>827</v>
      </c>
      <c r="B152" t="s">
        <v>146</v>
      </c>
      <c r="C152" s="30" t="s">
        <v>143</v>
      </c>
      <c r="D152" s="30" t="s">
        <v>144</v>
      </c>
      <c r="E152" t="s">
        <v>811</v>
      </c>
      <c r="F152" s="25">
        <v>19060</v>
      </c>
      <c r="G152" s="29"/>
      <c r="H152" t="s">
        <v>674</v>
      </c>
      <c r="I152" t="s">
        <v>35</v>
      </c>
      <c r="J152" t="s">
        <v>35</v>
      </c>
      <c r="K152" t="s">
        <v>675</v>
      </c>
      <c r="L152" s="29">
        <v>46304</v>
      </c>
    </row>
    <row r="153" spans="1:12" x14ac:dyDescent="0.25">
      <c r="A153" t="s">
        <v>828</v>
      </c>
      <c r="B153" t="s">
        <v>153</v>
      </c>
      <c r="C153" s="30" t="s">
        <v>149</v>
      </c>
      <c r="D153" s="30" t="s">
        <v>151</v>
      </c>
      <c r="E153" t="s">
        <v>811</v>
      </c>
      <c r="F153" s="25">
        <v>20570</v>
      </c>
      <c r="G153" s="29"/>
      <c r="H153" t="s">
        <v>674</v>
      </c>
      <c r="I153" t="s">
        <v>35</v>
      </c>
      <c r="J153" t="s">
        <v>35</v>
      </c>
      <c r="K153" t="s">
        <v>675</v>
      </c>
      <c r="L153" s="29">
        <v>46304</v>
      </c>
    </row>
    <row r="154" spans="1:12" x14ac:dyDescent="0.25">
      <c r="A154" t="s">
        <v>829</v>
      </c>
      <c r="B154" t="s">
        <v>159</v>
      </c>
      <c r="C154" s="30" t="s">
        <v>156</v>
      </c>
      <c r="D154" s="30" t="s">
        <v>157</v>
      </c>
      <c r="E154" t="s">
        <v>811</v>
      </c>
      <c r="F154" s="25">
        <v>25410</v>
      </c>
      <c r="G154" s="29"/>
      <c r="H154" t="s">
        <v>674</v>
      </c>
      <c r="I154" t="s">
        <v>35</v>
      </c>
      <c r="J154" t="s">
        <v>35</v>
      </c>
      <c r="K154" t="s">
        <v>675</v>
      </c>
      <c r="L154" s="29">
        <v>46304</v>
      </c>
    </row>
    <row r="155" spans="1:12" x14ac:dyDescent="0.25">
      <c r="A155" t="s">
        <v>830</v>
      </c>
      <c r="B155" t="s">
        <v>168</v>
      </c>
      <c r="C155" s="30" t="s">
        <v>163</v>
      </c>
      <c r="D155" s="30" t="s">
        <v>82</v>
      </c>
      <c r="E155" t="s">
        <v>811</v>
      </c>
      <c r="F155" s="25">
        <v>40700</v>
      </c>
      <c r="G155" s="29"/>
      <c r="H155" t="s">
        <v>674</v>
      </c>
      <c r="I155" t="s">
        <v>35</v>
      </c>
      <c r="J155" t="s">
        <v>35</v>
      </c>
      <c r="K155" t="s">
        <v>675</v>
      </c>
      <c r="L155" s="29">
        <v>46304</v>
      </c>
    </row>
    <row r="156" spans="1:12" x14ac:dyDescent="0.25">
      <c r="A156" t="s">
        <v>831</v>
      </c>
      <c r="B156" t="s">
        <v>174</v>
      </c>
      <c r="C156" s="30" t="s">
        <v>172</v>
      </c>
      <c r="D156" s="30" t="s">
        <v>92</v>
      </c>
      <c r="E156" t="s">
        <v>811</v>
      </c>
      <c r="F156" s="25">
        <v>40700</v>
      </c>
      <c r="G156" s="29"/>
      <c r="H156" t="s">
        <v>674</v>
      </c>
      <c r="I156" t="s">
        <v>35</v>
      </c>
      <c r="J156" t="s">
        <v>35</v>
      </c>
      <c r="K156" t="s">
        <v>675</v>
      </c>
      <c r="L156" s="29">
        <v>46304</v>
      </c>
    </row>
    <row r="157" spans="1:12" x14ac:dyDescent="0.25">
      <c r="A157" t="s">
        <v>832</v>
      </c>
      <c r="B157" t="s">
        <v>180</v>
      </c>
      <c r="C157" s="30" t="s">
        <v>177</v>
      </c>
      <c r="D157" s="30" t="s">
        <v>178</v>
      </c>
      <c r="E157" t="s">
        <v>811</v>
      </c>
      <c r="F157" s="25">
        <v>17500</v>
      </c>
      <c r="G157" s="29"/>
      <c r="H157" t="s">
        <v>674</v>
      </c>
      <c r="I157" t="s">
        <v>35</v>
      </c>
      <c r="J157" t="s">
        <v>35</v>
      </c>
      <c r="K157" t="s">
        <v>675</v>
      </c>
      <c r="L157" s="29">
        <v>46304</v>
      </c>
    </row>
    <row r="158" spans="1:12" x14ac:dyDescent="0.25">
      <c r="A158" t="s">
        <v>833</v>
      </c>
      <c r="B158" t="s">
        <v>186</v>
      </c>
      <c r="C158" s="30" t="s">
        <v>183</v>
      </c>
      <c r="D158" s="30" t="s">
        <v>184</v>
      </c>
      <c r="E158" t="s">
        <v>811</v>
      </c>
      <c r="F158" s="25">
        <v>7000</v>
      </c>
      <c r="G158" s="29"/>
      <c r="H158" t="s">
        <v>674</v>
      </c>
      <c r="I158" t="s">
        <v>35</v>
      </c>
      <c r="J158" t="s">
        <v>35</v>
      </c>
      <c r="K158" t="s">
        <v>675</v>
      </c>
      <c r="L158" s="29">
        <v>46304</v>
      </c>
    </row>
    <row r="159" spans="1:12" x14ac:dyDescent="0.25">
      <c r="A159" t="s">
        <v>834</v>
      </c>
      <c r="B159" t="s">
        <v>192</v>
      </c>
      <c r="C159" s="30" t="s">
        <v>189</v>
      </c>
      <c r="D159" s="30" t="s">
        <v>190</v>
      </c>
      <c r="E159" t="s">
        <v>811</v>
      </c>
      <c r="F159" s="25">
        <v>13000</v>
      </c>
      <c r="G159" s="29"/>
      <c r="H159" t="s">
        <v>674</v>
      </c>
      <c r="I159" t="s">
        <v>35</v>
      </c>
      <c r="J159" t="s">
        <v>35</v>
      </c>
      <c r="K159" t="s">
        <v>675</v>
      </c>
      <c r="L159" s="29">
        <v>46304</v>
      </c>
    </row>
    <row r="160" spans="1:12" x14ac:dyDescent="0.25">
      <c r="A160" t="s">
        <v>835</v>
      </c>
      <c r="B160" t="s">
        <v>196</v>
      </c>
      <c r="C160" s="30" t="s">
        <v>177</v>
      </c>
      <c r="D160" s="30" t="s">
        <v>195</v>
      </c>
      <c r="E160" t="s">
        <v>811</v>
      </c>
      <c r="F160" s="25">
        <v>13500</v>
      </c>
      <c r="G160" s="29"/>
      <c r="H160" t="s">
        <v>674</v>
      </c>
      <c r="I160" t="s">
        <v>35</v>
      </c>
      <c r="J160" t="s">
        <v>35</v>
      </c>
      <c r="K160" t="s">
        <v>675</v>
      </c>
      <c r="L160" s="29">
        <v>46304</v>
      </c>
    </row>
    <row r="161" spans="1:12" x14ac:dyDescent="0.25">
      <c r="A161" t="s">
        <v>836</v>
      </c>
      <c r="B161" t="s">
        <v>201</v>
      </c>
      <c r="C161" s="30" t="s">
        <v>198</v>
      </c>
      <c r="D161" s="30" t="s">
        <v>199</v>
      </c>
      <c r="E161" t="s">
        <v>811</v>
      </c>
      <c r="F161" s="25">
        <v>7000</v>
      </c>
      <c r="G161" s="29"/>
      <c r="H161" t="s">
        <v>674</v>
      </c>
      <c r="I161" t="s">
        <v>35</v>
      </c>
      <c r="J161" t="s">
        <v>35</v>
      </c>
      <c r="K161" t="s">
        <v>675</v>
      </c>
      <c r="L161" s="29">
        <v>46304</v>
      </c>
    </row>
    <row r="162" spans="1:12" x14ac:dyDescent="0.25">
      <c r="A162" t="s">
        <v>837</v>
      </c>
      <c r="B162" t="s">
        <v>205</v>
      </c>
      <c r="C162" s="30" t="s">
        <v>198</v>
      </c>
      <c r="D162" s="30" t="s">
        <v>204</v>
      </c>
      <c r="E162" t="s">
        <v>811</v>
      </c>
      <c r="F162" s="25">
        <v>6000</v>
      </c>
      <c r="G162" s="29"/>
      <c r="H162" t="s">
        <v>674</v>
      </c>
      <c r="I162" t="s">
        <v>35</v>
      </c>
      <c r="J162" t="s">
        <v>35</v>
      </c>
      <c r="K162" t="s">
        <v>675</v>
      </c>
      <c r="L162" s="29">
        <v>46304</v>
      </c>
    </row>
    <row r="163" spans="1:12" x14ac:dyDescent="0.25">
      <c r="A163" t="s">
        <v>838</v>
      </c>
      <c r="B163" t="s">
        <v>208</v>
      </c>
      <c r="C163" s="30" t="s">
        <v>198</v>
      </c>
      <c r="D163" s="30" t="s">
        <v>207</v>
      </c>
      <c r="E163" t="s">
        <v>811</v>
      </c>
      <c r="F163" s="25">
        <v>6000</v>
      </c>
      <c r="G163" s="29"/>
      <c r="H163" t="s">
        <v>674</v>
      </c>
      <c r="I163" t="s">
        <v>35</v>
      </c>
      <c r="J163" t="s">
        <v>35</v>
      </c>
      <c r="K163" t="s">
        <v>675</v>
      </c>
      <c r="L163" s="29">
        <v>46304</v>
      </c>
    </row>
    <row r="164" spans="1:12" x14ac:dyDescent="0.25">
      <c r="A164" t="s">
        <v>839</v>
      </c>
      <c r="B164" t="s">
        <v>214</v>
      </c>
      <c r="C164" s="30" t="s">
        <v>210</v>
      </c>
      <c r="D164" s="30" t="s">
        <v>212</v>
      </c>
      <c r="E164" t="s">
        <v>811</v>
      </c>
      <c r="F164" s="25">
        <v>11495</v>
      </c>
      <c r="G164" s="29"/>
      <c r="H164" t="s">
        <v>674</v>
      </c>
      <c r="I164" t="s">
        <v>35</v>
      </c>
      <c r="J164" t="s">
        <v>35</v>
      </c>
      <c r="K164" t="s">
        <v>675</v>
      </c>
      <c r="L164" s="29">
        <v>46304</v>
      </c>
    </row>
    <row r="165" spans="1:12" x14ac:dyDescent="0.25">
      <c r="A165" t="s">
        <v>840</v>
      </c>
      <c r="B165" t="s">
        <v>220</v>
      </c>
      <c r="C165" s="30" t="s">
        <v>217</v>
      </c>
      <c r="D165" s="30" t="s">
        <v>100</v>
      </c>
      <c r="E165" t="s">
        <v>811</v>
      </c>
      <c r="F165" s="25">
        <v>16500</v>
      </c>
      <c r="G165" s="29"/>
      <c r="H165" t="s">
        <v>674</v>
      </c>
      <c r="I165" t="s">
        <v>35</v>
      </c>
      <c r="J165" t="s">
        <v>35</v>
      </c>
      <c r="K165" t="s">
        <v>675</v>
      </c>
      <c r="L165" s="29">
        <v>46304</v>
      </c>
    </row>
    <row r="166" spans="1:12" x14ac:dyDescent="0.25">
      <c r="A166" t="s">
        <v>841</v>
      </c>
      <c r="B166" t="s">
        <v>227</v>
      </c>
      <c r="C166" s="30" t="s">
        <v>223</v>
      </c>
      <c r="D166" s="30" t="s">
        <v>225</v>
      </c>
      <c r="E166" t="s">
        <v>811</v>
      </c>
      <c r="F166" s="25">
        <v>12500</v>
      </c>
      <c r="G166" s="29"/>
      <c r="H166" t="s">
        <v>674</v>
      </c>
      <c r="I166" t="s">
        <v>35</v>
      </c>
      <c r="J166" t="s">
        <v>35</v>
      </c>
      <c r="K166" t="s">
        <v>675</v>
      </c>
      <c r="L166" s="29">
        <v>46304</v>
      </c>
    </row>
    <row r="167" spans="1:12" x14ac:dyDescent="0.25">
      <c r="A167" t="s">
        <v>842</v>
      </c>
      <c r="B167" t="s">
        <v>238</v>
      </c>
      <c r="C167" s="30" t="s">
        <v>235</v>
      </c>
      <c r="D167" s="30" t="s">
        <v>236</v>
      </c>
      <c r="E167" t="s">
        <v>811</v>
      </c>
      <c r="F167" s="25">
        <v>14000</v>
      </c>
      <c r="G167" s="29"/>
      <c r="H167" t="s">
        <v>674</v>
      </c>
      <c r="I167" t="s">
        <v>35</v>
      </c>
      <c r="J167" t="s">
        <v>35</v>
      </c>
      <c r="K167" t="s">
        <v>675</v>
      </c>
      <c r="L167" s="29">
        <v>46304</v>
      </c>
    </row>
    <row r="168" spans="1:12" x14ac:dyDescent="0.25">
      <c r="A168" t="s">
        <v>843</v>
      </c>
      <c r="B168" t="s">
        <v>245</v>
      </c>
      <c r="C168" s="30" t="s">
        <v>241</v>
      </c>
      <c r="D168" s="30" t="s">
        <v>243</v>
      </c>
      <c r="E168" t="s">
        <v>811</v>
      </c>
      <c r="F168" s="25">
        <v>16500</v>
      </c>
      <c r="G168" s="29"/>
      <c r="H168" t="s">
        <v>674</v>
      </c>
      <c r="I168" t="s">
        <v>35</v>
      </c>
      <c r="J168" t="s">
        <v>35</v>
      </c>
      <c r="K168" t="s">
        <v>675</v>
      </c>
      <c r="L168" s="29">
        <v>46304</v>
      </c>
    </row>
    <row r="169" spans="1:12" x14ac:dyDescent="0.25">
      <c r="A169" t="s">
        <v>844</v>
      </c>
      <c r="B169" t="s">
        <v>260</v>
      </c>
      <c r="C169" s="30" t="s">
        <v>255</v>
      </c>
      <c r="D169" s="30" t="s">
        <v>257</v>
      </c>
      <c r="E169" t="s">
        <v>811</v>
      </c>
      <c r="F169" s="25">
        <v>19250</v>
      </c>
      <c r="G169" s="29"/>
      <c r="H169" t="s">
        <v>674</v>
      </c>
      <c r="I169" t="s">
        <v>35</v>
      </c>
      <c r="J169" t="s">
        <v>35</v>
      </c>
      <c r="K169" t="s">
        <v>675</v>
      </c>
      <c r="L169" s="29">
        <v>46304</v>
      </c>
    </row>
    <row r="170" spans="1:12" x14ac:dyDescent="0.25">
      <c r="A170" t="s">
        <v>845</v>
      </c>
      <c r="B170" t="s">
        <v>265</v>
      </c>
      <c r="C170" s="30" t="s">
        <v>263</v>
      </c>
      <c r="D170" s="30" t="s">
        <v>107</v>
      </c>
      <c r="E170" t="s">
        <v>811</v>
      </c>
      <c r="F170" s="25">
        <v>17000</v>
      </c>
      <c r="G170" s="29"/>
      <c r="H170" t="s">
        <v>674</v>
      </c>
      <c r="I170" t="s">
        <v>35</v>
      </c>
      <c r="J170" t="s">
        <v>35</v>
      </c>
      <c r="K170" t="s">
        <v>675</v>
      </c>
      <c r="L170" s="29">
        <v>46304</v>
      </c>
    </row>
    <row r="171" spans="1:12" x14ac:dyDescent="0.25">
      <c r="A171" t="s">
        <v>846</v>
      </c>
      <c r="B171" t="s">
        <v>271</v>
      </c>
      <c r="C171" s="30" t="s">
        <v>268</v>
      </c>
      <c r="D171" s="30" t="s">
        <v>113</v>
      </c>
      <c r="E171" t="s">
        <v>811</v>
      </c>
      <c r="F171" s="25">
        <v>17000</v>
      </c>
      <c r="G171" s="29"/>
      <c r="H171" t="s">
        <v>674</v>
      </c>
      <c r="I171" t="s">
        <v>35</v>
      </c>
      <c r="J171" t="s">
        <v>35</v>
      </c>
      <c r="K171" t="s">
        <v>675</v>
      </c>
      <c r="L171" s="29">
        <v>46304</v>
      </c>
    </row>
    <row r="172" spans="1:12" x14ac:dyDescent="0.25">
      <c r="A172" t="s">
        <v>847</v>
      </c>
      <c r="B172" t="s">
        <v>274</v>
      </c>
      <c r="C172" s="30" t="s">
        <v>177</v>
      </c>
      <c r="D172" s="30" t="s">
        <v>120</v>
      </c>
      <c r="E172" t="s">
        <v>811</v>
      </c>
      <c r="F172" s="25">
        <v>19000</v>
      </c>
      <c r="G172" s="29"/>
      <c r="H172" t="s">
        <v>674</v>
      </c>
      <c r="I172" t="s">
        <v>35</v>
      </c>
      <c r="J172" t="s">
        <v>35</v>
      </c>
      <c r="K172" t="s">
        <v>675</v>
      </c>
      <c r="L172" s="29">
        <v>46304</v>
      </c>
    </row>
    <row r="173" spans="1:12" x14ac:dyDescent="0.25">
      <c r="A173" t="s">
        <v>848</v>
      </c>
      <c r="B173" t="s">
        <v>290</v>
      </c>
      <c r="C173" s="30" t="s">
        <v>285</v>
      </c>
      <c r="D173" s="30" t="s">
        <v>287</v>
      </c>
      <c r="E173" t="s">
        <v>811</v>
      </c>
      <c r="F173" s="25">
        <v>11500</v>
      </c>
      <c r="G173" s="29"/>
      <c r="H173" t="s">
        <v>674</v>
      </c>
      <c r="I173" t="s">
        <v>35</v>
      </c>
      <c r="J173" t="s">
        <v>35</v>
      </c>
      <c r="K173" t="s">
        <v>675</v>
      </c>
      <c r="L173" s="29">
        <v>46304</v>
      </c>
    </row>
    <row r="174" spans="1:12" x14ac:dyDescent="0.25">
      <c r="A174" t="s">
        <v>849</v>
      </c>
      <c r="B174" t="s">
        <v>296</v>
      </c>
      <c r="C174" s="30" t="s">
        <v>293</v>
      </c>
      <c r="D174" s="30" t="s">
        <v>294</v>
      </c>
      <c r="E174" t="s">
        <v>811</v>
      </c>
      <c r="F174" s="25">
        <v>11195</v>
      </c>
      <c r="G174" s="29"/>
      <c r="H174" t="s">
        <v>674</v>
      </c>
      <c r="I174" t="s">
        <v>35</v>
      </c>
      <c r="J174" t="s">
        <v>35</v>
      </c>
      <c r="K174" t="s">
        <v>675</v>
      </c>
      <c r="L174" s="29">
        <v>46304</v>
      </c>
    </row>
    <row r="175" spans="1:12" x14ac:dyDescent="0.25">
      <c r="A175" t="s">
        <v>850</v>
      </c>
      <c r="B175" t="s">
        <v>303</v>
      </c>
      <c r="C175" s="30" t="s">
        <v>299</v>
      </c>
      <c r="D175" s="30" t="s">
        <v>301</v>
      </c>
      <c r="E175" t="s">
        <v>811</v>
      </c>
      <c r="F175" s="25">
        <v>12100</v>
      </c>
      <c r="G175" s="29"/>
      <c r="H175" t="s">
        <v>674</v>
      </c>
      <c r="I175" t="s">
        <v>35</v>
      </c>
      <c r="J175" t="s">
        <v>35</v>
      </c>
      <c r="K175" t="s">
        <v>675</v>
      </c>
      <c r="L175" s="29">
        <v>46304</v>
      </c>
    </row>
    <row r="176" spans="1:12" x14ac:dyDescent="0.25">
      <c r="A176" t="s">
        <v>851</v>
      </c>
      <c r="B176" t="s">
        <v>310</v>
      </c>
      <c r="C176" s="30" t="s">
        <v>306</v>
      </c>
      <c r="D176" s="30" t="s">
        <v>131</v>
      </c>
      <c r="E176" t="s">
        <v>811</v>
      </c>
      <c r="F176" s="25">
        <v>11000</v>
      </c>
      <c r="G176" s="29"/>
      <c r="H176" t="s">
        <v>674</v>
      </c>
      <c r="I176" t="s">
        <v>35</v>
      </c>
      <c r="J176" t="s">
        <v>35</v>
      </c>
      <c r="K176" t="s">
        <v>675</v>
      </c>
      <c r="L176" s="29">
        <v>46304</v>
      </c>
    </row>
    <row r="177" spans="1:12" x14ac:dyDescent="0.25">
      <c r="A177" t="s">
        <v>852</v>
      </c>
      <c r="B177" t="s">
        <v>317</v>
      </c>
      <c r="C177" s="30" t="s">
        <v>313</v>
      </c>
      <c r="D177" s="30" t="s">
        <v>315</v>
      </c>
      <c r="E177" t="s">
        <v>811</v>
      </c>
      <c r="F177" s="25">
        <v>16335</v>
      </c>
      <c r="G177" s="29"/>
      <c r="H177" t="s">
        <v>674</v>
      </c>
      <c r="I177" t="s">
        <v>35</v>
      </c>
      <c r="J177" t="s">
        <v>35</v>
      </c>
      <c r="K177" t="s">
        <v>675</v>
      </c>
      <c r="L177" s="29">
        <v>46304</v>
      </c>
    </row>
    <row r="178" spans="1:12" x14ac:dyDescent="0.25">
      <c r="A178" t="s">
        <v>853</v>
      </c>
      <c r="B178" t="s">
        <v>322</v>
      </c>
      <c r="C178" s="30" t="s">
        <v>320</v>
      </c>
      <c r="D178" s="30" t="s">
        <v>138</v>
      </c>
      <c r="E178" t="s">
        <v>811</v>
      </c>
      <c r="F178" s="25">
        <v>12000</v>
      </c>
      <c r="G178" s="29"/>
      <c r="H178" t="s">
        <v>674</v>
      </c>
      <c r="I178" t="s">
        <v>35</v>
      </c>
      <c r="J178" t="s">
        <v>35</v>
      </c>
      <c r="K178" t="s">
        <v>675</v>
      </c>
      <c r="L178" s="29">
        <v>46304</v>
      </c>
    </row>
    <row r="179" spans="1:12" x14ac:dyDescent="0.25">
      <c r="A179" t="s">
        <v>854</v>
      </c>
      <c r="B179" t="s">
        <v>329</v>
      </c>
      <c r="C179" s="30" t="s">
        <v>325</v>
      </c>
      <c r="D179" s="30" t="s">
        <v>327</v>
      </c>
      <c r="E179" t="s">
        <v>811</v>
      </c>
      <c r="F179" s="25">
        <v>14000</v>
      </c>
      <c r="G179" s="29"/>
      <c r="H179" t="s">
        <v>674</v>
      </c>
      <c r="I179" t="s">
        <v>35</v>
      </c>
      <c r="J179" t="s">
        <v>35</v>
      </c>
      <c r="K179" t="s">
        <v>675</v>
      </c>
      <c r="L179" s="29">
        <v>46304</v>
      </c>
    </row>
    <row r="180" spans="1:12" x14ac:dyDescent="0.25">
      <c r="A180" t="s">
        <v>855</v>
      </c>
      <c r="B180" t="s">
        <v>336</v>
      </c>
      <c r="C180" s="30" t="s">
        <v>332</v>
      </c>
      <c r="D180" s="30" t="s">
        <v>334</v>
      </c>
      <c r="E180" t="s">
        <v>811</v>
      </c>
      <c r="F180" s="25">
        <v>16035</v>
      </c>
      <c r="G180" s="29"/>
      <c r="H180" t="s">
        <v>674</v>
      </c>
      <c r="I180" t="s">
        <v>35</v>
      </c>
      <c r="J180" t="s">
        <v>35</v>
      </c>
      <c r="K180" t="s">
        <v>675</v>
      </c>
      <c r="L180" s="29">
        <v>46304</v>
      </c>
    </row>
    <row r="181" spans="1:12" x14ac:dyDescent="0.25">
      <c r="A181" t="s">
        <v>856</v>
      </c>
      <c r="B181" t="s">
        <v>343</v>
      </c>
      <c r="C181" s="30" t="s">
        <v>339</v>
      </c>
      <c r="D181" s="30" t="s">
        <v>340</v>
      </c>
      <c r="E181" t="s">
        <v>811</v>
      </c>
      <c r="F181" s="25">
        <v>16500</v>
      </c>
      <c r="G181" s="29"/>
      <c r="H181" t="s">
        <v>674</v>
      </c>
      <c r="I181" t="s">
        <v>35</v>
      </c>
      <c r="J181" t="s">
        <v>35</v>
      </c>
      <c r="K181" t="s">
        <v>675</v>
      </c>
      <c r="L181" s="29">
        <v>46304</v>
      </c>
    </row>
    <row r="182" spans="1:12" x14ac:dyDescent="0.25">
      <c r="A182" t="s">
        <v>857</v>
      </c>
      <c r="B182" t="s">
        <v>349</v>
      </c>
      <c r="C182" s="30" t="s">
        <v>346</v>
      </c>
      <c r="D182" s="30" t="s">
        <v>347</v>
      </c>
      <c r="E182" t="s">
        <v>811</v>
      </c>
      <c r="F182" s="25">
        <v>18500</v>
      </c>
      <c r="G182" s="29"/>
      <c r="H182" t="s">
        <v>674</v>
      </c>
      <c r="I182" t="s">
        <v>35</v>
      </c>
      <c r="J182" t="s">
        <v>35</v>
      </c>
      <c r="K182" t="s">
        <v>675</v>
      </c>
      <c r="L182" s="29">
        <v>46304</v>
      </c>
    </row>
    <row r="183" spans="1:12" x14ac:dyDescent="0.25">
      <c r="A183" t="s">
        <v>858</v>
      </c>
      <c r="B183" t="s">
        <v>356</v>
      </c>
      <c r="C183" s="30" t="s">
        <v>352</v>
      </c>
      <c r="D183" s="30" t="s">
        <v>354</v>
      </c>
      <c r="E183" t="s">
        <v>811</v>
      </c>
      <c r="F183" s="25">
        <v>15000</v>
      </c>
      <c r="G183" s="29"/>
      <c r="H183" t="s">
        <v>674</v>
      </c>
      <c r="I183" t="s">
        <v>35</v>
      </c>
      <c r="J183" t="s">
        <v>35</v>
      </c>
      <c r="K183" t="s">
        <v>675</v>
      </c>
      <c r="L183" s="29">
        <v>46304</v>
      </c>
    </row>
    <row r="184" spans="1:12" x14ac:dyDescent="0.25">
      <c r="A184" t="s">
        <v>859</v>
      </c>
      <c r="B184" t="s">
        <v>359</v>
      </c>
      <c r="C184" s="30" t="s">
        <v>352</v>
      </c>
      <c r="D184" s="30" t="s">
        <v>144</v>
      </c>
      <c r="E184" t="s">
        <v>811</v>
      </c>
      <c r="F184" s="25">
        <v>15000</v>
      </c>
      <c r="G184" s="29"/>
      <c r="H184" t="s">
        <v>674</v>
      </c>
      <c r="I184" t="s">
        <v>35</v>
      </c>
      <c r="J184" t="s">
        <v>35</v>
      </c>
      <c r="K184" t="s">
        <v>675</v>
      </c>
      <c r="L184" s="29">
        <v>46304</v>
      </c>
    </row>
    <row r="185" spans="1:12" x14ac:dyDescent="0.25">
      <c r="A185" t="s">
        <v>860</v>
      </c>
      <c r="B185" t="s">
        <v>364</v>
      </c>
      <c r="C185" s="30" t="s">
        <v>361</v>
      </c>
      <c r="D185" s="30" t="s">
        <v>151</v>
      </c>
      <c r="E185" t="s">
        <v>811</v>
      </c>
      <c r="F185" s="25">
        <v>11195</v>
      </c>
      <c r="G185" s="29"/>
      <c r="H185" t="s">
        <v>674</v>
      </c>
      <c r="I185" t="s">
        <v>35</v>
      </c>
      <c r="J185" t="s">
        <v>35</v>
      </c>
      <c r="K185" t="s">
        <v>675</v>
      </c>
      <c r="L185" s="29">
        <v>46304</v>
      </c>
    </row>
    <row r="186" spans="1:12" x14ac:dyDescent="0.25">
      <c r="A186" t="s">
        <v>861</v>
      </c>
      <c r="B186" t="s">
        <v>370</v>
      </c>
      <c r="C186" s="30" t="s">
        <v>367</v>
      </c>
      <c r="D186" s="30" t="s">
        <v>157</v>
      </c>
      <c r="E186" t="s">
        <v>811</v>
      </c>
      <c r="F186" s="25">
        <v>10000</v>
      </c>
      <c r="G186" s="29"/>
      <c r="H186" t="s">
        <v>674</v>
      </c>
      <c r="I186" t="s">
        <v>35</v>
      </c>
      <c r="J186" t="s">
        <v>35</v>
      </c>
      <c r="K186" t="s">
        <v>675</v>
      </c>
      <c r="L186" s="29">
        <v>46304</v>
      </c>
    </row>
    <row r="187" spans="1:12" x14ac:dyDescent="0.25">
      <c r="A187" t="s">
        <v>862</v>
      </c>
      <c r="B187" t="s">
        <v>374</v>
      </c>
      <c r="C187" s="30" t="s">
        <v>198</v>
      </c>
      <c r="D187" s="30" t="s">
        <v>373</v>
      </c>
      <c r="E187" t="s">
        <v>811</v>
      </c>
      <c r="F187" s="25">
        <v>11000</v>
      </c>
      <c r="G187" s="29"/>
      <c r="H187" t="s">
        <v>674</v>
      </c>
      <c r="I187" t="s">
        <v>35</v>
      </c>
      <c r="J187" t="s">
        <v>35</v>
      </c>
      <c r="K187" t="s">
        <v>675</v>
      </c>
      <c r="L187" s="29">
        <v>46304</v>
      </c>
    </row>
    <row r="188" spans="1:12" x14ac:dyDescent="0.25">
      <c r="A188" t="s">
        <v>863</v>
      </c>
      <c r="B188" t="s">
        <v>380</v>
      </c>
      <c r="C188" s="30" t="s">
        <v>376</v>
      </c>
      <c r="D188" s="30" t="s">
        <v>378</v>
      </c>
      <c r="E188" t="s">
        <v>811</v>
      </c>
      <c r="F188" s="25">
        <v>17000</v>
      </c>
      <c r="G188" s="29"/>
      <c r="H188" t="s">
        <v>674</v>
      </c>
      <c r="I188" t="s">
        <v>35</v>
      </c>
      <c r="J188" t="s">
        <v>35</v>
      </c>
      <c r="K188" t="s">
        <v>675</v>
      </c>
      <c r="L188" s="29">
        <v>46304</v>
      </c>
    </row>
    <row r="189" spans="1:12" x14ac:dyDescent="0.25">
      <c r="A189" t="s">
        <v>864</v>
      </c>
      <c r="B189" t="s">
        <v>395</v>
      </c>
      <c r="C189" s="30" t="s">
        <v>391</v>
      </c>
      <c r="D189" s="30" t="s">
        <v>393</v>
      </c>
      <c r="E189" t="s">
        <v>811</v>
      </c>
      <c r="F189" s="25">
        <v>9680</v>
      </c>
      <c r="G189" s="29"/>
      <c r="H189" t="s">
        <v>674</v>
      </c>
      <c r="I189" t="s">
        <v>35</v>
      </c>
      <c r="J189" t="s">
        <v>35</v>
      </c>
      <c r="K189" t="s">
        <v>675</v>
      </c>
      <c r="L189" s="29">
        <v>46304</v>
      </c>
    </row>
    <row r="190" spans="1:12" x14ac:dyDescent="0.25">
      <c r="A190" t="s">
        <v>865</v>
      </c>
      <c r="B190" t="s">
        <v>403</v>
      </c>
      <c r="C190" s="30" t="s">
        <v>398</v>
      </c>
      <c r="D190" s="30" t="s">
        <v>400</v>
      </c>
      <c r="E190" t="s">
        <v>811</v>
      </c>
      <c r="F190" s="25">
        <v>19000</v>
      </c>
      <c r="G190" s="29"/>
      <c r="H190" t="s">
        <v>674</v>
      </c>
      <c r="I190" t="s">
        <v>35</v>
      </c>
      <c r="J190" t="s">
        <v>35</v>
      </c>
      <c r="K190" t="s">
        <v>675</v>
      </c>
      <c r="L190" s="29">
        <v>46304</v>
      </c>
    </row>
    <row r="191" spans="1:12" x14ac:dyDescent="0.25">
      <c r="A191" t="s">
        <v>866</v>
      </c>
      <c r="B191" t="s">
        <v>409</v>
      </c>
      <c r="C191" s="30" t="s">
        <v>406</v>
      </c>
      <c r="D191" s="30" t="s">
        <v>407</v>
      </c>
      <c r="E191" t="s">
        <v>811</v>
      </c>
      <c r="F191" s="25">
        <v>11495</v>
      </c>
      <c r="G191" s="29"/>
      <c r="H191" t="s">
        <v>674</v>
      </c>
      <c r="I191" t="s">
        <v>35</v>
      </c>
      <c r="J191" t="s">
        <v>35</v>
      </c>
      <c r="K191" t="s">
        <v>675</v>
      </c>
      <c r="L191" s="29">
        <v>46304</v>
      </c>
    </row>
    <row r="192" spans="1:12" x14ac:dyDescent="0.25">
      <c r="A192" t="s">
        <v>867</v>
      </c>
      <c r="B192" t="s">
        <v>415</v>
      </c>
      <c r="C192" s="30" t="s">
        <v>412</v>
      </c>
      <c r="D192" s="30" t="s">
        <v>413</v>
      </c>
      <c r="E192" t="s">
        <v>811</v>
      </c>
      <c r="F192" s="25">
        <v>11000</v>
      </c>
      <c r="G192" s="29"/>
      <c r="H192" t="s">
        <v>674</v>
      </c>
      <c r="I192" t="s">
        <v>35</v>
      </c>
      <c r="J192" t="s">
        <v>35</v>
      </c>
      <c r="K192" t="s">
        <v>675</v>
      </c>
      <c r="L192" s="29">
        <v>46304</v>
      </c>
    </row>
    <row r="193" spans="1:12" x14ac:dyDescent="0.25">
      <c r="A193" t="s">
        <v>868</v>
      </c>
      <c r="B193" t="s">
        <v>423</v>
      </c>
      <c r="C193" s="30" t="s">
        <v>418</v>
      </c>
      <c r="D193" s="30" t="s">
        <v>419</v>
      </c>
      <c r="E193" t="s">
        <v>811</v>
      </c>
      <c r="F193" s="25">
        <v>8775</v>
      </c>
      <c r="G193" s="29"/>
      <c r="H193" t="s">
        <v>674</v>
      </c>
      <c r="I193" t="s">
        <v>35</v>
      </c>
      <c r="J193" t="s">
        <v>35</v>
      </c>
      <c r="K193" t="s">
        <v>675</v>
      </c>
      <c r="L193" s="29">
        <v>46304</v>
      </c>
    </row>
    <row r="194" spans="1:12" x14ac:dyDescent="0.25">
      <c r="A194" t="s">
        <v>869</v>
      </c>
      <c r="B194" t="s">
        <v>430</v>
      </c>
      <c r="C194" s="30" t="s">
        <v>426</v>
      </c>
      <c r="D194" s="30" t="s">
        <v>428</v>
      </c>
      <c r="E194" t="s">
        <v>811</v>
      </c>
      <c r="F194" s="25">
        <v>15000</v>
      </c>
      <c r="G194" s="29"/>
      <c r="H194" t="s">
        <v>674</v>
      </c>
      <c r="I194" t="s">
        <v>35</v>
      </c>
      <c r="J194" t="s">
        <v>35</v>
      </c>
      <c r="K194" t="s">
        <v>675</v>
      </c>
      <c r="L194" s="29">
        <v>46304</v>
      </c>
    </row>
    <row r="195" spans="1:12" x14ac:dyDescent="0.25">
      <c r="A195" t="s">
        <v>870</v>
      </c>
      <c r="B195" t="s">
        <v>438</v>
      </c>
      <c r="C195" s="30" t="s">
        <v>433</v>
      </c>
      <c r="D195" s="30" t="s">
        <v>435</v>
      </c>
      <c r="E195" t="s">
        <v>811</v>
      </c>
      <c r="F195" s="25">
        <v>10500</v>
      </c>
      <c r="G195" s="29"/>
      <c r="H195" t="s">
        <v>674</v>
      </c>
      <c r="I195" t="s">
        <v>35</v>
      </c>
      <c r="J195" t="s">
        <v>35</v>
      </c>
      <c r="K195" t="s">
        <v>675</v>
      </c>
      <c r="L195" s="29">
        <v>46304</v>
      </c>
    </row>
    <row r="196" spans="1:12" x14ac:dyDescent="0.25">
      <c r="A196" t="s">
        <v>871</v>
      </c>
      <c r="B196" t="s">
        <v>445</v>
      </c>
      <c r="C196" s="30" t="s">
        <v>441</v>
      </c>
      <c r="D196" s="30" t="s">
        <v>443</v>
      </c>
      <c r="E196" t="s">
        <v>811</v>
      </c>
      <c r="F196" s="25">
        <v>13000</v>
      </c>
      <c r="G196" s="29"/>
      <c r="H196" t="s">
        <v>674</v>
      </c>
      <c r="I196" t="s">
        <v>35</v>
      </c>
      <c r="J196" t="s">
        <v>35</v>
      </c>
      <c r="K196" t="s">
        <v>675</v>
      </c>
      <c r="L196" s="29">
        <v>46304</v>
      </c>
    </row>
    <row r="197" spans="1:12" x14ac:dyDescent="0.25">
      <c r="A197" t="s">
        <v>872</v>
      </c>
      <c r="B197" t="s">
        <v>453</v>
      </c>
      <c r="C197" s="30" t="s">
        <v>448</v>
      </c>
      <c r="D197" s="30" t="s">
        <v>450</v>
      </c>
      <c r="E197" t="s">
        <v>811</v>
      </c>
      <c r="F197" s="25">
        <v>17000</v>
      </c>
      <c r="G197" s="29"/>
      <c r="H197" t="s">
        <v>674</v>
      </c>
      <c r="I197" t="s">
        <v>35</v>
      </c>
      <c r="J197" t="s">
        <v>35</v>
      </c>
      <c r="K197" t="s">
        <v>675</v>
      </c>
      <c r="L197" s="29">
        <v>46304</v>
      </c>
    </row>
    <row r="198" spans="1:12" x14ac:dyDescent="0.25">
      <c r="A198" t="s">
        <v>873</v>
      </c>
      <c r="B198" t="s">
        <v>467</v>
      </c>
      <c r="C198" s="30" t="s">
        <v>463</v>
      </c>
      <c r="D198" s="30" t="s">
        <v>465</v>
      </c>
      <c r="E198" t="s">
        <v>811</v>
      </c>
      <c r="F198" s="25">
        <v>11000</v>
      </c>
      <c r="G198" s="29"/>
      <c r="H198" t="s">
        <v>674</v>
      </c>
      <c r="I198" t="s">
        <v>35</v>
      </c>
      <c r="J198" t="s">
        <v>35</v>
      </c>
      <c r="K198" t="s">
        <v>675</v>
      </c>
      <c r="L198" s="29">
        <v>46304</v>
      </c>
    </row>
    <row r="199" spans="1:12" x14ac:dyDescent="0.25">
      <c r="A199" t="s">
        <v>874</v>
      </c>
      <c r="B199" t="s">
        <v>473</v>
      </c>
      <c r="C199" s="30" t="s">
        <v>470</v>
      </c>
      <c r="D199" s="30" t="s">
        <v>471</v>
      </c>
      <c r="E199" t="s">
        <v>811</v>
      </c>
      <c r="F199" s="25">
        <v>11000</v>
      </c>
      <c r="G199" s="29"/>
      <c r="H199" t="s">
        <v>674</v>
      </c>
      <c r="I199" t="s">
        <v>35</v>
      </c>
      <c r="J199" t="s">
        <v>35</v>
      </c>
      <c r="K199" t="s">
        <v>675</v>
      </c>
      <c r="L199" s="29">
        <v>46304</v>
      </c>
    </row>
    <row r="200" spans="1:12" x14ac:dyDescent="0.25">
      <c r="A200" t="s">
        <v>875</v>
      </c>
      <c r="B200" t="s">
        <v>481</v>
      </c>
      <c r="C200" s="30" t="s">
        <v>476</v>
      </c>
      <c r="D200" s="30" t="s">
        <v>478</v>
      </c>
      <c r="E200" t="s">
        <v>811</v>
      </c>
      <c r="F200" s="25">
        <v>10890</v>
      </c>
      <c r="G200" s="29"/>
      <c r="H200" t="s">
        <v>674</v>
      </c>
      <c r="I200" t="s">
        <v>35</v>
      </c>
      <c r="J200" t="s">
        <v>35</v>
      </c>
      <c r="K200" t="s">
        <v>675</v>
      </c>
      <c r="L200" s="29">
        <v>46304</v>
      </c>
    </row>
    <row r="201" spans="1:12" x14ac:dyDescent="0.25">
      <c r="A201" t="s">
        <v>876</v>
      </c>
      <c r="B201" t="s">
        <v>488</v>
      </c>
      <c r="C201" s="30" t="s">
        <v>484</v>
      </c>
      <c r="D201" s="30" t="s">
        <v>486</v>
      </c>
      <c r="E201" t="s">
        <v>811</v>
      </c>
      <c r="F201" s="25">
        <v>13000</v>
      </c>
      <c r="G201" s="29"/>
      <c r="H201" t="s">
        <v>674</v>
      </c>
      <c r="I201" t="s">
        <v>35</v>
      </c>
      <c r="J201" t="s">
        <v>35</v>
      </c>
      <c r="K201" t="s">
        <v>675</v>
      </c>
      <c r="L201" s="29">
        <v>46304</v>
      </c>
    </row>
    <row r="202" spans="1:12" x14ac:dyDescent="0.25">
      <c r="A202" t="s">
        <v>877</v>
      </c>
      <c r="B202" t="s">
        <v>492</v>
      </c>
      <c r="C202" s="30" t="s">
        <v>484</v>
      </c>
      <c r="D202" s="30" t="s">
        <v>491</v>
      </c>
      <c r="E202" t="s">
        <v>811</v>
      </c>
      <c r="F202" s="25">
        <v>13000</v>
      </c>
      <c r="G202" s="29"/>
      <c r="H202" t="s">
        <v>674</v>
      </c>
      <c r="I202" t="s">
        <v>35</v>
      </c>
      <c r="J202" t="s">
        <v>35</v>
      </c>
      <c r="K202" t="s">
        <v>675</v>
      </c>
      <c r="L202" s="29">
        <v>46304</v>
      </c>
    </row>
    <row r="203" spans="1:12" x14ac:dyDescent="0.25">
      <c r="A203" t="s">
        <v>878</v>
      </c>
      <c r="B203" t="s">
        <v>37</v>
      </c>
      <c r="C203" s="30" t="s">
        <v>31</v>
      </c>
      <c r="D203" s="30" t="s">
        <v>33</v>
      </c>
      <c r="E203" t="s">
        <v>879</v>
      </c>
      <c r="F203" s="25">
        <v>12705</v>
      </c>
      <c r="G203" s="29"/>
      <c r="H203" t="s">
        <v>674</v>
      </c>
      <c r="I203" t="s">
        <v>35</v>
      </c>
      <c r="J203" t="s">
        <v>35</v>
      </c>
      <c r="K203" t="s">
        <v>675</v>
      </c>
      <c r="L203" s="29">
        <v>46304</v>
      </c>
    </row>
    <row r="204" spans="1:12" x14ac:dyDescent="0.25">
      <c r="A204" t="s">
        <v>880</v>
      </c>
      <c r="B204" t="s">
        <v>44</v>
      </c>
      <c r="C204" s="30" t="s">
        <v>41</v>
      </c>
      <c r="D204" s="30" t="s">
        <v>33</v>
      </c>
      <c r="E204" t="s">
        <v>879</v>
      </c>
      <c r="F204" s="25">
        <v>30500</v>
      </c>
      <c r="G204" s="29"/>
      <c r="H204" t="s">
        <v>674</v>
      </c>
      <c r="I204" t="s">
        <v>35</v>
      </c>
      <c r="J204" t="s">
        <v>35</v>
      </c>
      <c r="K204" t="s">
        <v>675</v>
      </c>
      <c r="L204" s="29">
        <v>46304</v>
      </c>
    </row>
    <row r="205" spans="1:12" x14ac:dyDescent="0.25">
      <c r="A205" t="s">
        <v>881</v>
      </c>
      <c r="B205" t="s">
        <v>52</v>
      </c>
      <c r="C205" s="30" t="s">
        <v>47</v>
      </c>
      <c r="D205" s="30" t="s">
        <v>49</v>
      </c>
      <c r="E205" t="s">
        <v>879</v>
      </c>
      <c r="F205" s="25">
        <v>45100</v>
      </c>
      <c r="G205" s="29"/>
      <c r="H205" t="s">
        <v>674</v>
      </c>
      <c r="I205" t="s">
        <v>35</v>
      </c>
      <c r="J205" t="s">
        <v>35</v>
      </c>
      <c r="K205" t="s">
        <v>675</v>
      </c>
      <c r="L205" s="29">
        <v>46304</v>
      </c>
    </row>
    <row r="206" spans="1:12" x14ac:dyDescent="0.25">
      <c r="A206" t="s">
        <v>882</v>
      </c>
      <c r="B206" t="s">
        <v>59</v>
      </c>
      <c r="C206" s="30" t="s">
        <v>55</v>
      </c>
      <c r="D206" s="30" t="s">
        <v>57</v>
      </c>
      <c r="E206" t="s">
        <v>879</v>
      </c>
      <c r="F206" s="25">
        <v>41800</v>
      </c>
      <c r="G206" s="29"/>
      <c r="H206" t="s">
        <v>674</v>
      </c>
      <c r="I206" t="s">
        <v>35</v>
      </c>
      <c r="J206" t="s">
        <v>35</v>
      </c>
      <c r="K206" t="s">
        <v>675</v>
      </c>
      <c r="L206" s="29">
        <v>46304</v>
      </c>
    </row>
    <row r="207" spans="1:12" x14ac:dyDescent="0.25">
      <c r="A207" t="s">
        <v>883</v>
      </c>
      <c r="B207" t="s">
        <v>63</v>
      </c>
      <c r="C207" s="30" t="s">
        <v>47</v>
      </c>
      <c r="D207" s="30" t="s">
        <v>62</v>
      </c>
      <c r="E207" t="s">
        <v>879</v>
      </c>
      <c r="F207" s="25">
        <v>91960</v>
      </c>
      <c r="G207" s="29"/>
      <c r="H207" t="s">
        <v>674</v>
      </c>
      <c r="I207" t="s">
        <v>35</v>
      </c>
      <c r="J207" t="s">
        <v>35</v>
      </c>
      <c r="K207" t="s">
        <v>675</v>
      </c>
      <c r="L207" s="29">
        <v>46304</v>
      </c>
    </row>
    <row r="208" spans="1:12" x14ac:dyDescent="0.25">
      <c r="A208" t="s">
        <v>884</v>
      </c>
      <c r="B208" t="s">
        <v>70</v>
      </c>
      <c r="C208" s="30" t="s">
        <v>65</v>
      </c>
      <c r="D208" s="30" t="s">
        <v>67</v>
      </c>
      <c r="E208" t="s">
        <v>879</v>
      </c>
      <c r="F208" s="25">
        <v>30250</v>
      </c>
      <c r="G208" s="29"/>
      <c r="H208" t="s">
        <v>674</v>
      </c>
      <c r="I208" t="s">
        <v>35</v>
      </c>
      <c r="J208" t="s">
        <v>35</v>
      </c>
      <c r="K208" t="s">
        <v>675</v>
      </c>
      <c r="L208" s="29">
        <v>46304</v>
      </c>
    </row>
    <row r="209" spans="1:12" x14ac:dyDescent="0.25">
      <c r="A209" t="s">
        <v>885</v>
      </c>
      <c r="B209" t="s">
        <v>86</v>
      </c>
      <c r="C209" s="30" t="s">
        <v>80</v>
      </c>
      <c r="D209" s="30" t="s">
        <v>82</v>
      </c>
      <c r="E209" t="s">
        <v>879</v>
      </c>
      <c r="F209" s="25">
        <v>42350</v>
      </c>
      <c r="G209" s="29"/>
      <c r="H209" t="s">
        <v>674</v>
      </c>
      <c r="I209" t="s">
        <v>35</v>
      </c>
      <c r="J209" t="s">
        <v>35</v>
      </c>
      <c r="K209" t="s">
        <v>675</v>
      </c>
      <c r="L209" s="29">
        <v>46304</v>
      </c>
    </row>
    <row r="210" spans="1:12" x14ac:dyDescent="0.25">
      <c r="A210" t="s">
        <v>886</v>
      </c>
      <c r="B210" t="s">
        <v>95</v>
      </c>
      <c r="C210" s="30" t="s">
        <v>90</v>
      </c>
      <c r="D210" s="30" t="s">
        <v>92</v>
      </c>
      <c r="E210" t="s">
        <v>879</v>
      </c>
      <c r="F210" s="25">
        <v>25410</v>
      </c>
      <c r="G210" s="29"/>
      <c r="H210" t="s">
        <v>674</v>
      </c>
      <c r="I210" t="s">
        <v>35</v>
      </c>
      <c r="J210" t="s">
        <v>35</v>
      </c>
      <c r="K210" t="s">
        <v>675</v>
      </c>
      <c r="L210" s="29">
        <v>46304</v>
      </c>
    </row>
    <row r="211" spans="1:12" x14ac:dyDescent="0.25">
      <c r="A211" t="s">
        <v>887</v>
      </c>
      <c r="B211" t="s">
        <v>103</v>
      </c>
      <c r="C211" s="30" t="s">
        <v>98</v>
      </c>
      <c r="D211" s="30" t="s">
        <v>100</v>
      </c>
      <c r="E211" t="s">
        <v>879</v>
      </c>
      <c r="F211" s="25">
        <v>46585</v>
      </c>
      <c r="G211" s="29"/>
      <c r="H211" t="s">
        <v>674</v>
      </c>
      <c r="I211" t="s">
        <v>35</v>
      </c>
      <c r="J211" t="s">
        <v>35</v>
      </c>
      <c r="K211" t="s">
        <v>675</v>
      </c>
      <c r="L211" s="29">
        <v>46304</v>
      </c>
    </row>
    <row r="212" spans="1:12" x14ac:dyDescent="0.25">
      <c r="A212" t="s">
        <v>888</v>
      </c>
      <c r="B212" t="s">
        <v>109</v>
      </c>
      <c r="C212" s="30" t="s">
        <v>106</v>
      </c>
      <c r="D212" s="30" t="s">
        <v>107</v>
      </c>
      <c r="E212" t="s">
        <v>879</v>
      </c>
      <c r="F212" s="25">
        <v>22990</v>
      </c>
      <c r="G212" s="29"/>
      <c r="H212" t="s">
        <v>674</v>
      </c>
      <c r="I212" t="s">
        <v>35</v>
      </c>
      <c r="J212" t="s">
        <v>35</v>
      </c>
      <c r="K212" t="s">
        <v>675</v>
      </c>
      <c r="L212" s="29">
        <v>46304</v>
      </c>
    </row>
    <row r="213" spans="1:12" x14ac:dyDescent="0.25">
      <c r="A213" t="s">
        <v>889</v>
      </c>
      <c r="B213" t="s">
        <v>115</v>
      </c>
      <c r="C213" s="30" t="s">
        <v>112</v>
      </c>
      <c r="D213" s="30" t="s">
        <v>113</v>
      </c>
      <c r="E213" t="s">
        <v>879</v>
      </c>
      <c r="F213" s="25">
        <v>35000</v>
      </c>
      <c r="G213" s="29"/>
      <c r="H213" t="s">
        <v>674</v>
      </c>
      <c r="I213" t="s">
        <v>35</v>
      </c>
      <c r="J213" t="s">
        <v>35</v>
      </c>
      <c r="K213" t="s">
        <v>675</v>
      </c>
      <c r="L213" s="29">
        <v>46304</v>
      </c>
    </row>
    <row r="214" spans="1:12" x14ac:dyDescent="0.25">
      <c r="A214" t="s">
        <v>890</v>
      </c>
      <c r="B214" t="s">
        <v>123</v>
      </c>
      <c r="C214" s="30" t="s">
        <v>118</v>
      </c>
      <c r="D214" s="30" t="s">
        <v>120</v>
      </c>
      <c r="E214" t="s">
        <v>879</v>
      </c>
      <c r="F214" s="25">
        <v>43000</v>
      </c>
      <c r="G214" s="29"/>
      <c r="H214" t="s">
        <v>674</v>
      </c>
      <c r="I214" t="s">
        <v>35</v>
      </c>
      <c r="J214" t="s">
        <v>35</v>
      </c>
      <c r="K214" t="s">
        <v>675</v>
      </c>
      <c r="L214" s="29">
        <v>46304</v>
      </c>
    </row>
    <row r="215" spans="1:12" x14ac:dyDescent="0.25">
      <c r="A215" t="s">
        <v>891</v>
      </c>
      <c r="B215" t="s">
        <v>127</v>
      </c>
      <c r="C215" s="30" t="s">
        <v>118</v>
      </c>
      <c r="D215" s="30" t="s">
        <v>126</v>
      </c>
      <c r="E215" t="s">
        <v>879</v>
      </c>
      <c r="F215" s="25">
        <v>25300</v>
      </c>
      <c r="G215" s="29"/>
      <c r="H215" t="s">
        <v>674</v>
      </c>
      <c r="I215" t="s">
        <v>35</v>
      </c>
      <c r="J215" t="s">
        <v>35</v>
      </c>
      <c r="K215" t="s">
        <v>675</v>
      </c>
      <c r="L215" s="29">
        <v>46304</v>
      </c>
    </row>
    <row r="216" spans="1:12" x14ac:dyDescent="0.25">
      <c r="A216" t="s">
        <v>892</v>
      </c>
      <c r="B216" t="s">
        <v>133</v>
      </c>
      <c r="C216" s="30" t="s">
        <v>129</v>
      </c>
      <c r="D216" s="30" t="s">
        <v>131</v>
      </c>
      <c r="E216" t="s">
        <v>879</v>
      </c>
      <c r="F216" s="25">
        <v>37665</v>
      </c>
      <c r="G216" s="29"/>
      <c r="H216" t="s">
        <v>674</v>
      </c>
      <c r="I216" t="s">
        <v>35</v>
      </c>
      <c r="J216" t="s">
        <v>35</v>
      </c>
      <c r="K216" t="s">
        <v>675</v>
      </c>
      <c r="L216" s="29">
        <v>46304</v>
      </c>
    </row>
    <row r="217" spans="1:12" x14ac:dyDescent="0.25">
      <c r="A217" t="s">
        <v>893</v>
      </c>
      <c r="B217" t="s">
        <v>140</v>
      </c>
      <c r="C217" s="30" t="s">
        <v>136</v>
      </c>
      <c r="D217" s="30" t="s">
        <v>138</v>
      </c>
      <c r="E217" t="s">
        <v>879</v>
      </c>
      <c r="F217" s="25">
        <v>30250</v>
      </c>
      <c r="G217" s="29"/>
      <c r="H217" t="s">
        <v>674</v>
      </c>
      <c r="I217" t="s">
        <v>35</v>
      </c>
      <c r="J217" t="s">
        <v>35</v>
      </c>
      <c r="K217" t="s">
        <v>675</v>
      </c>
      <c r="L217" s="29">
        <v>46304</v>
      </c>
    </row>
    <row r="218" spans="1:12" x14ac:dyDescent="0.25">
      <c r="A218" t="s">
        <v>894</v>
      </c>
      <c r="B218" t="s">
        <v>146</v>
      </c>
      <c r="C218" s="30" t="s">
        <v>143</v>
      </c>
      <c r="D218" s="30" t="s">
        <v>144</v>
      </c>
      <c r="E218" t="s">
        <v>879</v>
      </c>
      <c r="F218" s="25">
        <v>19060</v>
      </c>
      <c r="G218" s="29"/>
      <c r="H218" t="s">
        <v>674</v>
      </c>
      <c r="I218" t="s">
        <v>35</v>
      </c>
      <c r="J218" t="s">
        <v>35</v>
      </c>
      <c r="K218" t="s">
        <v>675</v>
      </c>
      <c r="L218" s="29">
        <v>46304</v>
      </c>
    </row>
    <row r="219" spans="1:12" x14ac:dyDescent="0.25">
      <c r="A219" t="s">
        <v>895</v>
      </c>
      <c r="B219" t="s">
        <v>153</v>
      </c>
      <c r="C219" s="30" t="s">
        <v>149</v>
      </c>
      <c r="D219" s="30" t="s">
        <v>151</v>
      </c>
      <c r="E219" t="s">
        <v>879</v>
      </c>
      <c r="F219" s="25">
        <v>20570</v>
      </c>
      <c r="G219" s="29"/>
      <c r="H219" t="s">
        <v>674</v>
      </c>
      <c r="I219" t="s">
        <v>35</v>
      </c>
      <c r="J219" t="s">
        <v>35</v>
      </c>
      <c r="K219" t="s">
        <v>675</v>
      </c>
      <c r="L219" s="29">
        <v>46304</v>
      </c>
    </row>
    <row r="220" spans="1:12" x14ac:dyDescent="0.25">
      <c r="A220" t="s">
        <v>896</v>
      </c>
      <c r="B220" t="s">
        <v>159</v>
      </c>
      <c r="C220" s="30" t="s">
        <v>156</v>
      </c>
      <c r="D220" s="30" t="s">
        <v>157</v>
      </c>
      <c r="E220" t="s">
        <v>879</v>
      </c>
      <c r="F220" s="25">
        <v>25410</v>
      </c>
      <c r="G220" s="29"/>
      <c r="H220" t="s">
        <v>674</v>
      </c>
      <c r="I220" t="s">
        <v>35</v>
      </c>
      <c r="J220" t="s">
        <v>35</v>
      </c>
      <c r="K220" t="s">
        <v>675</v>
      </c>
      <c r="L220" s="29">
        <v>46304</v>
      </c>
    </row>
    <row r="221" spans="1:12" x14ac:dyDescent="0.25">
      <c r="A221" t="s">
        <v>897</v>
      </c>
      <c r="B221" t="s">
        <v>168</v>
      </c>
      <c r="C221" s="30" t="s">
        <v>163</v>
      </c>
      <c r="D221" s="30" t="s">
        <v>82</v>
      </c>
      <c r="E221" t="s">
        <v>879</v>
      </c>
      <c r="F221" s="25">
        <v>40700</v>
      </c>
      <c r="G221" s="29"/>
      <c r="H221" t="s">
        <v>674</v>
      </c>
      <c r="I221" t="s">
        <v>35</v>
      </c>
      <c r="J221" t="s">
        <v>35</v>
      </c>
      <c r="K221" t="s">
        <v>675</v>
      </c>
      <c r="L221" s="29">
        <v>46304</v>
      </c>
    </row>
    <row r="222" spans="1:12" x14ac:dyDescent="0.25">
      <c r="A222" t="s">
        <v>898</v>
      </c>
      <c r="B222" t="s">
        <v>174</v>
      </c>
      <c r="C222" s="30" t="s">
        <v>172</v>
      </c>
      <c r="D222" s="30" t="s">
        <v>92</v>
      </c>
      <c r="E222" t="s">
        <v>879</v>
      </c>
      <c r="F222" s="25">
        <v>40700</v>
      </c>
      <c r="G222" s="29"/>
      <c r="H222" t="s">
        <v>674</v>
      </c>
      <c r="I222" t="s">
        <v>35</v>
      </c>
      <c r="J222" t="s">
        <v>35</v>
      </c>
      <c r="K222" t="s">
        <v>675</v>
      </c>
      <c r="L222" s="29">
        <v>46304</v>
      </c>
    </row>
    <row r="223" spans="1:12" x14ac:dyDescent="0.25">
      <c r="A223" t="s">
        <v>899</v>
      </c>
      <c r="B223" t="s">
        <v>180</v>
      </c>
      <c r="C223" s="30" t="s">
        <v>177</v>
      </c>
      <c r="D223" s="30" t="s">
        <v>178</v>
      </c>
      <c r="E223" t="s">
        <v>879</v>
      </c>
      <c r="F223" s="25">
        <v>17500</v>
      </c>
      <c r="G223" s="29"/>
      <c r="H223" t="s">
        <v>674</v>
      </c>
      <c r="I223" t="s">
        <v>35</v>
      </c>
      <c r="J223" t="s">
        <v>35</v>
      </c>
      <c r="K223" t="s">
        <v>675</v>
      </c>
      <c r="L223" s="29">
        <v>46304</v>
      </c>
    </row>
    <row r="224" spans="1:12" x14ac:dyDescent="0.25">
      <c r="A224" t="s">
        <v>900</v>
      </c>
      <c r="B224" t="s">
        <v>186</v>
      </c>
      <c r="C224" s="30" t="s">
        <v>183</v>
      </c>
      <c r="D224" s="30" t="s">
        <v>184</v>
      </c>
      <c r="E224" t="s">
        <v>879</v>
      </c>
      <c r="F224" s="25">
        <v>7000</v>
      </c>
      <c r="G224" s="29"/>
      <c r="H224" t="s">
        <v>674</v>
      </c>
      <c r="I224" t="s">
        <v>35</v>
      </c>
      <c r="J224" t="s">
        <v>35</v>
      </c>
      <c r="K224" t="s">
        <v>675</v>
      </c>
      <c r="L224" s="29">
        <v>46304</v>
      </c>
    </row>
    <row r="225" spans="1:12" x14ac:dyDescent="0.25">
      <c r="A225" t="s">
        <v>901</v>
      </c>
      <c r="B225" t="s">
        <v>192</v>
      </c>
      <c r="C225" s="30" t="s">
        <v>189</v>
      </c>
      <c r="D225" s="30" t="s">
        <v>190</v>
      </c>
      <c r="E225" t="s">
        <v>879</v>
      </c>
      <c r="F225" s="25">
        <v>13000</v>
      </c>
      <c r="G225" s="29"/>
      <c r="H225" t="s">
        <v>674</v>
      </c>
      <c r="I225" t="s">
        <v>35</v>
      </c>
      <c r="J225" t="s">
        <v>35</v>
      </c>
      <c r="K225" t="s">
        <v>675</v>
      </c>
      <c r="L225" s="29">
        <v>46304</v>
      </c>
    </row>
    <row r="226" spans="1:12" x14ac:dyDescent="0.25">
      <c r="A226" t="s">
        <v>902</v>
      </c>
      <c r="B226" t="s">
        <v>196</v>
      </c>
      <c r="C226" s="30" t="s">
        <v>177</v>
      </c>
      <c r="D226" s="30" t="s">
        <v>195</v>
      </c>
      <c r="E226" t="s">
        <v>879</v>
      </c>
      <c r="F226" s="25">
        <v>13500</v>
      </c>
      <c r="G226" s="29"/>
      <c r="H226" t="s">
        <v>674</v>
      </c>
      <c r="I226" t="s">
        <v>35</v>
      </c>
      <c r="J226" t="s">
        <v>35</v>
      </c>
      <c r="K226" t="s">
        <v>675</v>
      </c>
      <c r="L226" s="29">
        <v>46304</v>
      </c>
    </row>
    <row r="227" spans="1:12" x14ac:dyDescent="0.25">
      <c r="A227" t="s">
        <v>903</v>
      </c>
      <c r="B227" t="s">
        <v>201</v>
      </c>
      <c r="C227" s="30" t="s">
        <v>198</v>
      </c>
      <c r="D227" s="30" t="s">
        <v>199</v>
      </c>
      <c r="E227" t="s">
        <v>879</v>
      </c>
      <c r="F227" s="25">
        <v>7000</v>
      </c>
      <c r="G227" s="29"/>
      <c r="H227" t="s">
        <v>674</v>
      </c>
      <c r="I227" t="s">
        <v>35</v>
      </c>
      <c r="J227" t="s">
        <v>35</v>
      </c>
      <c r="K227" t="s">
        <v>675</v>
      </c>
      <c r="L227" s="29">
        <v>46304</v>
      </c>
    </row>
    <row r="228" spans="1:12" x14ac:dyDescent="0.25">
      <c r="A228" t="s">
        <v>904</v>
      </c>
      <c r="B228" t="s">
        <v>205</v>
      </c>
      <c r="C228" s="30" t="s">
        <v>198</v>
      </c>
      <c r="D228" s="30" t="s">
        <v>204</v>
      </c>
      <c r="E228" t="s">
        <v>879</v>
      </c>
      <c r="F228" s="25">
        <v>6000</v>
      </c>
      <c r="G228" s="29"/>
      <c r="H228" t="s">
        <v>674</v>
      </c>
      <c r="I228" t="s">
        <v>35</v>
      </c>
      <c r="J228" t="s">
        <v>35</v>
      </c>
      <c r="K228" t="s">
        <v>675</v>
      </c>
      <c r="L228" s="29">
        <v>46304</v>
      </c>
    </row>
    <row r="229" spans="1:12" x14ac:dyDescent="0.25">
      <c r="A229" t="s">
        <v>905</v>
      </c>
      <c r="B229" t="s">
        <v>208</v>
      </c>
      <c r="C229" s="30" t="s">
        <v>198</v>
      </c>
      <c r="D229" s="30" t="s">
        <v>207</v>
      </c>
      <c r="E229" t="s">
        <v>879</v>
      </c>
      <c r="F229" s="25">
        <v>6000</v>
      </c>
      <c r="G229" s="29"/>
      <c r="H229" t="s">
        <v>674</v>
      </c>
      <c r="I229" t="s">
        <v>35</v>
      </c>
      <c r="J229" t="s">
        <v>35</v>
      </c>
      <c r="K229" t="s">
        <v>675</v>
      </c>
      <c r="L229" s="29">
        <v>46304</v>
      </c>
    </row>
    <row r="230" spans="1:12" x14ac:dyDescent="0.25">
      <c r="A230" t="s">
        <v>906</v>
      </c>
      <c r="B230" t="s">
        <v>214</v>
      </c>
      <c r="C230" s="30" t="s">
        <v>210</v>
      </c>
      <c r="D230" s="30" t="s">
        <v>212</v>
      </c>
      <c r="E230" t="s">
        <v>879</v>
      </c>
      <c r="F230" s="25">
        <v>11495</v>
      </c>
      <c r="G230" s="29"/>
      <c r="H230" t="s">
        <v>674</v>
      </c>
      <c r="I230" t="s">
        <v>35</v>
      </c>
      <c r="J230" t="s">
        <v>35</v>
      </c>
      <c r="K230" t="s">
        <v>675</v>
      </c>
      <c r="L230" s="29">
        <v>46304</v>
      </c>
    </row>
    <row r="231" spans="1:12" x14ac:dyDescent="0.25">
      <c r="A231" t="s">
        <v>907</v>
      </c>
      <c r="B231" t="s">
        <v>220</v>
      </c>
      <c r="C231" s="30" t="s">
        <v>217</v>
      </c>
      <c r="D231" s="30" t="s">
        <v>100</v>
      </c>
      <c r="E231" t="s">
        <v>879</v>
      </c>
      <c r="F231" s="25">
        <v>16500</v>
      </c>
      <c r="G231" s="29"/>
      <c r="H231" t="s">
        <v>674</v>
      </c>
      <c r="I231" t="s">
        <v>35</v>
      </c>
      <c r="J231" t="s">
        <v>35</v>
      </c>
      <c r="K231" t="s">
        <v>675</v>
      </c>
      <c r="L231" s="29">
        <v>46304</v>
      </c>
    </row>
    <row r="232" spans="1:12" x14ac:dyDescent="0.25">
      <c r="A232" t="s">
        <v>908</v>
      </c>
      <c r="B232" t="s">
        <v>227</v>
      </c>
      <c r="C232" s="30" t="s">
        <v>223</v>
      </c>
      <c r="D232" s="30" t="s">
        <v>225</v>
      </c>
      <c r="E232" t="s">
        <v>879</v>
      </c>
      <c r="F232" s="25">
        <v>12500</v>
      </c>
      <c r="G232" s="29"/>
      <c r="H232" t="s">
        <v>674</v>
      </c>
      <c r="I232" t="s">
        <v>35</v>
      </c>
      <c r="J232" t="s">
        <v>35</v>
      </c>
      <c r="K232" t="s">
        <v>675</v>
      </c>
      <c r="L232" s="29">
        <v>46304</v>
      </c>
    </row>
    <row r="233" spans="1:12" x14ac:dyDescent="0.25">
      <c r="A233" t="s">
        <v>909</v>
      </c>
      <c r="B233" t="s">
        <v>238</v>
      </c>
      <c r="C233" s="30" t="s">
        <v>235</v>
      </c>
      <c r="D233" s="30" t="s">
        <v>236</v>
      </c>
      <c r="E233" t="s">
        <v>879</v>
      </c>
      <c r="F233" s="25">
        <v>14000</v>
      </c>
      <c r="G233" s="29"/>
      <c r="H233" t="s">
        <v>674</v>
      </c>
      <c r="I233" t="s">
        <v>35</v>
      </c>
      <c r="J233" t="s">
        <v>35</v>
      </c>
      <c r="K233" t="s">
        <v>675</v>
      </c>
      <c r="L233" s="29">
        <v>46304</v>
      </c>
    </row>
    <row r="234" spans="1:12" x14ac:dyDescent="0.25">
      <c r="A234" t="s">
        <v>910</v>
      </c>
      <c r="B234" t="s">
        <v>245</v>
      </c>
      <c r="C234" s="30" t="s">
        <v>241</v>
      </c>
      <c r="D234" s="30" t="s">
        <v>243</v>
      </c>
      <c r="E234" t="s">
        <v>879</v>
      </c>
      <c r="F234" s="25">
        <v>16500</v>
      </c>
      <c r="G234" s="29"/>
      <c r="H234" t="s">
        <v>674</v>
      </c>
      <c r="I234" t="s">
        <v>35</v>
      </c>
      <c r="J234" t="s">
        <v>35</v>
      </c>
      <c r="K234" t="s">
        <v>675</v>
      </c>
      <c r="L234" s="29">
        <v>46304</v>
      </c>
    </row>
    <row r="235" spans="1:12" x14ac:dyDescent="0.25">
      <c r="A235" t="s">
        <v>911</v>
      </c>
      <c r="B235" t="s">
        <v>260</v>
      </c>
      <c r="C235" s="30" t="s">
        <v>255</v>
      </c>
      <c r="D235" s="30" t="s">
        <v>257</v>
      </c>
      <c r="E235" t="s">
        <v>879</v>
      </c>
      <c r="F235" s="25">
        <v>21175</v>
      </c>
      <c r="G235" s="29"/>
      <c r="H235" t="s">
        <v>674</v>
      </c>
      <c r="I235" t="s">
        <v>35</v>
      </c>
      <c r="J235" t="s">
        <v>35</v>
      </c>
      <c r="K235" t="s">
        <v>675</v>
      </c>
      <c r="L235" s="29">
        <v>46304</v>
      </c>
    </row>
    <row r="236" spans="1:12" x14ac:dyDescent="0.25">
      <c r="A236" t="s">
        <v>912</v>
      </c>
      <c r="B236" t="s">
        <v>265</v>
      </c>
      <c r="C236" s="30" t="s">
        <v>263</v>
      </c>
      <c r="D236" s="30" t="s">
        <v>107</v>
      </c>
      <c r="E236" t="s">
        <v>879</v>
      </c>
      <c r="F236" s="25">
        <v>17000</v>
      </c>
      <c r="G236" s="29"/>
      <c r="H236" t="s">
        <v>674</v>
      </c>
      <c r="I236" t="s">
        <v>35</v>
      </c>
      <c r="J236" t="s">
        <v>35</v>
      </c>
      <c r="K236" t="s">
        <v>675</v>
      </c>
      <c r="L236" s="29">
        <v>46304</v>
      </c>
    </row>
    <row r="237" spans="1:12" x14ac:dyDescent="0.25">
      <c r="A237" t="s">
        <v>913</v>
      </c>
      <c r="B237" t="s">
        <v>271</v>
      </c>
      <c r="C237" s="30" t="s">
        <v>268</v>
      </c>
      <c r="D237" s="30" t="s">
        <v>113</v>
      </c>
      <c r="E237" t="s">
        <v>879</v>
      </c>
      <c r="F237" s="25">
        <v>17000</v>
      </c>
      <c r="G237" s="29"/>
      <c r="H237" t="s">
        <v>674</v>
      </c>
      <c r="I237" t="s">
        <v>35</v>
      </c>
      <c r="J237" t="s">
        <v>35</v>
      </c>
      <c r="K237" t="s">
        <v>675</v>
      </c>
      <c r="L237" s="29">
        <v>46304</v>
      </c>
    </row>
    <row r="238" spans="1:12" x14ac:dyDescent="0.25">
      <c r="A238" t="s">
        <v>914</v>
      </c>
      <c r="B238" t="s">
        <v>274</v>
      </c>
      <c r="C238" s="30" t="s">
        <v>177</v>
      </c>
      <c r="D238" s="30" t="s">
        <v>120</v>
      </c>
      <c r="E238" t="s">
        <v>879</v>
      </c>
      <c r="F238" s="25">
        <v>19000</v>
      </c>
      <c r="G238" s="29"/>
      <c r="H238" t="s">
        <v>674</v>
      </c>
      <c r="I238" t="s">
        <v>35</v>
      </c>
      <c r="J238" t="s">
        <v>35</v>
      </c>
      <c r="K238" t="s">
        <v>675</v>
      </c>
      <c r="L238" s="29">
        <v>46304</v>
      </c>
    </row>
    <row r="239" spans="1:12" x14ac:dyDescent="0.25">
      <c r="A239" t="s">
        <v>915</v>
      </c>
      <c r="B239" t="s">
        <v>290</v>
      </c>
      <c r="C239" s="30" t="s">
        <v>285</v>
      </c>
      <c r="D239" s="30" t="s">
        <v>287</v>
      </c>
      <c r="E239" t="s">
        <v>879</v>
      </c>
      <c r="F239" s="25">
        <v>11500</v>
      </c>
      <c r="G239" s="29"/>
      <c r="H239" t="s">
        <v>674</v>
      </c>
      <c r="I239" t="s">
        <v>35</v>
      </c>
      <c r="J239" t="s">
        <v>35</v>
      </c>
      <c r="K239" t="s">
        <v>675</v>
      </c>
      <c r="L239" s="29">
        <v>46304</v>
      </c>
    </row>
    <row r="240" spans="1:12" x14ac:dyDescent="0.25">
      <c r="A240" t="s">
        <v>916</v>
      </c>
      <c r="B240" t="s">
        <v>296</v>
      </c>
      <c r="C240" s="30" t="s">
        <v>293</v>
      </c>
      <c r="D240" s="30" t="s">
        <v>294</v>
      </c>
      <c r="E240" t="s">
        <v>879</v>
      </c>
      <c r="F240" s="25">
        <v>11195</v>
      </c>
      <c r="G240" s="29"/>
      <c r="H240" t="s">
        <v>674</v>
      </c>
      <c r="I240" t="s">
        <v>35</v>
      </c>
      <c r="J240" t="s">
        <v>35</v>
      </c>
      <c r="K240" t="s">
        <v>675</v>
      </c>
      <c r="L240" s="29">
        <v>46304</v>
      </c>
    </row>
    <row r="241" spans="1:12" x14ac:dyDescent="0.25">
      <c r="A241" t="s">
        <v>917</v>
      </c>
      <c r="B241" t="s">
        <v>303</v>
      </c>
      <c r="C241" s="30" t="s">
        <v>299</v>
      </c>
      <c r="D241" s="30" t="s">
        <v>301</v>
      </c>
      <c r="E241" t="s">
        <v>879</v>
      </c>
      <c r="F241" s="25">
        <v>12100</v>
      </c>
      <c r="G241" s="29"/>
      <c r="H241" t="s">
        <v>674</v>
      </c>
      <c r="I241" t="s">
        <v>35</v>
      </c>
      <c r="J241" t="s">
        <v>35</v>
      </c>
      <c r="K241" t="s">
        <v>675</v>
      </c>
      <c r="L241" s="29">
        <v>46304</v>
      </c>
    </row>
    <row r="242" spans="1:12" x14ac:dyDescent="0.25">
      <c r="A242" t="s">
        <v>918</v>
      </c>
      <c r="B242" t="s">
        <v>310</v>
      </c>
      <c r="C242" s="30" t="s">
        <v>306</v>
      </c>
      <c r="D242" s="30" t="s">
        <v>131</v>
      </c>
      <c r="E242" t="s">
        <v>879</v>
      </c>
      <c r="F242" s="25">
        <v>11000</v>
      </c>
      <c r="G242" s="29"/>
      <c r="H242" t="s">
        <v>674</v>
      </c>
      <c r="I242" t="s">
        <v>35</v>
      </c>
      <c r="J242" t="s">
        <v>35</v>
      </c>
      <c r="K242" t="s">
        <v>675</v>
      </c>
      <c r="L242" s="29">
        <v>46304</v>
      </c>
    </row>
    <row r="243" spans="1:12" x14ac:dyDescent="0.25">
      <c r="A243" t="s">
        <v>919</v>
      </c>
      <c r="B243" t="s">
        <v>317</v>
      </c>
      <c r="C243" s="30" t="s">
        <v>313</v>
      </c>
      <c r="D243" s="30" t="s">
        <v>315</v>
      </c>
      <c r="E243" t="s">
        <v>879</v>
      </c>
      <c r="F243" s="25">
        <v>16335</v>
      </c>
      <c r="G243" s="29"/>
      <c r="H243" t="s">
        <v>674</v>
      </c>
      <c r="I243" t="s">
        <v>35</v>
      </c>
      <c r="J243" t="s">
        <v>35</v>
      </c>
      <c r="K243" t="s">
        <v>675</v>
      </c>
      <c r="L243" s="29">
        <v>46304</v>
      </c>
    </row>
    <row r="244" spans="1:12" x14ac:dyDescent="0.25">
      <c r="A244" t="s">
        <v>920</v>
      </c>
      <c r="B244" t="s">
        <v>322</v>
      </c>
      <c r="C244" s="30" t="s">
        <v>320</v>
      </c>
      <c r="D244" s="30" t="s">
        <v>138</v>
      </c>
      <c r="E244" t="s">
        <v>879</v>
      </c>
      <c r="F244" s="25">
        <v>12000</v>
      </c>
      <c r="G244" s="29"/>
      <c r="H244" t="s">
        <v>674</v>
      </c>
      <c r="I244" t="s">
        <v>35</v>
      </c>
      <c r="J244" t="s">
        <v>35</v>
      </c>
      <c r="K244" t="s">
        <v>675</v>
      </c>
      <c r="L244" s="29">
        <v>46304</v>
      </c>
    </row>
    <row r="245" spans="1:12" x14ac:dyDescent="0.25">
      <c r="A245" t="s">
        <v>921</v>
      </c>
      <c r="B245" t="s">
        <v>329</v>
      </c>
      <c r="C245" s="30" t="s">
        <v>325</v>
      </c>
      <c r="D245" s="30" t="s">
        <v>327</v>
      </c>
      <c r="E245" t="s">
        <v>879</v>
      </c>
      <c r="F245" s="25">
        <v>14000</v>
      </c>
      <c r="G245" s="29"/>
      <c r="H245" t="s">
        <v>674</v>
      </c>
      <c r="I245" t="s">
        <v>35</v>
      </c>
      <c r="J245" t="s">
        <v>35</v>
      </c>
      <c r="K245" t="s">
        <v>675</v>
      </c>
      <c r="L245" s="29">
        <v>46304</v>
      </c>
    </row>
    <row r="246" spans="1:12" x14ac:dyDescent="0.25">
      <c r="A246" t="s">
        <v>922</v>
      </c>
      <c r="B246" t="s">
        <v>336</v>
      </c>
      <c r="C246" s="30" t="s">
        <v>332</v>
      </c>
      <c r="D246" s="30" t="s">
        <v>334</v>
      </c>
      <c r="E246" t="s">
        <v>879</v>
      </c>
      <c r="F246" s="25">
        <v>16035</v>
      </c>
      <c r="G246" s="29"/>
      <c r="H246" t="s">
        <v>674</v>
      </c>
      <c r="I246" t="s">
        <v>35</v>
      </c>
      <c r="J246" t="s">
        <v>35</v>
      </c>
      <c r="K246" t="s">
        <v>675</v>
      </c>
      <c r="L246" s="29">
        <v>46304</v>
      </c>
    </row>
    <row r="247" spans="1:12" x14ac:dyDescent="0.25">
      <c r="A247" t="s">
        <v>923</v>
      </c>
      <c r="B247" t="s">
        <v>343</v>
      </c>
      <c r="C247" s="30" t="s">
        <v>339</v>
      </c>
      <c r="D247" s="30" t="s">
        <v>340</v>
      </c>
      <c r="E247" t="s">
        <v>879</v>
      </c>
      <c r="F247" s="25">
        <v>16500</v>
      </c>
      <c r="G247" s="29"/>
      <c r="H247" t="s">
        <v>674</v>
      </c>
      <c r="I247" t="s">
        <v>35</v>
      </c>
      <c r="J247" t="s">
        <v>35</v>
      </c>
      <c r="K247" t="s">
        <v>675</v>
      </c>
      <c r="L247" s="29">
        <v>46304</v>
      </c>
    </row>
    <row r="248" spans="1:12" x14ac:dyDescent="0.25">
      <c r="A248" t="s">
        <v>924</v>
      </c>
      <c r="B248" t="s">
        <v>349</v>
      </c>
      <c r="C248" s="30" t="s">
        <v>346</v>
      </c>
      <c r="D248" s="30" t="s">
        <v>347</v>
      </c>
      <c r="E248" t="s">
        <v>879</v>
      </c>
      <c r="F248" s="25">
        <v>18500</v>
      </c>
      <c r="G248" s="29"/>
      <c r="H248" t="s">
        <v>674</v>
      </c>
      <c r="I248" t="s">
        <v>35</v>
      </c>
      <c r="J248" t="s">
        <v>35</v>
      </c>
      <c r="K248" t="s">
        <v>675</v>
      </c>
      <c r="L248" s="29">
        <v>46304</v>
      </c>
    </row>
    <row r="249" spans="1:12" x14ac:dyDescent="0.25">
      <c r="A249" t="s">
        <v>925</v>
      </c>
      <c r="B249" t="s">
        <v>356</v>
      </c>
      <c r="C249" s="30" t="s">
        <v>352</v>
      </c>
      <c r="D249" s="30" t="s">
        <v>354</v>
      </c>
      <c r="E249" t="s">
        <v>879</v>
      </c>
      <c r="F249" s="25">
        <v>15000</v>
      </c>
      <c r="G249" s="29"/>
      <c r="H249" t="s">
        <v>674</v>
      </c>
      <c r="I249" t="s">
        <v>35</v>
      </c>
      <c r="J249" t="s">
        <v>35</v>
      </c>
      <c r="K249" t="s">
        <v>675</v>
      </c>
      <c r="L249" s="29">
        <v>46304</v>
      </c>
    </row>
    <row r="250" spans="1:12" x14ac:dyDescent="0.25">
      <c r="A250" t="s">
        <v>926</v>
      </c>
      <c r="B250" t="s">
        <v>359</v>
      </c>
      <c r="C250" s="30" t="s">
        <v>352</v>
      </c>
      <c r="D250" s="30" t="s">
        <v>144</v>
      </c>
      <c r="E250" t="s">
        <v>879</v>
      </c>
      <c r="F250" s="25">
        <v>15000</v>
      </c>
      <c r="G250" s="29"/>
      <c r="H250" t="s">
        <v>674</v>
      </c>
      <c r="I250" t="s">
        <v>35</v>
      </c>
      <c r="J250" t="s">
        <v>35</v>
      </c>
      <c r="K250" t="s">
        <v>675</v>
      </c>
      <c r="L250" s="29">
        <v>46304</v>
      </c>
    </row>
    <row r="251" spans="1:12" x14ac:dyDescent="0.25">
      <c r="A251" t="s">
        <v>927</v>
      </c>
      <c r="B251" t="s">
        <v>364</v>
      </c>
      <c r="C251" s="30" t="s">
        <v>361</v>
      </c>
      <c r="D251" s="30" t="s">
        <v>151</v>
      </c>
      <c r="E251" t="s">
        <v>879</v>
      </c>
      <c r="F251" s="25">
        <v>11195</v>
      </c>
      <c r="G251" s="29"/>
      <c r="H251" t="s">
        <v>674</v>
      </c>
      <c r="I251" t="s">
        <v>35</v>
      </c>
      <c r="J251" t="s">
        <v>35</v>
      </c>
      <c r="K251" t="s">
        <v>675</v>
      </c>
      <c r="L251" s="29">
        <v>46304</v>
      </c>
    </row>
    <row r="252" spans="1:12" x14ac:dyDescent="0.25">
      <c r="A252" t="s">
        <v>928</v>
      </c>
      <c r="B252" t="s">
        <v>370</v>
      </c>
      <c r="C252" s="30" t="s">
        <v>367</v>
      </c>
      <c r="D252" s="30" t="s">
        <v>157</v>
      </c>
      <c r="E252" t="s">
        <v>879</v>
      </c>
      <c r="F252" s="25">
        <v>10000</v>
      </c>
      <c r="G252" s="29"/>
      <c r="H252" t="s">
        <v>674</v>
      </c>
      <c r="I252" t="s">
        <v>35</v>
      </c>
      <c r="J252" t="s">
        <v>35</v>
      </c>
      <c r="K252" t="s">
        <v>675</v>
      </c>
      <c r="L252" s="29">
        <v>46304</v>
      </c>
    </row>
    <row r="253" spans="1:12" x14ac:dyDescent="0.25">
      <c r="A253" t="s">
        <v>929</v>
      </c>
      <c r="B253" t="s">
        <v>374</v>
      </c>
      <c r="C253" s="30" t="s">
        <v>198</v>
      </c>
      <c r="D253" s="30" t="s">
        <v>373</v>
      </c>
      <c r="E253" t="s">
        <v>879</v>
      </c>
      <c r="F253" s="25">
        <v>11000</v>
      </c>
      <c r="G253" s="29"/>
      <c r="H253" t="s">
        <v>674</v>
      </c>
      <c r="I253" t="s">
        <v>35</v>
      </c>
      <c r="J253" t="s">
        <v>35</v>
      </c>
      <c r="K253" t="s">
        <v>675</v>
      </c>
      <c r="L253" s="29">
        <v>46304</v>
      </c>
    </row>
    <row r="254" spans="1:12" x14ac:dyDescent="0.25">
      <c r="A254" t="s">
        <v>930</v>
      </c>
      <c r="B254" t="s">
        <v>380</v>
      </c>
      <c r="C254" s="30" t="s">
        <v>376</v>
      </c>
      <c r="D254" s="30" t="s">
        <v>378</v>
      </c>
      <c r="E254" t="s">
        <v>879</v>
      </c>
      <c r="F254" s="25">
        <v>17000</v>
      </c>
      <c r="G254" s="29"/>
      <c r="H254" t="s">
        <v>674</v>
      </c>
      <c r="I254" t="s">
        <v>35</v>
      </c>
      <c r="J254" t="s">
        <v>35</v>
      </c>
      <c r="K254" t="s">
        <v>675</v>
      </c>
      <c r="L254" s="29">
        <v>46304</v>
      </c>
    </row>
    <row r="255" spans="1:12" x14ac:dyDescent="0.25">
      <c r="A255" t="s">
        <v>931</v>
      </c>
      <c r="B255" t="s">
        <v>395</v>
      </c>
      <c r="C255" s="30" t="s">
        <v>391</v>
      </c>
      <c r="D255" s="30" t="s">
        <v>393</v>
      </c>
      <c r="E255" t="s">
        <v>879</v>
      </c>
      <c r="F255" s="25">
        <v>9680</v>
      </c>
      <c r="G255" s="29"/>
      <c r="H255" t="s">
        <v>674</v>
      </c>
      <c r="I255" t="s">
        <v>35</v>
      </c>
      <c r="J255" t="s">
        <v>35</v>
      </c>
      <c r="K255" t="s">
        <v>675</v>
      </c>
      <c r="L255" s="29">
        <v>46304</v>
      </c>
    </row>
    <row r="256" spans="1:12" x14ac:dyDescent="0.25">
      <c r="A256" t="s">
        <v>932</v>
      </c>
      <c r="B256" t="s">
        <v>403</v>
      </c>
      <c r="C256" s="30" t="s">
        <v>398</v>
      </c>
      <c r="D256" s="30" t="s">
        <v>400</v>
      </c>
      <c r="E256" t="s">
        <v>879</v>
      </c>
      <c r="F256" s="25">
        <v>19000</v>
      </c>
      <c r="G256" s="29"/>
      <c r="H256" t="s">
        <v>674</v>
      </c>
      <c r="I256" t="s">
        <v>35</v>
      </c>
      <c r="J256" t="s">
        <v>35</v>
      </c>
      <c r="K256" t="s">
        <v>675</v>
      </c>
      <c r="L256" s="29">
        <v>46304</v>
      </c>
    </row>
    <row r="257" spans="1:12" x14ac:dyDescent="0.25">
      <c r="A257" t="s">
        <v>933</v>
      </c>
      <c r="B257" t="s">
        <v>409</v>
      </c>
      <c r="C257" s="30" t="s">
        <v>406</v>
      </c>
      <c r="D257" s="30" t="s">
        <v>407</v>
      </c>
      <c r="E257" t="s">
        <v>879</v>
      </c>
      <c r="F257" s="25">
        <v>11495</v>
      </c>
      <c r="G257" s="29"/>
      <c r="H257" t="s">
        <v>674</v>
      </c>
      <c r="I257" t="s">
        <v>35</v>
      </c>
      <c r="J257" t="s">
        <v>35</v>
      </c>
      <c r="K257" t="s">
        <v>675</v>
      </c>
      <c r="L257" s="29">
        <v>46304</v>
      </c>
    </row>
    <row r="258" spans="1:12" x14ac:dyDescent="0.25">
      <c r="A258" t="s">
        <v>934</v>
      </c>
      <c r="B258" t="s">
        <v>415</v>
      </c>
      <c r="C258" s="30" t="s">
        <v>412</v>
      </c>
      <c r="D258" s="30" t="s">
        <v>413</v>
      </c>
      <c r="E258" t="s">
        <v>879</v>
      </c>
      <c r="F258" s="25">
        <v>11000</v>
      </c>
      <c r="G258" s="29"/>
      <c r="H258" t="s">
        <v>674</v>
      </c>
      <c r="I258" t="s">
        <v>35</v>
      </c>
      <c r="J258" t="s">
        <v>35</v>
      </c>
      <c r="K258" t="s">
        <v>675</v>
      </c>
      <c r="L258" s="29">
        <v>46304</v>
      </c>
    </row>
    <row r="259" spans="1:12" x14ac:dyDescent="0.25">
      <c r="A259" t="s">
        <v>935</v>
      </c>
      <c r="B259" t="s">
        <v>423</v>
      </c>
      <c r="C259" s="30" t="s">
        <v>418</v>
      </c>
      <c r="D259" s="30" t="s">
        <v>419</v>
      </c>
      <c r="E259" t="s">
        <v>879</v>
      </c>
      <c r="F259" s="25">
        <v>8775</v>
      </c>
      <c r="G259" s="29"/>
      <c r="H259" t="s">
        <v>674</v>
      </c>
      <c r="I259" t="s">
        <v>35</v>
      </c>
      <c r="J259" t="s">
        <v>35</v>
      </c>
      <c r="K259" t="s">
        <v>675</v>
      </c>
      <c r="L259" s="29">
        <v>46304</v>
      </c>
    </row>
    <row r="260" spans="1:12" x14ac:dyDescent="0.25">
      <c r="A260" t="s">
        <v>936</v>
      </c>
      <c r="B260" t="s">
        <v>430</v>
      </c>
      <c r="C260" s="30" t="s">
        <v>426</v>
      </c>
      <c r="D260" s="30" t="s">
        <v>428</v>
      </c>
      <c r="E260" t="s">
        <v>879</v>
      </c>
      <c r="F260" s="25">
        <v>15000</v>
      </c>
      <c r="G260" s="29"/>
      <c r="H260" t="s">
        <v>674</v>
      </c>
      <c r="I260" t="s">
        <v>35</v>
      </c>
      <c r="J260" t="s">
        <v>35</v>
      </c>
      <c r="K260" t="s">
        <v>675</v>
      </c>
      <c r="L260" s="29">
        <v>46304</v>
      </c>
    </row>
    <row r="261" spans="1:12" x14ac:dyDescent="0.25">
      <c r="A261" t="s">
        <v>937</v>
      </c>
      <c r="B261" t="s">
        <v>438</v>
      </c>
      <c r="C261" s="30" t="s">
        <v>433</v>
      </c>
      <c r="D261" s="30" t="s">
        <v>435</v>
      </c>
      <c r="E261" t="s">
        <v>879</v>
      </c>
      <c r="F261" s="25">
        <v>10500</v>
      </c>
      <c r="G261" s="29"/>
      <c r="H261" t="s">
        <v>674</v>
      </c>
      <c r="I261" t="s">
        <v>35</v>
      </c>
      <c r="J261" t="s">
        <v>35</v>
      </c>
      <c r="K261" t="s">
        <v>675</v>
      </c>
      <c r="L261" s="29">
        <v>46304</v>
      </c>
    </row>
    <row r="262" spans="1:12" x14ac:dyDescent="0.25">
      <c r="A262" t="s">
        <v>938</v>
      </c>
      <c r="B262" t="s">
        <v>445</v>
      </c>
      <c r="C262" s="30" t="s">
        <v>441</v>
      </c>
      <c r="D262" s="30" t="s">
        <v>443</v>
      </c>
      <c r="E262" t="s">
        <v>879</v>
      </c>
      <c r="F262" s="25">
        <v>13000</v>
      </c>
      <c r="G262" s="29"/>
      <c r="H262" t="s">
        <v>674</v>
      </c>
      <c r="I262" t="s">
        <v>35</v>
      </c>
      <c r="J262" t="s">
        <v>35</v>
      </c>
      <c r="K262" t="s">
        <v>675</v>
      </c>
      <c r="L262" s="29">
        <v>46304</v>
      </c>
    </row>
    <row r="263" spans="1:12" x14ac:dyDescent="0.25">
      <c r="A263" t="s">
        <v>939</v>
      </c>
      <c r="B263" t="s">
        <v>453</v>
      </c>
      <c r="C263" s="30" t="s">
        <v>448</v>
      </c>
      <c r="D263" s="30" t="s">
        <v>450</v>
      </c>
      <c r="E263" t="s">
        <v>879</v>
      </c>
      <c r="F263" s="25">
        <v>17000</v>
      </c>
      <c r="G263" s="29"/>
      <c r="H263" t="s">
        <v>674</v>
      </c>
      <c r="I263" t="s">
        <v>35</v>
      </c>
      <c r="J263" t="s">
        <v>35</v>
      </c>
      <c r="K263" t="s">
        <v>675</v>
      </c>
      <c r="L263" s="29">
        <v>46304</v>
      </c>
    </row>
    <row r="264" spans="1:12" x14ac:dyDescent="0.25">
      <c r="A264" t="s">
        <v>940</v>
      </c>
      <c r="B264" t="s">
        <v>467</v>
      </c>
      <c r="C264" s="30" t="s">
        <v>463</v>
      </c>
      <c r="D264" s="30" t="s">
        <v>465</v>
      </c>
      <c r="E264" t="s">
        <v>879</v>
      </c>
      <c r="F264" s="25">
        <v>11000</v>
      </c>
      <c r="G264" s="29"/>
      <c r="H264" t="s">
        <v>674</v>
      </c>
      <c r="I264" t="s">
        <v>35</v>
      </c>
      <c r="J264" t="s">
        <v>35</v>
      </c>
      <c r="K264" t="s">
        <v>675</v>
      </c>
      <c r="L264" s="29">
        <v>46304</v>
      </c>
    </row>
    <row r="265" spans="1:12" x14ac:dyDescent="0.25">
      <c r="A265" t="s">
        <v>941</v>
      </c>
      <c r="B265" t="s">
        <v>473</v>
      </c>
      <c r="C265" s="30" t="s">
        <v>470</v>
      </c>
      <c r="D265" s="30" t="s">
        <v>471</v>
      </c>
      <c r="E265" t="s">
        <v>879</v>
      </c>
      <c r="F265" s="25">
        <v>11000</v>
      </c>
      <c r="G265" s="29"/>
      <c r="H265" t="s">
        <v>674</v>
      </c>
      <c r="I265" t="s">
        <v>35</v>
      </c>
      <c r="J265" t="s">
        <v>35</v>
      </c>
      <c r="K265" t="s">
        <v>675</v>
      </c>
      <c r="L265" s="29">
        <v>46304</v>
      </c>
    </row>
    <row r="266" spans="1:12" x14ac:dyDescent="0.25">
      <c r="A266" t="s">
        <v>942</v>
      </c>
      <c r="B266" t="s">
        <v>481</v>
      </c>
      <c r="C266" s="30" t="s">
        <v>476</v>
      </c>
      <c r="D266" s="30" t="s">
        <v>478</v>
      </c>
      <c r="E266" t="s">
        <v>879</v>
      </c>
      <c r="F266" s="25">
        <v>10890</v>
      </c>
      <c r="G266" s="29"/>
      <c r="H266" t="s">
        <v>674</v>
      </c>
      <c r="I266" t="s">
        <v>35</v>
      </c>
      <c r="J266" t="s">
        <v>35</v>
      </c>
      <c r="K266" t="s">
        <v>675</v>
      </c>
      <c r="L266" s="29">
        <v>46304</v>
      </c>
    </row>
    <row r="267" spans="1:12" x14ac:dyDescent="0.25">
      <c r="A267" t="s">
        <v>943</v>
      </c>
      <c r="B267" t="s">
        <v>488</v>
      </c>
      <c r="C267" s="30" t="s">
        <v>484</v>
      </c>
      <c r="D267" s="30" t="s">
        <v>486</v>
      </c>
      <c r="E267" t="s">
        <v>879</v>
      </c>
      <c r="F267" s="25">
        <v>13000</v>
      </c>
      <c r="G267" s="29"/>
      <c r="H267" t="s">
        <v>674</v>
      </c>
      <c r="I267" t="s">
        <v>35</v>
      </c>
      <c r="J267" t="s">
        <v>35</v>
      </c>
      <c r="K267" t="s">
        <v>675</v>
      </c>
      <c r="L267" s="29">
        <v>46304</v>
      </c>
    </row>
    <row r="268" spans="1:12" x14ac:dyDescent="0.25">
      <c r="A268" t="s">
        <v>944</v>
      </c>
      <c r="B268" t="s">
        <v>492</v>
      </c>
      <c r="C268" s="30" t="s">
        <v>484</v>
      </c>
      <c r="D268" s="30" t="s">
        <v>491</v>
      </c>
      <c r="E268" t="s">
        <v>879</v>
      </c>
      <c r="F268" s="25">
        <v>13000</v>
      </c>
      <c r="G268" s="29"/>
      <c r="H268" t="s">
        <v>674</v>
      </c>
      <c r="I268" t="s">
        <v>35</v>
      </c>
      <c r="J268" t="s">
        <v>35</v>
      </c>
      <c r="K268" t="s">
        <v>675</v>
      </c>
      <c r="L268" s="29">
        <v>46304</v>
      </c>
    </row>
    <row r="269" spans="1:12" x14ac:dyDescent="0.25">
      <c r="A269" t="s">
        <v>945</v>
      </c>
      <c r="B269" t="s">
        <v>37</v>
      </c>
      <c r="C269" s="30" t="s">
        <v>31</v>
      </c>
      <c r="D269" s="30" t="s">
        <v>33</v>
      </c>
      <c r="E269" t="s">
        <v>946</v>
      </c>
      <c r="F269" s="25">
        <v>12705</v>
      </c>
      <c r="G269" s="29"/>
      <c r="H269" t="s">
        <v>674</v>
      </c>
      <c r="I269" t="s">
        <v>35</v>
      </c>
      <c r="J269" t="s">
        <v>35</v>
      </c>
      <c r="K269" t="s">
        <v>675</v>
      </c>
      <c r="L269" s="29">
        <v>46304</v>
      </c>
    </row>
    <row r="270" spans="1:12" x14ac:dyDescent="0.25">
      <c r="A270" t="s">
        <v>947</v>
      </c>
      <c r="B270" t="s">
        <v>52</v>
      </c>
      <c r="C270" s="30" t="s">
        <v>47</v>
      </c>
      <c r="D270" s="30" t="s">
        <v>49</v>
      </c>
      <c r="E270" t="s">
        <v>946</v>
      </c>
      <c r="F270" s="25">
        <v>46603</v>
      </c>
      <c r="G270" s="29"/>
      <c r="H270" t="s">
        <v>674</v>
      </c>
      <c r="I270" t="s">
        <v>35</v>
      </c>
      <c r="J270" t="s">
        <v>35</v>
      </c>
      <c r="K270" t="s">
        <v>675</v>
      </c>
      <c r="L270" s="29">
        <v>46304</v>
      </c>
    </row>
    <row r="271" spans="1:12" x14ac:dyDescent="0.25">
      <c r="A271" t="s">
        <v>948</v>
      </c>
      <c r="B271" t="s">
        <v>59</v>
      </c>
      <c r="C271" s="30" t="s">
        <v>55</v>
      </c>
      <c r="D271" s="30" t="s">
        <v>57</v>
      </c>
      <c r="E271" t="s">
        <v>946</v>
      </c>
      <c r="F271" s="25">
        <v>41800</v>
      </c>
      <c r="G271" s="29"/>
      <c r="H271" t="s">
        <v>674</v>
      </c>
      <c r="I271" t="s">
        <v>35</v>
      </c>
      <c r="J271" t="s">
        <v>35</v>
      </c>
      <c r="K271" t="s">
        <v>675</v>
      </c>
      <c r="L271" s="29">
        <v>46304</v>
      </c>
    </row>
    <row r="272" spans="1:12" x14ac:dyDescent="0.25">
      <c r="A272" t="s">
        <v>949</v>
      </c>
      <c r="B272" t="s">
        <v>63</v>
      </c>
      <c r="C272" s="30" t="s">
        <v>47</v>
      </c>
      <c r="D272" s="30" t="s">
        <v>62</v>
      </c>
      <c r="E272" t="s">
        <v>946</v>
      </c>
      <c r="F272" s="25">
        <v>91960</v>
      </c>
      <c r="G272" s="29"/>
      <c r="H272" t="s">
        <v>674</v>
      </c>
      <c r="I272" t="s">
        <v>35</v>
      </c>
      <c r="J272" t="s">
        <v>35</v>
      </c>
      <c r="K272" t="s">
        <v>675</v>
      </c>
      <c r="L272" s="29">
        <v>46304</v>
      </c>
    </row>
    <row r="273" spans="1:12" x14ac:dyDescent="0.25">
      <c r="A273" t="s">
        <v>950</v>
      </c>
      <c r="B273" t="s">
        <v>70</v>
      </c>
      <c r="C273" s="30" t="s">
        <v>65</v>
      </c>
      <c r="D273" s="30" t="s">
        <v>67</v>
      </c>
      <c r="E273" t="s">
        <v>946</v>
      </c>
      <c r="F273" s="25">
        <v>30250</v>
      </c>
      <c r="G273" s="29"/>
      <c r="H273" t="s">
        <v>674</v>
      </c>
      <c r="I273" t="s">
        <v>35</v>
      </c>
      <c r="J273" t="s">
        <v>35</v>
      </c>
      <c r="K273" t="s">
        <v>675</v>
      </c>
      <c r="L273" s="29">
        <v>46304</v>
      </c>
    </row>
    <row r="274" spans="1:12" x14ac:dyDescent="0.25">
      <c r="A274" t="s">
        <v>951</v>
      </c>
      <c r="B274" t="s">
        <v>86</v>
      </c>
      <c r="C274" s="30" t="s">
        <v>80</v>
      </c>
      <c r="D274" s="30" t="s">
        <v>82</v>
      </c>
      <c r="E274" t="s">
        <v>946</v>
      </c>
      <c r="F274" s="25">
        <v>42350</v>
      </c>
      <c r="G274" s="29"/>
      <c r="H274" t="s">
        <v>674</v>
      </c>
      <c r="I274" t="s">
        <v>35</v>
      </c>
      <c r="J274" t="s">
        <v>35</v>
      </c>
      <c r="K274" t="s">
        <v>675</v>
      </c>
      <c r="L274" s="29">
        <v>46304</v>
      </c>
    </row>
    <row r="275" spans="1:12" x14ac:dyDescent="0.25">
      <c r="A275" t="s">
        <v>952</v>
      </c>
      <c r="B275" t="s">
        <v>95</v>
      </c>
      <c r="C275" s="30" t="s">
        <v>90</v>
      </c>
      <c r="D275" s="30" t="s">
        <v>92</v>
      </c>
      <c r="E275" t="s">
        <v>946</v>
      </c>
      <c r="F275" s="25">
        <v>25410</v>
      </c>
      <c r="G275" s="29"/>
      <c r="H275" t="s">
        <v>674</v>
      </c>
      <c r="I275" t="s">
        <v>35</v>
      </c>
      <c r="J275" t="s">
        <v>35</v>
      </c>
      <c r="K275" t="s">
        <v>675</v>
      </c>
      <c r="L275" s="29">
        <v>46304</v>
      </c>
    </row>
    <row r="276" spans="1:12" x14ac:dyDescent="0.25">
      <c r="A276" t="s">
        <v>953</v>
      </c>
      <c r="B276" t="s">
        <v>103</v>
      </c>
      <c r="C276" s="30" t="s">
        <v>98</v>
      </c>
      <c r="D276" s="30" t="s">
        <v>100</v>
      </c>
      <c r="E276" t="s">
        <v>946</v>
      </c>
      <c r="F276" s="25">
        <v>46585</v>
      </c>
      <c r="G276" s="29"/>
      <c r="H276" t="s">
        <v>674</v>
      </c>
      <c r="I276" t="s">
        <v>35</v>
      </c>
      <c r="J276" t="s">
        <v>35</v>
      </c>
      <c r="K276" t="s">
        <v>675</v>
      </c>
      <c r="L276" s="29">
        <v>46304</v>
      </c>
    </row>
    <row r="277" spans="1:12" x14ac:dyDescent="0.25">
      <c r="A277" t="s">
        <v>954</v>
      </c>
      <c r="B277" t="s">
        <v>109</v>
      </c>
      <c r="C277" s="30" t="s">
        <v>106</v>
      </c>
      <c r="D277" s="30" t="s">
        <v>107</v>
      </c>
      <c r="E277" t="s">
        <v>946</v>
      </c>
      <c r="F277" s="25">
        <v>37000</v>
      </c>
      <c r="G277" s="29"/>
      <c r="H277" t="s">
        <v>674</v>
      </c>
      <c r="I277" t="s">
        <v>35</v>
      </c>
      <c r="J277" t="s">
        <v>35</v>
      </c>
      <c r="K277" t="s">
        <v>675</v>
      </c>
      <c r="L277" s="29">
        <v>46304</v>
      </c>
    </row>
    <row r="278" spans="1:12" x14ac:dyDescent="0.25">
      <c r="A278" t="s">
        <v>955</v>
      </c>
      <c r="B278" t="s">
        <v>115</v>
      </c>
      <c r="C278" s="30" t="s">
        <v>112</v>
      </c>
      <c r="D278" s="30" t="s">
        <v>113</v>
      </c>
      <c r="E278" t="s">
        <v>946</v>
      </c>
      <c r="F278" s="25">
        <v>38500</v>
      </c>
      <c r="G278" s="29"/>
      <c r="H278" t="s">
        <v>674</v>
      </c>
      <c r="I278" t="s">
        <v>35</v>
      </c>
      <c r="J278" t="s">
        <v>35</v>
      </c>
      <c r="K278" t="s">
        <v>675</v>
      </c>
      <c r="L278" s="29">
        <v>46304</v>
      </c>
    </row>
    <row r="279" spans="1:12" x14ac:dyDescent="0.25">
      <c r="A279" t="s">
        <v>956</v>
      </c>
      <c r="B279" t="s">
        <v>123</v>
      </c>
      <c r="C279" s="30" t="s">
        <v>118</v>
      </c>
      <c r="D279" s="30" t="s">
        <v>120</v>
      </c>
      <c r="E279" t="s">
        <v>946</v>
      </c>
      <c r="F279" s="25">
        <v>43000</v>
      </c>
      <c r="G279" s="29"/>
      <c r="H279" t="s">
        <v>674</v>
      </c>
      <c r="I279" t="s">
        <v>35</v>
      </c>
      <c r="J279" t="s">
        <v>35</v>
      </c>
      <c r="K279" t="s">
        <v>675</v>
      </c>
      <c r="L279" s="29">
        <v>46304</v>
      </c>
    </row>
    <row r="280" spans="1:12" x14ac:dyDescent="0.25">
      <c r="A280" t="s">
        <v>957</v>
      </c>
      <c r="B280" t="s">
        <v>127</v>
      </c>
      <c r="C280" s="30" t="s">
        <v>118</v>
      </c>
      <c r="D280" s="30" t="s">
        <v>126</v>
      </c>
      <c r="E280" t="s">
        <v>946</v>
      </c>
      <c r="F280" s="25">
        <v>25300</v>
      </c>
      <c r="G280" s="29"/>
      <c r="H280" t="s">
        <v>674</v>
      </c>
      <c r="I280" t="s">
        <v>35</v>
      </c>
      <c r="J280" t="s">
        <v>35</v>
      </c>
      <c r="K280" t="s">
        <v>675</v>
      </c>
      <c r="L280" s="29">
        <v>46304</v>
      </c>
    </row>
    <row r="281" spans="1:12" x14ac:dyDescent="0.25">
      <c r="A281" t="s">
        <v>958</v>
      </c>
      <c r="B281" t="s">
        <v>133</v>
      </c>
      <c r="C281" s="30" t="s">
        <v>129</v>
      </c>
      <c r="D281" s="30" t="s">
        <v>131</v>
      </c>
      <c r="E281" t="s">
        <v>946</v>
      </c>
      <c r="F281" s="25">
        <v>37665</v>
      </c>
      <c r="G281" s="29"/>
      <c r="H281" t="s">
        <v>674</v>
      </c>
      <c r="I281" t="s">
        <v>35</v>
      </c>
      <c r="J281" t="s">
        <v>35</v>
      </c>
      <c r="K281" t="s">
        <v>675</v>
      </c>
      <c r="L281" s="29">
        <v>46304</v>
      </c>
    </row>
    <row r="282" spans="1:12" x14ac:dyDescent="0.25">
      <c r="A282" t="s">
        <v>959</v>
      </c>
      <c r="B282" t="s">
        <v>140</v>
      </c>
      <c r="C282" s="30" t="s">
        <v>136</v>
      </c>
      <c r="D282" s="30" t="s">
        <v>138</v>
      </c>
      <c r="E282" t="s">
        <v>946</v>
      </c>
      <c r="F282" s="25">
        <v>30250</v>
      </c>
      <c r="G282" s="29"/>
      <c r="H282" t="s">
        <v>674</v>
      </c>
      <c r="I282" t="s">
        <v>35</v>
      </c>
      <c r="J282" t="s">
        <v>35</v>
      </c>
      <c r="K282" t="s">
        <v>675</v>
      </c>
      <c r="L282" s="29">
        <v>46304</v>
      </c>
    </row>
    <row r="283" spans="1:12" x14ac:dyDescent="0.25">
      <c r="A283" t="s">
        <v>960</v>
      </c>
      <c r="B283" t="s">
        <v>146</v>
      </c>
      <c r="C283" s="30" t="s">
        <v>143</v>
      </c>
      <c r="D283" s="30" t="s">
        <v>144</v>
      </c>
      <c r="E283" t="s">
        <v>946</v>
      </c>
      <c r="F283" s="25">
        <v>19060</v>
      </c>
      <c r="G283" s="29"/>
      <c r="H283" t="s">
        <v>674</v>
      </c>
      <c r="I283" t="s">
        <v>35</v>
      </c>
      <c r="J283" t="s">
        <v>35</v>
      </c>
      <c r="K283" t="s">
        <v>675</v>
      </c>
      <c r="L283" s="29">
        <v>46304</v>
      </c>
    </row>
    <row r="284" spans="1:12" x14ac:dyDescent="0.25">
      <c r="A284" t="s">
        <v>961</v>
      </c>
      <c r="B284" t="s">
        <v>153</v>
      </c>
      <c r="C284" s="30" t="s">
        <v>149</v>
      </c>
      <c r="D284" s="30" t="s">
        <v>151</v>
      </c>
      <c r="E284" t="s">
        <v>946</v>
      </c>
      <c r="F284" s="25">
        <v>20570</v>
      </c>
      <c r="G284" s="29"/>
      <c r="H284" t="s">
        <v>674</v>
      </c>
      <c r="I284" t="s">
        <v>35</v>
      </c>
      <c r="J284" t="s">
        <v>35</v>
      </c>
      <c r="K284" t="s">
        <v>675</v>
      </c>
      <c r="L284" s="29">
        <v>46304</v>
      </c>
    </row>
    <row r="285" spans="1:12" x14ac:dyDescent="0.25">
      <c r="A285" t="s">
        <v>962</v>
      </c>
      <c r="B285" t="s">
        <v>159</v>
      </c>
      <c r="C285" s="30" t="s">
        <v>156</v>
      </c>
      <c r="D285" s="30" t="s">
        <v>157</v>
      </c>
      <c r="E285" t="s">
        <v>946</v>
      </c>
      <c r="F285" s="25">
        <v>25410</v>
      </c>
      <c r="G285" s="29"/>
      <c r="H285" t="s">
        <v>674</v>
      </c>
      <c r="I285" t="s">
        <v>35</v>
      </c>
      <c r="J285" t="s">
        <v>35</v>
      </c>
      <c r="K285" t="s">
        <v>675</v>
      </c>
      <c r="L285" s="29">
        <v>46304</v>
      </c>
    </row>
    <row r="286" spans="1:12" x14ac:dyDescent="0.25">
      <c r="A286" t="s">
        <v>963</v>
      </c>
      <c r="B286" t="s">
        <v>168</v>
      </c>
      <c r="C286" s="30" t="s">
        <v>163</v>
      </c>
      <c r="D286" s="30" t="s">
        <v>82</v>
      </c>
      <c r="E286" t="s">
        <v>946</v>
      </c>
      <c r="F286" s="25">
        <v>40700</v>
      </c>
      <c r="G286" s="29"/>
      <c r="H286" t="s">
        <v>674</v>
      </c>
      <c r="I286" t="s">
        <v>35</v>
      </c>
      <c r="J286" t="s">
        <v>35</v>
      </c>
      <c r="K286" t="s">
        <v>675</v>
      </c>
      <c r="L286" s="29">
        <v>46304</v>
      </c>
    </row>
    <row r="287" spans="1:12" x14ac:dyDescent="0.25">
      <c r="A287" t="s">
        <v>964</v>
      </c>
      <c r="B287" t="s">
        <v>174</v>
      </c>
      <c r="C287" s="30" t="s">
        <v>172</v>
      </c>
      <c r="D287" s="30" t="s">
        <v>92</v>
      </c>
      <c r="E287" t="s">
        <v>946</v>
      </c>
      <c r="F287" s="25">
        <v>40700</v>
      </c>
      <c r="G287" s="29"/>
      <c r="H287" t="s">
        <v>674</v>
      </c>
      <c r="I287" t="s">
        <v>35</v>
      </c>
      <c r="J287" t="s">
        <v>35</v>
      </c>
      <c r="K287" t="s">
        <v>675</v>
      </c>
      <c r="L287" s="29">
        <v>46304</v>
      </c>
    </row>
    <row r="288" spans="1:12" x14ac:dyDescent="0.25">
      <c r="A288" t="s">
        <v>965</v>
      </c>
      <c r="B288" t="s">
        <v>180</v>
      </c>
      <c r="C288" s="30" t="s">
        <v>177</v>
      </c>
      <c r="D288" s="30" t="s">
        <v>178</v>
      </c>
      <c r="E288" t="s">
        <v>946</v>
      </c>
      <c r="F288" s="25">
        <v>17500</v>
      </c>
      <c r="G288" s="29"/>
      <c r="H288" t="s">
        <v>674</v>
      </c>
      <c r="I288" t="s">
        <v>35</v>
      </c>
      <c r="J288" t="s">
        <v>35</v>
      </c>
      <c r="K288" t="s">
        <v>675</v>
      </c>
      <c r="L288" s="29">
        <v>46304</v>
      </c>
    </row>
    <row r="289" spans="1:12" x14ac:dyDescent="0.25">
      <c r="A289" t="s">
        <v>966</v>
      </c>
      <c r="B289" t="s">
        <v>186</v>
      </c>
      <c r="C289" s="30" t="s">
        <v>183</v>
      </c>
      <c r="D289" s="30" t="s">
        <v>184</v>
      </c>
      <c r="E289" t="s">
        <v>946</v>
      </c>
      <c r="F289" s="25">
        <v>7000</v>
      </c>
      <c r="G289" s="29"/>
      <c r="H289" t="s">
        <v>674</v>
      </c>
      <c r="I289" t="s">
        <v>35</v>
      </c>
      <c r="J289" t="s">
        <v>35</v>
      </c>
      <c r="K289" t="s">
        <v>675</v>
      </c>
      <c r="L289" s="29">
        <v>46304</v>
      </c>
    </row>
    <row r="290" spans="1:12" x14ac:dyDescent="0.25">
      <c r="A290" t="s">
        <v>967</v>
      </c>
      <c r="B290" t="s">
        <v>192</v>
      </c>
      <c r="C290" s="30" t="s">
        <v>189</v>
      </c>
      <c r="D290" s="30" t="s">
        <v>190</v>
      </c>
      <c r="E290" t="s">
        <v>946</v>
      </c>
      <c r="F290" s="25">
        <v>13000</v>
      </c>
      <c r="G290" s="29"/>
      <c r="H290" t="s">
        <v>674</v>
      </c>
      <c r="I290" t="s">
        <v>35</v>
      </c>
      <c r="J290" t="s">
        <v>35</v>
      </c>
      <c r="K290" t="s">
        <v>675</v>
      </c>
      <c r="L290" s="29">
        <v>46304</v>
      </c>
    </row>
    <row r="291" spans="1:12" x14ac:dyDescent="0.25">
      <c r="A291" t="s">
        <v>968</v>
      </c>
      <c r="B291" t="s">
        <v>196</v>
      </c>
      <c r="C291" s="30" t="s">
        <v>177</v>
      </c>
      <c r="D291" s="30" t="s">
        <v>195</v>
      </c>
      <c r="E291" t="s">
        <v>946</v>
      </c>
      <c r="F291" s="25">
        <v>13500</v>
      </c>
      <c r="G291" s="29"/>
      <c r="H291" t="s">
        <v>674</v>
      </c>
      <c r="I291" t="s">
        <v>35</v>
      </c>
      <c r="J291" t="s">
        <v>35</v>
      </c>
      <c r="K291" t="s">
        <v>675</v>
      </c>
      <c r="L291" s="29">
        <v>46304</v>
      </c>
    </row>
    <row r="292" spans="1:12" x14ac:dyDescent="0.25">
      <c r="A292" t="s">
        <v>969</v>
      </c>
      <c r="B292" t="s">
        <v>201</v>
      </c>
      <c r="C292" s="30" t="s">
        <v>198</v>
      </c>
      <c r="D292" s="30" t="s">
        <v>199</v>
      </c>
      <c r="E292" t="s">
        <v>946</v>
      </c>
      <c r="F292" s="25">
        <v>7000</v>
      </c>
      <c r="G292" s="29"/>
      <c r="H292" t="s">
        <v>674</v>
      </c>
      <c r="I292" t="s">
        <v>35</v>
      </c>
      <c r="J292" t="s">
        <v>35</v>
      </c>
      <c r="K292" t="s">
        <v>675</v>
      </c>
      <c r="L292" s="29">
        <v>46304</v>
      </c>
    </row>
    <row r="293" spans="1:12" x14ac:dyDescent="0.25">
      <c r="A293" t="s">
        <v>970</v>
      </c>
      <c r="B293" t="s">
        <v>205</v>
      </c>
      <c r="C293" s="30" t="s">
        <v>198</v>
      </c>
      <c r="D293" s="30" t="s">
        <v>204</v>
      </c>
      <c r="E293" t="s">
        <v>946</v>
      </c>
      <c r="F293" s="25">
        <v>6000</v>
      </c>
      <c r="G293" s="29"/>
      <c r="H293" t="s">
        <v>674</v>
      </c>
      <c r="I293" t="s">
        <v>35</v>
      </c>
      <c r="J293" t="s">
        <v>35</v>
      </c>
      <c r="K293" t="s">
        <v>675</v>
      </c>
      <c r="L293" s="29">
        <v>46304</v>
      </c>
    </row>
    <row r="294" spans="1:12" x14ac:dyDescent="0.25">
      <c r="A294" t="s">
        <v>971</v>
      </c>
      <c r="B294" t="s">
        <v>208</v>
      </c>
      <c r="C294" s="30" t="s">
        <v>198</v>
      </c>
      <c r="D294" s="30" t="s">
        <v>207</v>
      </c>
      <c r="E294" t="s">
        <v>946</v>
      </c>
      <c r="F294" s="25">
        <v>6000</v>
      </c>
      <c r="G294" s="29"/>
      <c r="H294" t="s">
        <v>674</v>
      </c>
      <c r="I294" t="s">
        <v>35</v>
      </c>
      <c r="J294" t="s">
        <v>35</v>
      </c>
      <c r="K294" t="s">
        <v>675</v>
      </c>
      <c r="L294" s="29">
        <v>46304</v>
      </c>
    </row>
    <row r="295" spans="1:12" x14ac:dyDescent="0.25">
      <c r="A295" t="s">
        <v>972</v>
      </c>
      <c r="B295" t="s">
        <v>214</v>
      </c>
      <c r="C295" s="30" t="s">
        <v>210</v>
      </c>
      <c r="D295" s="30" t="s">
        <v>212</v>
      </c>
      <c r="E295" t="s">
        <v>946</v>
      </c>
      <c r="F295" s="25">
        <v>11495</v>
      </c>
      <c r="G295" s="29"/>
      <c r="H295" t="s">
        <v>674</v>
      </c>
      <c r="I295" t="s">
        <v>35</v>
      </c>
      <c r="J295" t="s">
        <v>35</v>
      </c>
      <c r="K295" t="s">
        <v>675</v>
      </c>
      <c r="L295" s="29">
        <v>46304</v>
      </c>
    </row>
    <row r="296" spans="1:12" x14ac:dyDescent="0.25">
      <c r="A296" t="s">
        <v>973</v>
      </c>
      <c r="B296" t="s">
        <v>220</v>
      </c>
      <c r="C296" s="30" t="s">
        <v>217</v>
      </c>
      <c r="D296" s="30" t="s">
        <v>100</v>
      </c>
      <c r="E296" t="s">
        <v>946</v>
      </c>
      <c r="F296" s="25">
        <v>16500</v>
      </c>
      <c r="G296" s="29"/>
      <c r="H296" t="s">
        <v>674</v>
      </c>
      <c r="I296" t="s">
        <v>35</v>
      </c>
      <c r="J296" t="s">
        <v>35</v>
      </c>
      <c r="K296" t="s">
        <v>675</v>
      </c>
      <c r="L296" s="29">
        <v>46304</v>
      </c>
    </row>
    <row r="297" spans="1:12" x14ac:dyDescent="0.25">
      <c r="A297" t="s">
        <v>974</v>
      </c>
      <c r="B297" t="s">
        <v>227</v>
      </c>
      <c r="C297" s="30" t="s">
        <v>223</v>
      </c>
      <c r="D297" s="30" t="s">
        <v>225</v>
      </c>
      <c r="E297" t="s">
        <v>946</v>
      </c>
      <c r="F297" s="25">
        <v>12500</v>
      </c>
      <c r="G297" s="29"/>
      <c r="H297" t="s">
        <v>674</v>
      </c>
      <c r="I297" t="s">
        <v>35</v>
      </c>
      <c r="J297" t="s">
        <v>35</v>
      </c>
      <c r="K297" t="s">
        <v>675</v>
      </c>
      <c r="L297" s="29">
        <v>46304</v>
      </c>
    </row>
    <row r="298" spans="1:12" x14ac:dyDescent="0.25">
      <c r="A298" t="s">
        <v>975</v>
      </c>
      <c r="B298" t="s">
        <v>238</v>
      </c>
      <c r="C298" s="30" t="s">
        <v>235</v>
      </c>
      <c r="D298" s="30" t="s">
        <v>236</v>
      </c>
      <c r="E298" t="s">
        <v>946</v>
      </c>
      <c r="F298" s="25">
        <v>14000</v>
      </c>
      <c r="G298" s="29"/>
      <c r="H298" t="s">
        <v>674</v>
      </c>
      <c r="I298" t="s">
        <v>35</v>
      </c>
      <c r="J298" t="s">
        <v>35</v>
      </c>
      <c r="K298" t="s">
        <v>675</v>
      </c>
      <c r="L298" s="29">
        <v>46304</v>
      </c>
    </row>
    <row r="299" spans="1:12" x14ac:dyDescent="0.25">
      <c r="A299" t="s">
        <v>976</v>
      </c>
      <c r="B299" t="s">
        <v>245</v>
      </c>
      <c r="C299" s="30" t="s">
        <v>241</v>
      </c>
      <c r="D299" s="30" t="s">
        <v>243</v>
      </c>
      <c r="E299" t="s">
        <v>946</v>
      </c>
      <c r="F299" s="25">
        <v>16500</v>
      </c>
      <c r="G299" s="29"/>
      <c r="H299" t="s">
        <v>674</v>
      </c>
      <c r="I299" t="s">
        <v>35</v>
      </c>
      <c r="J299" t="s">
        <v>35</v>
      </c>
      <c r="K299" t="s">
        <v>675</v>
      </c>
      <c r="L299" s="29">
        <v>46304</v>
      </c>
    </row>
    <row r="300" spans="1:12" x14ac:dyDescent="0.25">
      <c r="A300" t="s">
        <v>977</v>
      </c>
      <c r="B300" t="s">
        <v>252</v>
      </c>
      <c r="C300" s="30" t="s">
        <v>248</v>
      </c>
      <c r="D300" s="30" t="s">
        <v>250</v>
      </c>
      <c r="E300" t="s">
        <v>946</v>
      </c>
      <c r="F300" s="25">
        <v>20000</v>
      </c>
      <c r="G300" s="29"/>
      <c r="H300" t="s">
        <v>674</v>
      </c>
      <c r="I300" t="s">
        <v>35</v>
      </c>
      <c r="J300" t="s">
        <v>35</v>
      </c>
      <c r="K300" t="s">
        <v>675</v>
      </c>
      <c r="L300" s="29">
        <v>46304</v>
      </c>
    </row>
    <row r="301" spans="1:12" x14ac:dyDescent="0.25">
      <c r="A301" t="s">
        <v>978</v>
      </c>
      <c r="B301" t="s">
        <v>260</v>
      </c>
      <c r="C301" s="30" t="s">
        <v>255</v>
      </c>
      <c r="D301" s="30" t="s">
        <v>257</v>
      </c>
      <c r="E301" t="s">
        <v>946</v>
      </c>
      <c r="F301" s="25">
        <v>21175</v>
      </c>
      <c r="G301" s="29"/>
      <c r="H301" t="s">
        <v>674</v>
      </c>
      <c r="I301" t="s">
        <v>35</v>
      </c>
      <c r="J301" t="s">
        <v>35</v>
      </c>
      <c r="K301" t="s">
        <v>675</v>
      </c>
      <c r="L301" s="29">
        <v>46304</v>
      </c>
    </row>
    <row r="302" spans="1:12" x14ac:dyDescent="0.25">
      <c r="A302" t="s">
        <v>979</v>
      </c>
      <c r="B302" t="s">
        <v>265</v>
      </c>
      <c r="C302" s="30" t="s">
        <v>263</v>
      </c>
      <c r="D302" s="30" t="s">
        <v>107</v>
      </c>
      <c r="E302" t="s">
        <v>946</v>
      </c>
      <c r="F302" s="25">
        <v>17000</v>
      </c>
      <c r="G302" s="29"/>
      <c r="H302" t="s">
        <v>674</v>
      </c>
      <c r="I302" t="s">
        <v>35</v>
      </c>
      <c r="J302" t="s">
        <v>35</v>
      </c>
      <c r="K302" t="s">
        <v>675</v>
      </c>
      <c r="L302" s="29">
        <v>46304</v>
      </c>
    </row>
    <row r="303" spans="1:12" x14ac:dyDescent="0.25">
      <c r="A303" t="s">
        <v>980</v>
      </c>
      <c r="B303" t="s">
        <v>271</v>
      </c>
      <c r="C303" s="30" t="s">
        <v>268</v>
      </c>
      <c r="D303" s="30" t="s">
        <v>113</v>
      </c>
      <c r="E303" t="s">
        <v>946</v>
      </c>
      <c r="F303" s="25">
        <v>17000</v>
      </c>
      <c r="G303" s="29"/>
      <c r="H303" t="s">
        <v>674</v>
      </c>
      <c r="I303" t="s">
        <v>35</v>
      </c>
      <c r="J303" t="s">
        <v>35</v>
      </c>
      <c r="K303" t="s">
        <v>675</v>
      </c>
      <c r="L303" s="29">
        <v>46304</v>
      </c>
    </row>
    <row r="304" spans="1:12" x14ac:dyDescent="0.25">
      <c r="A304" t="s">
        <v>981</v>
      </c>
      <c r="B304" t="s">
        <v>274</v>
      </c>
      <c r="C304" s="30" t="s">
        <v>177</v>
      </c>
      <c r="D304" s="30" t="s">
        <v>120</v>
      </c>
      <c r="E304" t="s">
        <v>946</v>
      </c>
      <c r="F304" s="25">
        <v>19000</v>
      </c>
      <c r="G304" s="29"/>
      <c r="H304" t="s">
        <v>674</v>
      </c>
      <c r="I304" t="s">
        <v>35</v>
      </c>
      <c r="J304" t="s">
        <v>35</v>
      </c>
      <c r="K304" t="s">
        <v>675</v>
      </c>
      <c r="L304" s="29">
        <v>46304</v>
      </c>
    </row>
    <row r="305" spans="1:12" x14ac:dyDescent="0.25">
      <c r="A305" t="s">
        <v>982</v>
      </c>
      <c r="B305" t="s">
        <v>290</v>
      </c>
      <c r="C305" s="30" t="s">
        <v>285</v>
      </c>
      <c r="D305" s="30" t="s">
        <v>287</v>
      </c>
      <c r="E305" t="s">
        <v>946</v>
      </c>
      <c r="F305" s="25">
        <v>11500</v>
      </c>
      <c r="G305" s="29"/>
      <c r="H305" t="s">
        <v>674</v>
      </c>
      <c r="I305" t="s">
        <v>35</v>
      </c>
      <c r="J305" t="s">
        <v>35</v>
      </c>
      <c r="K305" t="s">
        <v>675</v>
      </c>
      <c r="L305" s="29">
        <v>46304</v>
      </c>
    </row>
    <row r="306" spans="1:12" x14ac:dyDescent="0.25">
      <c r="A306" t="s">
        <v>983</v>
      </c>
      <c r="B306" t="s">
        <v>296</v>
      </c>
      <c r="C306" s="30" t="s">
        <v>293</v>
      </c>
      <c r="D306" s="30" t="s">
        <v>294</v>
      </c>
      <c r="E306" t="s">
        <v>946</v>
      </c>
      <c r="F306" s="25">
        <v>11195</v>
      </c>
      <c r="G306" s="29"/>
      <c r="H306" t="s">
        <v>674</v>
      </c>
      <c r="I306" t="s">
        <v>35</v>
      </c>
      <c r="J306" t="s">
        <v>35</v>
      </c>
      <c r="K306" t="s">
        <v>675</v>
      </c>
      <c r="L306" s="29">
        <v>46304</v>
      </c>
    </row>
    <row r="307" spans="1:12" x14ac:dyDescent="0.25">
      <c r="A307" t="s">
        <v>984</v>
      </c>
      <c r="B307" t="s">
        <v>303</v>
      </c>
      <c r="C307" s="30" t="s">
        <v>299</v>
      </c>
      <c r="D307" s="30" t="s">
        <v>301</v>
      </c>
      <c r="E307" t="s">
        <v>946</v>
      </c>
      <c r="F307" s="25">
        <v>12100</v>
      </c>
      <c r="G307" s="29"/>
      <c r="H307" t="s">
        <v>674</v>
      </c>
      <c r="I307" t="s">
        <v>35</v>
      </c>
      <c r="J307" t="s">
        <v>35</v>
      </c>
      <c r="K307" t="s">
        <v>675</v>
      </c>
      <c r="L307" s="29">
        <v>46304</v>
      </c>
    </row>
    <row r="308" spans="1:12" x14ac:dyDescent="0.25">
      <c r="A308" t="s">
        <v>985</v>
      </c>
      <c r="B308" t="s">
        <v>310</v>
      </c>
      <c r="C308" s="30" t="s">
        <v>306</v>
      </c>
      <c r="D308" s="30" t="s">
        <v>131</v>
      </c>
      <c r="E308" t="s">
        <v>946</v>
      </c>
      <c r="F308" s="25">
        <v>11000</v>
      </c>
      <c r="G308" s="29"/>
      <c r="H308" t="s">
        <v>674</v>
      </c>
      <c r="I308" t="s">
        <v>35</v>
      </c>
      <c r="J308" t="s">
        <v>35</v>
      </c>
      <c r="K308" t="s">
        <v>675</v>
      </c>
      <c r="L308" s="29">
        <v>46304</v>
      </c>
    </row>
    <row r="309" spans="1:12" x14ac:dyDescent="0.25">
      <c r="A309" t="s">
        <v>986</v>
      </c>
      <c r="B309" t="s">
        <v>317</v>
      </c>
      <c r="C309" s="30" t="s">
        <v>313</v>
      </c>
      <c r="D309" s="30" t="s">
        <v>315</v>
      </c>
      <c r="E309" t="s">
        <v>946</v>
      </c>
      <c r="F309" s="25">
        <v>16335</v>
      </c>
      <c r="G309" s="29"/>
      <c r="H309" t="s">
        <v>674</v>
      </c>
      <c r="I309" t="s">
        <v>35</v>
      </c>
      <c r="J309" t="s">
        <v>35</v>
      </c>
      <c r="K309" t="s">
        <v>675</v>
      </c>
      <c r="L309" s="29">
        <v>46304</v>
      </c>
    </row>
    <row r="310" spans="1:12" x14ac:dyDescent="0.25">
      <c r="A310" t="s">
        <v>987</v>
      </c>
      <c r="B310" t="s">
        <v>322</v>
      </c>
      <c r="C310" s="30" t="s">
        <v>320</v>
      </c>
      <c r="D310" s="30" t="s">
        <v>138</v>
      </c>
      <c r="E310" t="s">
        <v>946</v>
      </c>
      <c r="F310" s="25">
        <v>12000</v>
      </c>
      <c r="G310" s="29"/>
      <c r="H310" t="s">
        <v>674</v>
      </c>
      <c r="I310" t="s">
        <v>35</v>
      </c>
      <c r="J310" t="s">
        <v>35</v>
      </c>
      <c r="K310" t="s">
        <v>675</v>
      </c>
      <c r="L310" s="29">
        <v>46304</v>
      </c>
    </row>
    <row r="311" spans="1:12" x14ac:dyDescent="0.25">
      <c r="A311" t="s">
        <v>988</v>
      </c>
      <c r="B311" t="s">
        <v>329</v>
      </c>
      <c r="C311" s="30" t="s">
        <v>325</v>
      </c>
      <c r="D311" s="30" t="s">
        <v>327</v>
      </c>
      <c r="E311" t="s">
        <v>946</v>
      </c>
      <c r="F311" s="25">
        <v>14000</v>
      </c>
      <c r="G311" s="29"/>
      <c r="H311" t="s">
        <v>674</v>
      </c>
      <c r="I311" t="s">
        <v>35</v>
      </c>
      <c r="J311" t="s">
        <v>35</v>
      </c>
      <c r="K311" t="s">
        <v>675</v>
      </c>
      <c r="L311" s="29">
        <v>46304</v>
      </c>
    </row>
    <row r="312" spans="1:12" x14ac:dyDescent="0.25">
      <c r="A312" t="s">
        <v>989</v>
      </c>
      <c r="B312" t="s">
        <v>336</v>
      </c>
      <c r="C312" s="30" t="s">
        <v>332</v>
      </c>
      <c r="D312" s="30" t="s">
        <v>334</v>
      </c>
      <c r="E312" t="s">
        <v>946</v>
      </c>
      <c r="F312" s="25">
        <v>16035</v>
      </c>
      <c r="G312" s="29"/>
      <c r="H312" t="s">
        <v>674</v>
      </c>
      <c r="I312" t="s">
        <v>35</v>
      </c>
      <c r="J312" t="s">
        <v>35</v>
      </c>
      <c r="K312" t="s">
        <v>675</v>
      </c>
      <c r="L312" s="29">
        <v>46304</v>
      </c>
    </row>
    <row r="313" spans="1:12" x14ac:dyDescent="0.25">
      <c r="A313" t="s">
        <v>990</v>
      </c>
      <c r="B313" t="s">
        <v>343</v>
      </c>
      <c r="C313" s="30" t="s">
        <v>339</v>
      </c>
      <c r="D313" s="30" t="s">
        <v>340</v>
      </c>
      <c r="E313" t="s">
        <v>946</v>
      </c>
      <c r="F313" s="25">
        <v>16500</v>
      </c>
      <c r="G313" s="29"/>
      <c r="H313" t="s">
        <v>674</v>
      </c>
      <c r="I313" t="s">
        <v>35</v>
      </c>
      <c r="J313" t="s">
        <v>35</v>
      </c>
      <c r="K313" t="s">
        <v>675</v>
      </c>
      <c r="L313" s="29">
        <v>46304</v>
      </c>
    </row>
    <row r="314" spans="1:12" x14ac:dyDescent="0.25">
      <c r="A314" t="s">
        <v>991</v>
      </c>
      <c r="B314" t="s">
        <v>349</v>
      </c>
      <c r="C314" s="30" t="s">
        <v>346</v>
      </c>
      <c r="D314" s="30" t="s">
        <v>347</v>
      </c>
      <c r="E314" t="s">
        <v>946</v>
      </c>
      <c r="F314" s="25">
        <v>18500</v>
      </c>
      <c r="G314" s="29"/>
      <c r="H314" t="s">
        <v>674</v>
      </c>
      <c r="I314" t="s">
        <v>35</v>
      </c>
      <c r="J314" t="s">
        <v>35</v>
      </c>
      <c r="K314" t="s">
        <v>675</v>
      </c>
      <c r="L314" s="29">
        <v>46304</v>
      </c>
    </row>
    <row r="315" spans="1:12" x14ac:dyDescent="0.25">
      <c r="A315" t="s">
        <v>992</v>
      </c>
      <c r="B315" t="s">
        <v>356</v>
      </c>
      <c r="C315" s="30" t="s">
        <v>352</v>
      </c>
      <c r="D315" s="30" t="s">
        <v>354</v>
      </c>
      <c r="E315" t="s">
        <v>946</v>
      </c>
      <c r="F315" s="25">
        <v>15000</v>
      </c>
      <c r="G315" s="29"/>
      <c r="H315" t="s">
        <v>674</v>
      </c>
      <c r="I315" t="s">
        <v>35</v>
      </c>
      <c r="J315" t="s">
        <v>35</v>
      </c>
      <c r="K315" t="s">
        <v>675</v>
      </c>
      <c r="L315" s="29">
        <v>46304</v>
      </c>
    </row>
    <row r="316" spans="1:12" x14ac:dyDescent="0.25">
      <c r="A316" t="s">
        <v>993</v>
      </c>
      <c r="B316" t="s">
        <v>359</v>
      </c>
      <c r="C316" s="30" t="s">
        <v>352</v>
      </c>
      <c r="D316" s="30" t="s">
        <v>144</v>
      </c>
      <c r="E316" t="s">
        <v>946</v>
      </c>
      <c r="F316" s="25">
        <v>15000</v>
      </c>
      <c r="G316" s="29"/>
      <c r="H316" t="s">
        <v>674</v>
      </c>
      <c r="I316" t="s">
        <v>35</v>
      </c>
      <c r="J316" t="s">
        <v>35</v>
      </c>
      <c r="K316" t="s">
        <v>675</v>
      </c>
      <c r="L316" s="29">
        <v>46304</v>
      </c>
    </row>
    <row r="317" spans="1:12" x14ac:dyDescent="0.25">
      <c r="A317" t="s">
        <v>994</v>
      </c>
      <c r="B317" t="s">
        <v>364</v>
      </c>
      <c r="C317" s="30" t="s">
        <v>361</v>
      </c>
      <c r="D317" s="30" t="s">
        <v>151</v>
      </c>
      <c r="E317" t="s">
        <v>946</v>
      </c>
      <c r="F317" s="25">
        <v>11195</v>
      </c>
      <c r="G317" s="29"/>
      <c r="H317" t="s">
        <v>674</v>
      </c>
      <c r="I317" t="s">
        <v>35</v>
      </c>
      <c r="J317" t="s">
        <v>35</v>
      </c>
      <c r="K317" t="s">
        <v>675</v>
      </c>
      <c r="L317" s="29">
        <v>46304</v>
      </c>
    </row>
    <row r="318" spans="1:12" x14ac:dyDescent="0.25">
      <c r="A318" t="s">
        <v>995</v>
      </c>
      <c r="B318" t="s">
        <v>370</v>
      </c>
      <c r="C318" s="30" t="s">
        <v>367</v>
      </c>
      <c r="D318" s="30" t="s">
        <v>157</v>
      </c>
      <c r="E318" t="s">
        <v>946</v>
      </c>
      <c r="F318" s="25">
        <v>10000</v>
      </c>
      <c r="G318" s="29"/>
      <c r="H318" t="s">
        <v>674</v>
      </c>
      <c r="I318" t="s">
        <v>35</v>
      </c>
      <c r="J318" t="s">
        <v>35</v>
      </c>
      <c r="K318" t="s">
        <v>675</v>
      </c>
      <c r="L318" s="29">
        <v>46304</v>
      </c>
    </row>
    <row r="319" spans="1:12" x14ac:dyDescent="0.25">
      <c r="A319" t="s">
        <v>996</v>
      </c>
      <c r="B319" t="s">
        <v>374</v>
      </c>
      <c r="C319" s="30" t="s">
        <v>198</v>
      </c>
      <c r="D319" s="30" t="s">
        <v>373</v>
      </c>
      <c r="E319" t="s">
        <v>946</v>
      </c>
      <c r="F319" s="25">
        <v>11000</v>
      </c>
      <c r="G319" s="29"/>
      <c r="H319" t="s">
        <v>674</v>
      </c>
      <c r="I319" t="s">
        <v>35</v>
      </c>
      <c r="J319" t="s">
        <v>35</v>
      </c>
      <c r="K319" t="s">
        <v>675</v>
      </c>
      <c r="L319" s="29">
        <v>46304</v>
      </c>
    </row>
    <row r="320" spans="1:12" x14ac:dyDescent="0.25">
      <c r="A320" t="s">
        <v>997</v>
      </c>
      <c r="B320" t="s">
        <v>380</v>
      </c>
      <c r="C320" s="30" t="s">
        <v>376</v>
      </c>
      <c r="D320" s="30" t="s">
        <v>378</v>
      </c>
      <c r="E320" t="s">
        <v>946</v>
      </c>
      <c r="F320" s="25">
        <v>17000</v>
      </c>
      <c r="G320" s="29"/>
      <c r="H320" t="s">
        <v>674</v>
      </c>
      <c r="I320" t="s">
        <v>35</v>
      </c>
      <c r="J320" t="s">
        <v>35</v>
      </c>
      <c r="K320" t="s">
        <v>675</v>
      </c>
      <c r="L320" s="29">
        <v>46304</v>
      </c>
    </row>
    <row r="321" spans="1:12" x14ac:dyDescent="0.25">
      <c r="A321" t="s">
        <v>998</v>
      </c>
      <c r="B321" t="s">
        <v>395</v>
      </c>
      <c r="C321" s="30" t="s">
        <v>391</v>
      </c>
      <c r="D321" s="30" t="s">
        <v>393</v>
      </c>
      <c r="E321" t="s">
        <v>946</v>
      </c>
      <c r="F321" s="25">
        <v>9680</v>
      </c>
      <c r="G321" s="29"/>
      <c r="H321" t="s">
        <v>674</v>
      </c>
      <c r="I321" t="s">
        <v>35</v>
      </c>
      <c r="J321" t="s">
        <v>35</v>
      </c>
      <c r="K321" t="s">
        <v>675</v>
      </c>
      <c r="L321" s="29">
        <v>46304</v>
      </c>
    </row>
    <row r="322" spans="1:12" x14ac:dyDescent="0.25">
      <c r="A322" t="s">
        <v>999</v>
      </c>
      <c r="B322" t="s">
        <v>403</v>
      </c>
      <c r="C322" s="30" t="s">
        <v>398</v>
      </c>
      <c r="D322" s="30" t="s">
        <v>400</v>
      </c>
      <c r="E322" t="s">
        <v>946</v>
      </c>
      <c r="F322" s="25">
        <v>19000</v>
      </c>
      <c r="G322" s="29"/>
      <c r="H322" t="s">
        <v>674</v>
      </c>
      <c r="I322" t="s">
        <v>35</v>
      </c>
      <c r="J322" t="s">
        <v>35</v>
      </c>
      <c r="K322" t="s">
        <v>675</v>
      </c>
      <c r="L322" s="29">
        <v>46304</v>
      </c>
    </row>
    <row r="323" spans="1:12" x14ac:dyDescent="0.25">
      <c r="A323" t="s">
        <v>1000</v>
      </c>
      <c r="B323" t="s">
        <v>409</v>
      </c>
      <c r="C323" s="30" t="s">
        <v>406</v>
      </c>
      <c r="D323" s="30" t="s">
        <v>407</v>
      </c>
      <c r="E323" t="s">
        <v>946</v>
      </c>
      <c r="F323" s="25">
        <v>11495</v>
      </c>
      <c r="G323" s="29"/>
      <c r="H323" t="s">
        <v>674</v>
      </c>
      <c r="I323" t="s">
        <v>35</v>
      </c>
      <c r="J323" t="s">
        <v>35</v>
      </c>
      <c r="K323" t="s">
        <v>675</v>
      </c>
      <c r="L323" s="29">
        <v>46304</v>
      </c>
    </row>
    <row r="324" spans="1:12" x14ac:dyDescent="0.25">
      <c r="A324" t="s">
        <v>1001</v>
      </c>
      <c r="B324" t="s">
        <v>415</v>
      </c>
      <c r="C324" s="30" t="s">
        <v>412</v>
      </c>
      <c r="D324" s="30" t="s">
        <v>413</v>
      </c>
      <c r="E324" t="s">
        <v>946</v>
      </c>
      <c r="F324" s="25">
        <v>11000</v>
      </c>
      <c r="G324" s="29"/>
      <c r="H324" t="s">
        <v>674</v>
      </c>
      <c r="I324" t="s">
        <v>35</v>
      </c>
      <c r="J324" t="s">
        <v>35</v>
      </c>
      <c r="K324" t="s">
        <v>675</v>
      </c>
      <c r="L324" s="29">
        <v>46304</v>
      </c>
    </row>
    <row r="325" spans="1:12" x14ac:dyDescent="0.25">
      <c r="A325" t="s">
        <v>1002</v>
      </c>
      <c r="B325" t="s">
        <v>423</v>
      </c>
      <c r="C325" s="30" t="s">
        <v>418</v>
      </c>
      <c r="D325" s="30" t="s">
        <v>419</v>
      </c>
      <c r="E325" t="s">
        <v>946</v>
      </c>
      <c r="F325" s="25">
        <v>8775</v>
      </c>
      <c r="G325" s="29"/>
      <c r="H325" t="s">
        <v>674</v>
      </c>
      <c r="I325" t="s">
        <v>35</v>
      </c>
      <c r="J325" t="s">
        <v>35</v>
      </c>
      <c r="K325" t="s">
        <v>675</v>
      </c>
      <c r="L325" s="29">
        <v>46304</v>
      </c>
    </row>
    <row r="326" spans="1:12" x14ac:dyDescent="0.25">
      <c r="A326" t="s">
        <v>1003</v>
      </c>
      <c r="B326" t="s">
        <v>430</v>
      </c>
      <c r="C326" s="30" t="s">
        <v>426</v>
      </c>
      <c r="D326" s="30" t="s">
        <v>428</v>
      </c>
      <c r="E326" t="s">
        <v>946</v>
      </c>
      <c r="F326" s="25">
        <v>15000</v>
      </c>
      <c r="G326" s="29"/>
      <c r="H326" t="s">
        <v>674</v>
      </c>
      <c r="I326" t="s">
        <v>35</v>
      </c>
      <c r="J326" t="s">
        <v>35</v>
      </c>
      <c r="K326" t="s">
        <v>675</v>
      </c>
      <c r="L326" s="29">
        <v>46304</v>
      </c>
    </row>
    <row r="327" spans="1:12" x14ac:dyDescent="0.25">
      <c r="A327" t="s">
        <v>1004</v>
      </c>
      <c r="B327" t="s">
        <v>445</v>
      </c>
      <c r="C327" s="30" t="s">
        <v>441</v>
      </c>
      <c r="D327" s="30" t="s">
        <v>443</v>
      </c>
      <c r="E327" t="s">
        <v>946</v>
      </c>
      <c r="F327" s="25">
        <v>13000</v>
      </c>
      <c r="G327" s="29"/>
      <c r="H327" t="s">
        <v>674</v>
      </c>
      <c r="I327" t="s">
        <v>35</v>
      </c>
      <c r="J327" t="s">
        <v>35</v>
      </c>
      <c r="K327" t="s">
        <v>675</v>
      </c>
      <c r="L327" s="29">
        <v>46304</v>
      </c>
    </row>
    <row r="328" spans="1:12" x14ac:dyDescent="0.25">
      <c r="A328" t="s">
        <v>1005</v>
      </c>
      <c r="B328" t="s">
        <v>453</v>
      </c>
      <c r="C328" s="30" t="s">
        <v>448</v>
      </c>
      <c r="D328" s="30" t="s">
        <v>450</v>
      </c>
      <c r="E328" t="s">
        <v>946</v>
      </c>
      <c r="F328" s="25">
        <v>17000</v>
      </c>
      <c r="G328" s="29"/>
      <c r="H328" t="s">
        <v>674</v>
      </c>
      <c r="I328" t="s">
        <v>35</v>
      </c>
      <c r="J328" t="s">
        <v>35</v>
      </c>
      <c r="K328" t="s">
        <v>675</v>
      </c>
      <c r="L328" s="29">
        <v>46304</v>
      </c>
    </row>
    <row r="329" spans="1:12" x14ac:dyDescent="0.25">
      <c r="A329" t="s">
        <v>1006</v>
      </c>
      <c r="B329" t="s">
        <v>467</v>
      </c>
      <c r="C329" s="30" t="s">
        <v>463</v>
      </c>
      <c r="D329" s="30" t="s">
        <v>465</v>
      </c>
      <c r="E329" t="s">
        <v>946</v>
      </c>
      <c r="F329" s="25">
        <v>11000</v>
      </c>
      <c r="G329" s="29"/>
      <c r="H329" t="s">
        <v>674</v>
      </c>
      <c r="I329" t="s">
        <v>35</v>
      </c>
      <c r="J329" t="s">
        <v>35</v>
      </c>
      <c r="K329" t="s">
        <v>675</v>
      </c>
      <c r="L329" s="29">
        <v>46304</v>
      </c>
    </row>
    <row r="330" spans="1:12" x14ac:dyDescent="0.25">
      <c r="A330" t="s">
        <v>1007</v>
      </c>
      <c r="B330" t="s">
        <v>473</v>
      </c>
      <c r="C330" s="30" t="s">
        <v>470</v>
      </c>
      <c r="D330" s="30" t="s">
        <v>471</v>
      </c>
      <c r="E330" t="s">
        <v>946</v>
      </c>
      <c r="F330" s="25">
        <v>11000</v>
      </c>
      <c r="G330" s="29"/>
      <c r="H330" t="s">
        <v>674</v>
      </c>
      <c r="I330" t="s">
        <v>35</v>
      </c>
      <c r="J330" t="s">
        <v>35</v>
      </c>
      <c r="K330" t="s">
        <v>675</v>
      </c>
      <c r="L330" s="29">
        <v>46304</v>
      </c>
    </row>
    <row r="331" spans="1:12" x14ac:dyDescent="0.25">
      <c r="A331" t="s">
        <v>1008</v>
      </c>
      <c r="B331" t="s">
        <v>481</v>
      </c>
      <c r="C331" s="30" t="s">
        <v>476</v>
      </c>
      <c r="D331" s="30" t="s">
        <v>478</v>
      </c>
      <c r="E331" t="s">
        <v>946</v>
      </c>
      <c r="F331" s="25">
        <v>10890</v>
      </c>
      <c r="G331" s="29"/>
      <c r="H331" t="s">
        <v>674</v>
      </c>
      <c r="I331" t="s">
        <v>35</v>
      </c>
      <c r="J331" t="s">
        <v>35</v>
      </c>
      <c r="K331" t="s">
        <v>675</v>
      </c>
      <c r="L331" s="29">
        <v>46304</v>
      </c>
    </row>
    <row r="332" spans="1:12" x14ac:dyDescent="0.25">
      <c r="A332" t="s">
        <v>1009</v>
      </c>
      <c r="B332" t="s">
        <v>488</v>
      </c>
      <c r="C332" s="30" t="s">
        <v>484</v>
      </c>
      <c r="D332" s="30" t="s">
        <v>486</v>
      </c>
      <c r="E332" t="s">
        <v>946</v>
      </c>
      <c r="F332" s="25">
        <v>13000</v>
      </c>
      <c r="G332" s="29"/>
      <c r="H332" t="s">
        <v>674</v>
      </c>
      <c r="I332" t="s">
        <v>35</v>
      </c>
      <c r="J332" t="s">
        <v>35</v>
      </c>
      <c r="K332" t="s">
        <v>675</v>
      </c>
      <c r="L332" s="29">
        <v>46304</v>
      </c>
    </row>
    <row r="333" spans="1:12" x14ac:dyDescent="0.25">
      <c r="A333" t="s">
        <v>1010</v>
      </c>
      <c r="B333" t="s">
        <v>492</v>
      </c>
      <c r="C333" s="30" t="s">
        <v>484</v>
      </c>
      <c r="D333" s="30" t="s">
        <v>491</v>
      </c>
      <c r="E333" t="s">
        <v>946</v>
      </c>
      <c r="F333" s="25">
        <v>13000</v>
      </c>
      <c r="G333" s="29"/>
      <c r="H333" t="s">
        <v>674</v>
      </c>
      <c r="I333" t="s">
        <v>35</v>
      </c>
      <c r="J333" t="s">
        <v>35</v>
      </c>
      <c r="K333" t="s">
        <v>675</v>
      </c>
      <c r="L333" s="29">
        <v>46304</v>
      </c>
    </row>
    <row r="334" spans="1:12" x14ac:dyDescent="0.25">
      <c r="A334" t="s">
        <v>1011</v>
      </c>
      <c r="B334" t="s">
        <v>52</v>
      </c>
      <c r="C334" s="30" t="s">
        <v>47</v>
      </c>
      <c r="D334" s="30" t="s">
        <v>49</v>
      </c>
      <c r="E334" t="s">
        <v>1012</v>
      </c>
      <c r="F334" s="25">
        <v>49610</v>
      </c>
      <c r="G334" s="29"/>
      <c r="H334" t="s">
        <v>674</v>
      </c>
      <c r="I334" t="s">
        <v>35</v>
      </c>
      <c r="J334" t="s">
        <v>35</v>
      </c>
      <c r="K334" t="s">
        <v>675</v>
      </c>
      <c r="L334" s="29">
        <v>46304</v>
      </c>
    </row>
    <row r="335" spans="1:12" x14ac:dyDescent="0.25">
      <c r="A335" t="s">
        <v>1013</v>
      </c>
      <c r="B335" t="s">
        <v>63</v>
      </c>
      <c r="C335" s="30" t="s">
        <v>47</v>
      </c>
      <c r="D335" s="30" t="s">
        <v>62</v>
      </c>
      <c r="E335" t="s">
        <v>1012</v>
      </c>
      <c r="F335" s="25">
        <v>91960</v>
      </c>
      <c r="G335" s="29"/>
      <c r="H335" t="s">
        <v>674</v>
      </c>
      <c r="I335" t="s">
        <v>35</v>
      </c>
      <c r="J335" t="s">
        <v>35</v>
      </c>
      <c r="K335" t="s">
        <v>675</v>
      </c>
      <c r="L335" s="29">
        <v>46304</v>
      </c>
    </row>
    <row r="336" spans="1:12" x14ac:dyDescent="0.25">
      <c r="A336" t="s">
        <v>1014</v>
      </c>
      <c r="B336" t="s">
        <v>70</v>
      </c>
      <c r="C336" s="30" t="s">
        <v>65</v>
      </c>
      <c r="D336" s="30" t="s">
        <v>67</v>
      </c>
      <c r="E336" t="s">
        <v>1012</v>
      </c>
      <c r="F336" s="25">
        <v>30250</v>
      </c>
      <c r="G336" s="29"/>
      <c r="H336" t="s">
        <v>674</v>
      </c>
      <c r="I336" t="s">
        <v>35</v>
      </c>
      <c r="J336" t="s">
        <v>35</v>
      </c>
      <c r="K336" t="s">
        <v>675</v>
      </c>
      <c r="L336" s="29">
        <v>46304</v>
      </c>
    </row>
    <row r="337" spans="1:12" x14ac:dyDescent="0.25">
      <c r="A337" t="s">
        <v>1015</v>
      </c>
      <c r="B337" t="s">
        <v>86</v>
      </c>
      <c r="C337" s="30" t="s">
        <v>80</v>
      </c>
      <c r="D337" s="30" t="s">
        <v>82</v>
      </c>
      <c r="E337" t="s">
        <v>1012</v>
      </c>
      <c r="F337" s="25">
        <v>42350</v>
      </c>
      <c r="G337" s="29"/>
      <c r="H337" t="s">
        <v>674</v>
      </c>
      <c r="I337" t="s">
        <v>35</v>
      </c>
      <c r="J337" t="s">
        <v>35</v>
      </c>
      <c r="K337" t="s">
        <v>675</v>
      </c>
      <c r="L337" s="29">
        <v>46304</v>
      </c>
    </row>
    <row r="338" spans="1:12" x14ac:dyDescent="0.25">
      <c r="A338" t="s">
        <v>1016</v>
      </c>
      <c r="B338" t="s">
        <v>95</v>
      </c>
      <c r="C338" s="30" t="s">
        <v>90</v>
      </c>
      <c r="D338" s="30" t="s">
        <v>92</v>
      </c>
      <c r="E338" t="s">
        <v>1012</v>
      </c>
      <c r="F338" s="25">
        <v>25410</v>
      </c>
      <c r="G338" s="29"/>
      <c r="H338" t="s">
        <v>674</v>
      </c>
      <c r="I338" t="s">
        <v>35</v>
      </c>
      <c r="J338" t="s">
        <v>35</v>
      </c>
      <c r="K338" t="s">
        <v>675</v>
      </c>
      <c r="L338" s="29">
        <v>46304</v>
      </c>
    </row>
    <row r="339" spans="1:12" x14ac:dyDescent="0.25">
      <c r="A339" t="s">
        <v>1017</v>
      </c>
      <c r="B339" t="s">
        <v>103</v>
      </c>
      <c r="C339" s="30" t="s">
        <v>98</v>
      </c>
      <c r="D339" s="30" t="s">
        <v>100</v>
      </c>
      <c r="E339" t="s">
        <v>1012</v>
      </c>
      <c r="F339" s="25">
        <v>46585</v>
      </c>
      <c r="G339" s="29"/>
      <c r="H339" t="s">
        <v>674</v>
      </c>
      <c r="I339" t="s">
        <v>35</v>
      </c>
      <c r="J339" t="s">
        <v>35</v>
      </c>
      <c r="K339" t="s">
        <v>675</v>
      </c>
      <c r="L339" s="29">
        <v>46304</v>
      </c>
    </row>
    <row r="340" spans="1:12" x14ac:dyDescent="0.25">
      <c r="A340" t="s">
        <v>1018</v>
      </c>
      <c r="B340" t="s">
        <v>109</v>
      </c>
      <c r="C340" s="30" t="s">
        <v>106</v>
      </c>
      <c r="D340" s="30" t="s">
        <v>107</v>
      </c>
      <c r="E340" t="s">
        <v>1012</v>
      </c>
      <c r="F340" s="25">
        <v>37000</v>
      </c>
      <c r="G340" s="29"/>
      <c r="H340" t="s">
        <v>674</v>
      </c>
      <c r="I340" t="s">
        <v>35</v>
      </c>
      <c r="J340" t="s">
        <v>35</v>
      </c>
      <c r="K340" t="s">
        <v>675</v>
      </c>
      <c r="L340" s="29">
        <v>46304</v>
      </c>
    </row>
    <row r="341" spans="1:12" x14ac:dyDescent="0.25">
      <c r="A341" t="s">
        <v>1019</v>
      </c>
      <c r="B341" t="s">
        <v>115</v>
      </c>
      <c r="C341" s="30" t="s">
        <v>112</v>
      </c>
      <c r="D341" s="30" t="s">
        <v>113</v>
      </c>
      <c r="E341" t="s">
        <v>1012</v>
      </c>
      <c r="F341" s="25">
        <v>38500</v>
      </c>
      <c r="G341" s="29"/>
      <c r="H341" t="s">
        <v>674</v>
      </c>
      <c r="I341" t="s">
        <v>35</v>
      </c>
      <c r="J341" t="s">
        <v>35</v>
      </c>
      <c r="K341" t="s">
        <v>675</v>
      </c>
      <c r="L341" s="29">
        <v>46304</v>
      </c>
    </row>
    <row r="342" spans="1:12" x14ac:dyDescent="0.25">
      <c r="A342" t="s">
        <v>1020</v>
      </c>
      <c r="B342" t="s">
        <v>123</v>
      </c>
      <c r="C342" s="30" t="s">
        <v>118</v>
      </c>
      <c r="D342" s="30" t="s">
        <v>120</v>
      </c>
      <c r="E342" t="s">
        <v>1012</v>
      </c>
      <c r="F342" s="25">
        <v>43000</v>
      </c>
      <c r="G342" s="29"/>
      <c r="H342" t="s">
        <v>674</v>
      </c>
      <c r="I342" t="s">
        <v>35</v>
      </c>
      <c r="J342" t="s">
        <v>35</v>
      </c>
      <c r="K342" t="s">
        <v>675</v>
      </c>
      <c r="L342" s="29">
        <v>46304</v>
      </c>
    </row>
    <row r="343" spans="1:12" x14ac:dyDescent="0.25">
      <c r="A343" t="s">
        <v>1021</v>
      </c>
      <c r="B343" t="s">
        <v>127</v>
      </c>
      <c r="C343" s="30" t="s">
        <v>118</v>
      </c>
      <c r="D343" s="30" t="s">
        <v>126</v>
      </c>
      <c r="E343" t="s">
        <v>1012</v>
      </c>
      <c r="F343" s="25">
        <v>25300</v>
      </c>
      <c r="G343" s="29"/>
      <c r="H343" t="s">
        <v>674</v>
      </c>
      <c r="I343" t="s">
        <v>35</v>
      </c>
      <c r="J343" t="s">
        <v>35</v>
      </c>
      <c r="K343" t="s">
        <v>675</v>
      </c>
      <c r="L343" s="29">
        <v>46304</v>
      </c>
    </row>
    <row r="344" spans="1:12" x14ac:dyDescent="0.25">
      <c r="A344" t="s">
        <v>1022</v>
      </c>
      <c r="B344" t="s">
        <v>133</v>
      </c>
      <c r="C344" s="30" t="s">
        <v>129</v>
      </c>
      <c r="D344" s="30" t="s">
        <v>131</v>
      </c>
      <c r="E344" t="s">
        <v>1012</v>
      </c>
      <c r="F344" s="25">
        <v>37665</v>
      </c>
      <c r="G344" s="29"/>
      <c r="H344" t="s">
        <v>674</v>
      </c>
      <c r="I344" t="s">
        <v>35</v>
      </c>
      <c r="J344" t="s">
        <v>35</v>
      </c>
      <c r="K344" t="s">
        <v>675</v>
      </c>
      <c r="L344" s="29">
        <v>46304</v>
      </c>
    </row>
    <row r="345" spans="1:12" x14ac:dyDescent="0.25">
      <c r="A345" t="s">
        <v>1023</v>
      </c>
      <c r="B345" t="s">
        <v>140</v>
      </c>
      <c r="C345" s="30" t="s">
        <v>136</v>
      </c>
      <c r="D345" s="30" t="s">
        <v>138</v>
      </c>
      <c r="E345" t="s">
        <v>1012</v>
      </c>
      <c r="F345" s="25">
        <v>30250</v>
      </c>
      <c r="G345" s="29"/>
      <c r="H345" t="s">
        <v>674</v>
      </c>
      <c r="I345" t="s">
        <v>35</v>
      </c>
      <c r="J345" t="s">
        <v>35</v>
      </c>
      <c r="K345" t="s">
        <v>675</v>
      </c>
      <c r="L345" s="29">
        <v>46304</v>
      </c>
    </row>
    <row r="346" spans="1:12" x14ac:dyDescent="0.25">
      <c r="A346" t="s">
        <v>1024</v>
      </c>
      <c r="B346" t="s">
        <v>146</v>
      </c>
      <c r="C346" s="30" t="s">
        <v>143</v>
      </c>
      <c r="D346" s="30" t="s">
        <v>144</v>
      </c>
      <c r="E346" t="s">
        <v>1012</v>
      </c>
      <c r="F346" s="25">
        <v>19060</v>
      </c>
      <c r="G346" s="29"/>
      <c r="H346" t="s">
        <v>674</v>
      </c>
      <c r="I346" t="s">
        <v>35</v>
      </c>
      <c r="J346" t="s">
        <v>35</v>
      </c>
      <c r="K346" t="s">
        <v>675</v>
      </c>
      <c r="L346" s="29">
        <v>46304</v>
      </c>
    </row>
    <row r="347" spans="1:12" x14ac:dyDescent="0.25">
      <c r="A347" t="s">
        <v>1025</v>
      </c>
      <c r="B347" t="s">
        <v>153</v>
      </c>
      <c r="C347" s="30" t="s">
        <v>149</v>
      </c>
      <c r="D347" s="30" t="s">
        <v>151</v>
      </c>
      <c r="E347" t="s">
        <v>1012</v>
      </c>
      <c r="F347" s="25">
        <v>20570</v>
      </c>
      <c r="G347" s="29"/>
      <c r="H347" t="s">
        <v>674</v>
      </c>
      <c r="I347" t="s">
        <v>35</v>
      </c>
      <c r="J347" t="s">
        <v>35</v>
      </c>
      <c r="K347" t="s">
        <v>675</v>
      </c>
      <c r="L347" s="29">
        <v>46304</v>
      </c>
    </row>
    <row r="348" spans="1:12" x14ac:dyDescent="0.25">
      <c r="A348" t="s">
        <v>1026</v>
      </c>
      <c r="B348" t="s">
        <v>159</v>
      </c>
      <c r="C348" s="30" t="s">
        <v>156</v>
      </c>
      <c r="D348" s="30" t="s">
        <v>157</v>
      </c>
      <c r="E348" t="s">
        <v>1012</v>
      </c>
      <c r="F348" s="25">
        <v>25410</v>
      </c>
      <c r="G348" s="29"/>
      <c r="H348" t="s">
        <v>674</v>
      </c>
      <c r="I348" t="s">
        <v>35</v>
      </c>
      <c r="J348" t="s">
        <v>35</v>
      </c>
      <c r="K348" t="s">
        <v>675</v>
      </c>
      <c r="L348" s="29">
        <v>46304</v>
      </c>
    </row>
    <row r="349" spans="1:12" x14ac:dyDescent="0.25">
      <c r="A349" t="s">
        <v>1027</v>
      </c>
      <c r="B349" t="s">
        <v>168</v>
      </c>
      <c r="C349" s="30" t="s">
        <v>163</v>
      </c>
      <c r="D349" s="30" t="s">
        <v>82</v>
      </c>
      <c r="E349" t="s">
        <v>1012</v>
      </c>
      <c r="F349" s="25">
        <v>40700</v>
      </c>
      <c r="G349" s="29"/>
      <c r="H349" t="s">
        <v>674</v>
      </c>
      <c r="I349" t="s">
        <v>35</v>
      </c>
      <c r="J349" t="s">
        <v>35</v>
      </c>
      <c r="K349" t="s">
        <v>675</v>
      </c>
      <c r="L349" s="29">
        <v>46304</v>
      </c>
    </row>
    <row r="350" spans="1:12" x14ac:dyDescent="0.25">
      <c r="A350" t="s">
        <v>1028</v>
      </c>
      <c r="B350" t="s">
        <v>174</v>
      </c>
      <c r="C350" s="30" t="s">
        <v>172</v>
      </c>
      <c r="D350" s="30" t="s">
        <v>92</v>
      </c>
      <c r="E350" t="s">
        <v>1012</v>
      </c>
      <c r="F350" s="25">
        <v>40700</v>
      </c>
      <c r="G350" s="29"/>
      <c r="H350" t="s">
        <v>674</v>
      </c>
      <c r="I350" t="s">
        <v>35</v>
      </c>
      <c r="J350" t="s">
        <v>35</v>
      </c>
      <c r="K350" t="s">
        <v>675</v>
      </c>
      <c r="L350" s="29">
        <v>46304</v>
      </c>
    </row>
    <row r="351" spans="1:12" x14ac:dyDescent="0.25">
      <c r="A351" t="s">
        <v>1029</v>
      </c>
      <c r="B351" t="s">
        <v>180</v>
      </c>
      <c r="C351" s="30" t="s">
        <v>177</v>
      </c>
      <c r="D351" s="30" t="s">
        <v>178</v>
      </c>
      <c r="E351" t="s">
        <v>1012</v>
      </c>
      <c r="F351" s="25">
        <v>17500</v>
      </c>
      <c r="G351" s="29"/>
      <c r="H351" t="s">
        <v>674</v>
      </c>
      <c r="I351" t="s">
        <v>35</v>
      </c>
      <c r="J351" t="s">
        <v>35</v>
      </c>
      <c r="K351" t="s">
        <v>675</v>
      </c>
      <c r="L351" s="29">
        <v>46304</v>
      </c>
    </row>
    <row r="352" spans="1:12" x14ac:dyDescent="0.25">
      <c r="A352" t="s">
        <v>1030</v>
      </c>
      <c r="B352" t="s">
        <v>186</v>
      </c>
      <c r="C352" s="30" t="s">
        <v>183</v>
      </c>
      <c r="D352" s="30" t="s">
        <v>184</v>
      </c>
      <c r="E352" t="s">
        <v>1012</v>
      </c>
      <c r="F352" s="25">
        <v>7000</v>
      </c>
      <c r="G352" s="29"/>
      <c r="H352" t="s">
        <v>674</v>
      </c>
      <c r="I352" t="s">
        <v>35</v>
      </c>
      <c r="J352" t="s">
        <v>35</v>
      </c>
      <c r="K352" t="s">
        <v>675</v>
      </c>
      <c r="L352" s="29">
        <v>46304</v>
      </c>
    </row>
    <row r="353" spans="1:12" x14ac:dyDescent="0.25">
      <c r="A353" t="s">
        <v>1031</v>
      </c>
      <c r="B353" t="s">
        <v>192</v>
      </c>
      <c r="C353" s="30" t="s">
        <v>189</v>
      </c>
      <c r="D353" s="30" t="s">
        <v>190</v>
      </c>
      <c r="E353" t="s">
        <v>1012</v>
      </c>
      <c r="F353" s="25">
        <v>13000</v>
      </c>
      <c r="G353" s="29"/>
      <c r="H353" t="s">
        <v>674</v>
      </c>
      <c r="I353" t="s">
        <v>35</v>
      </c>
      <c r="J353" t="s">
        <v>35</v>
      </c>
      <c r="K353" t="s">
        <v>675</v>
      </c>
      <c r="L353" s="29">
        <v>46304</v>
      </c>
    </row>
    <row r="354" spans="1:12" x14ac:dyDescent="0.25">
      <c r="A354" t="s">
        <v>1032</v>
      </c>
      <c r="B354" t="s">
        <v>196</v>
      </c>
      <c r="C354" s="30" t="s">
        <v>177</v>
      </c>
      <c r="D354" s="30" t="s">
        <v>195</v>
      </c>
      <c r="E354" t="s">
        <v>1012</v>
      </c>
      <c r="F354" s="25">
        <v>13500</v>
      </c>
      <c r="G354" s="29"/>
      <c r="H354" t="s">
        <v>674</v>
      </c>
      <c r="I354" t="s">
        <v>35</v>
      </c>
      <c r="J354" t="s">
        <v>35</v>
      </c>
      <c r="K354" t="s">
        <v>675</v>
      </c>
      <c r="L354" s="29">
        <v>46304</v>
      </c>
    </row>
    <row r="355" spans="1:12" x14ac:dyDescent="0.25">
      <c r="A355" t="s">
        <v>1033</v>
      </c>
      <c r="B355" t="s">
        <v>201</v>
      </c>
      <c r="C355" s="30" t="s">
        <v>198</v>
      </c>
      <c r="D355" s="30" t="s">
        <v>199</v>
      </c>
      <c r="E355" t="s">
        <v>1012</v>
      </c>
      <c r="F355" s="25">
        <v>7000</v>
      </c>
      <c r="G355" s="29"/>
      <c r="H355" t="s">
        <v>674</v>
      </c>
      <c r="I355" t="s">
        <v>35</v>
      </c>
      <c r="J355" t="s">
        <v>35</v>
      </c>
      <c r="K355" t="s">
        <v>675</v>
      </c>
      <c r="L355" s="29">
        <v>46304</v>
      </c>
    </row>
    <row r="356" spans="1:12" x14ac:dyDescent="0.25">
      <c r="A356" t="s">
        <v>1034</v>
      </c>
      <c r="B356" t="s">
        <v>205</v>
      </c>
      <c r="C356" s="30" t="s">
        <v>198</v>
      </c>
      <c r="D356" s="30" t="s">
        <v>204</v>
      </c>
      <c r="E356" t="s">
        <v>1012</v>
      </c>
      <c r="F356" s="25">
        <v>8000</v>
      </c>
      <c r="G356" s="29"/>
      <c r="H356" t="s">
        <v>674</v>
      </c>
      <c r="I356" t="s">
        <v>35</v>
      </c>
      <c r="J356" t="s">
        <v>35</v>
      </c>
      <c r="K356" t="s">
        <v>675</v>
      </c>
      <c r="L356" s="29">
        <v>46304</v>
      </c>
    </row>
    <row r="357" spans="1:12" x14ac:dyDescent="0.25">
      <c r="A357" t="s">
        <v>1035</v>
      </c>
      <c r="B357" t="s">
        <v>208</v>
      </c>
      <c r="C357" s="30" t="s">
        <v>198</v>
      </c>
      <c r="D357" s="30" t="s">
        <v>207</v>
      </c>
      <c r="E357" t="s">
        <v>1012</v>
      </c>
      <c r="F357" s="25">
        <v>8000</v>
      </c>
      <c r="G357" s="29"/>
      <c r="H357" t="s">
        <v>674</v>
      </c>
      <c r="I357" t="s">
        <v>35</v>
      </c>
      <c r="J357" t="s">
        <v>35</v>
      </c>
      <c r="K357" t="s">
        <v>675</v>
      </c>
      <c r="L357" s="29">
        <v>46304</v>
      </c>
    </row>
    <row r="358" spans="1:12" x14ac:dyDescent="0.25">
      <c r="A358" t="s">
        <v>1036</v>
      </c>
      <c r="B358" t="s">
        <v>220</v>
      </c>
      <c r="C358" s="30" t="s">
        <v>217</v>
      </c>
      <c r="D358" s="30" t="s">
        <v>100</v>
      </c>
      <c r="E358" t="s">
        <v>1012</v>
      </c>
      <c r="F358" s="25">
        <v>16500</v>
      </c>
      <c r="G358" s="29"/>
      <c r="H358" t="s">
        <v>674</v>
      </c>
      <c r="I358" t="s">
        <v>35</v>
      </c>
      <c r="J358" t="s">
        <v>35</v>
      </c>
      <c r="K358" t="s">
        <v>675</v>
      </c>
      <c r="L358" s="29">
        <v>46304</v>
      </c>
    </row>
    <row r="359" spans="1:12" x14ac:dyDescent="0.25">
      <c r="A359" t="s">
        <v>1037</v>
      </c>
      <c r="B359" t="s">
        <v>227</v>
      </c>
      <c r="C359" s="30" t="s">
        <v>223</v>
      </c>
      <c r="D359" s="30" t="s">
        <v>225</v>
      </c>
      <c r="E359" t="s">
        <v>1012</v>
      </c>
      <c r="F359" s="25">
        <v>12500</v>
      </c>
      <c r="G359" s="29"/>
      <c r="H359" t="s">
        <v>674</v>
      </c>
      <c r="I359" t="s">
        <v>35</v>
      </c>
      <c r="J359" t="s">
        <v>35</v>
      </c>
      <c r="K359" t="s">
        <v>675</v>
      </c>
      <c r="L359" s="29">
        <v>46304</v>
      </c>
    </row>
    <row r="360" spans="1:12" x14ac:dyDescent="0.25">
      <c r="A360" t="s">
        <v>1038</v>
      </c>
      <c r="B360" t="s">
        <v>238</v>
      </c>
      <c r="C360" s="30" t="s">
        <v>235</v>
      </c>
      <c r="D360" s="30" t="s">
        <v>236</v>
      </c>
      <c r="E360" t="s">
        <v>1012</v>
      </c>
      <c r="F360" s="25">
        <v>14000</v>
      </c>
      <c r="G360" s="29"/>
      <c r="H360" t="s">
        <v>674</v>
      </c>
      <c r="I360" t="s">
        <v>35</v>
      </c>
      <c r="J360" t="s">
        <v>35</v>
      </c>
      <c r="K360" t="s">
        <v>675</v>
      </c>
      <c r="L360" s="29">
        <v>46304</v>
      </c>
    </row>
    <row r="361" spans="1:12" x14ac:dyDescent="0.25">
      <c r="A361" t="s">
        <v>1039</v>
      </c>
      <c r="B361" t="s">
        <v>245</v>
      </c>
      <c r="C361" s="30" t="s">
        <v>241</v>
      </c>
      <c r="D361" s="30" t="s">
        <v>243</v>
      </c>
      <c r="E361" t="s">
        <v>1012</v>
      </c>
      <c r="F361" s="25">
        <v>16500</v>
      </c>
      <c r="G361" s="29"/>
      <c r="H361" t="s">
        <v>674</v>
      </c>
      <c r="I361" t="s">
        <v>35</v>
      </c>
      <c r="J361" t="s">
        <v>35</v>
      </c>
      <c r="K361" t="s">
        <v>675</v>
      </c>
      <c r="L361" s="29">
        <v>46304</v>
      </c>
    </row>
    <row r="362" spans="1:12" x14ac:dyDescent="0.25">
      <c r="A362" t="s">
        <v>1040</v>
      </c>
      <c r="B362" t="s">
        <v>252</v>
      </c>
      <c r="C362" s="30" t="s">
        <v>248</v>
      </c>
      <c r="D362" s="30" t="s">
        <v>250</v>
      </c>
      <c r="E362" t="s">
        <v>1012</v>
      </c>
      <c r="F362" s="25">
        <v>20000</v>
      </c>
      <c r="G362" s="29"/>
      <c r="H362" t="s">
        <v>674</v>
      </c>
      <c r="I362" t="s">
        <v>35</v>
      </c>
      <c r="J362" t="s">
        <v>35</v>
      </c>
      <c r="K362" t="s">
        <v>675</v>
      </c>
      <c r="L362" s="29">
        <v>46304</v>
      </c>
    </row>
    <row r="363" spans="1:12" x14ac:dyDescent="0.25">
      <c r="A363" t="s">
        <v>1041</v>
      </c>
      <c r="B363" t="s">
        <v>260</v>
      </c>
      <c r="C363" s="30" t="s">
        <v>255</v>
      </c>
      <c r="D363" s="30" t="s">
        <v>257</v>
      </c>
      <c r="E363" t="s">
        <v>1012</v>
      </c>
      <c r="F363" s="25">
        <v>21175</v>
      </c>
      <c r="G363" s="29"/>
      <c r="H363" t="s">
        <v>674</v>
      </c>
      <c r="I363" t="s">
        <v>35</v>
      </c>
      <c r="J363" t="s">
        <v>35</v>
      </c>
      <c r="K363" t="s">
        <v>675</v>
      </c>
      <c r="L363" s="29">
        <v>46304</v>
      </c>
    </row>
    <row r="364" spans="1:12" x14ac:dyDescent="0.25">
      <c r="A364" t="s">
        <v>1042</v>
      </c>
      <c r="B364" t="s">
        <v>271</v>
      </c>
      <c r="C364" s="30" t="s">
        <v>268</v>
      </c>
      <c r="D364" s="30" t="s">
        <v>113</v>
      </c>
      <c r="E364" t="s">
        <v>1012</v>
      </c>
      <c r="F364" s="25">
        <v>17000</v>
      </c>
      <c r="G364" s="29"/>
      <c r="H364" t="s">
        <v>674</v>
      </c>
      <c r="I364" t="s">
        <v>35</v>
      </c>
      <c r="J364" t="s">
        <v>35</v>
      </c>
      <c r="K364" t="s">
        <v>675</v>
      </c>
      <c r="L364" s="29">
        <v>46304</v>
      </c>
    </row>
    <row r="365" spans="1:12" x14ac:dyDescent="0.25">
      <c r="A365" t="s">
        <v>1043</v>
      </c>
      <c r="B365" t="s">
        <v>274</v>
      </c>
      <c r="C365" s="30" t="s">
        <v>177</v>
      </c>
      <c r="D365" s="30" t="s">
        <v>120</v>
      </c>
      <c r="E365" t="s">
        <v>1012</v>
      </c>
      <c r="F365" s="25">
        <v>19000</v>
      </c>
      <c r="G365" s="29"/>
      <c r="H365" t="s">
        <v>674</v>
      </c>
      <c r="I365" t="s">
        <v>35</v>
      </c>
      <c r="J365" t="s">
        <v>35</v>
      </c>
      <c r="K365" t="s">
        <v>675</v>
      </c>
      <c r="L365" s="29">
        <v>46304</v>
      </c>
    </row>
    <row r="366" spans="1:12" x14ac:dyDescent="0.25">
      <c r="A366" t="s">
        <v>1044</v>
      </c>
      <c r="B366" t="s">
        <v>290</v>
      </c>
      <c r="C366" s="30" t="s">
        <v>285</v>
      </c>
      <c r="D366" s="30" t="s">
        <v>287</v>
      </c>
      <c r="E366" t="s">
        <v>1012</v>
      </c>
      <c r="F366" s="25">
        <v>11500</v>
      </c>
      <c r="G366" s="29"/>
      <c r="H366" t="s">
        <v>674</v>
      </c>
      <c r="I366" t="s">
        <v>35</v>
      </c>
      <c r="J366" t="s">
        <v>35</v>
      </c>
      <c r="K366" t="s">
        <v>675</v>
      </c>
      <c r="L366" s="29">
        <v>46304</v>
      </c>
    </row>
    <row r="367" spans="1:12" x14ac:dyDescent="0.25">
      <c r="A367" t="s">
        <v>1045</v>
      </c>
      <c r="B367" t="s">
        <v>296</v>
      </c>
      <c r="C367" s="30" t="s">
        <v>293</v>
      </c>
      <c r="D367" s="30" t="s">
        <v>294</v>
      </c>
      <c r="E367" t="s">
        <v>1012</v>
      </c>
      <c r="F367" s="25">
        <v>11195</v>
      </c>
      <c r="G367" s="29"/>
      <c r="H367" t="s">
        <v>674</v>
      </c>
      <c r="I367" t="s">
        <v>35</v>
      </c>
      <c r="J367" t="s">
        <v>35</v>
      </c>
      <c r="K367" t="s">
        <v>675</v>
      </c>
      <c r="L367" s="29">
        <v>46304</v>
      </c>
    </row>
    <row r="368" spans="1:12" x14ac:dyDescent="0.25">
      <c r="A368" t="s">
        <v>1046</v>
      </c>
      <c r="B368" t="s">
        <v>303</v>
      </c>
      <c r="C368" s="30" t="s">
        <v>299</v>
      </c>
      <c r="D368" s="30" t="s">
        <v>301</v>
      </c>
      <c r="E368" t="s">
        <v>1012</v>
      </c>
      <c r="F368" s="25">
        <v>12100</v>
      </c>
      <c r="G368" s="29"/>
      <c r="H368" t="s">
        <v>674</v>
      </c>
      <c r="I368" t="s">
        <v>35</v>
      </c>
      <c r="J368" t="s">
        <v>35</v>
      </c>
      <c r="K368" t="s">
        <v>675</v>
      </c>
      <c r="L368" s="29">
        <v>46304</v>
      </c>
    </row>
    <row r="369" spans="1:12" x14ac:dyDescent="0.25">
      <c r="A369" t="s">
        <v>1047</v>
      </c>
      <c r="B369" t="s">
        <v>310</v>
      </c>
      <c r="C369" s="30" t="s">
        <v>306</v>
      </c>
      <c r="D369" s="30" t="s">
        <v>131</v>
      </c>
      <c r="E369" t="s">
        <v>1012</v>
      </c>
      <c r="F369" s="25">
        <v>12100</v>
      </c>
      <c r="G369" s="29"/>
      <c r="H369" t="s">
        <v>674</v>
      </c>
      <c r="I369" t="s">
        <v>35</v>
      </c>
      <c r="J369" t="s">
        <v>35</v>
      </c>
      <c r="K369" t="s">
        <v>675</v>
      </c>
      <c r="L369" s="29">
        <v>46304</v>
      </c>
    </row>
    <row r="370" spans="1:12" x14ac:dyDescent="0.25">
      <c r="A370" t="s">
        <v>1048</v>
      </c>
      <c r="B370" t="s">
        <v>317</v>
      </c>
      <c r="C370" s="30" t="s">
        <v>313</v>
      </c>
      <c r="D370" s="30" t="s">
        <v>315</v>
      </c>
      <c r="E370" t="s">
        <v>1012</v>
      </c>
      <c r="F370" s="25">
        <v>16335</v>
      </c>
      <c r="G370" s="29"/>
      <c r="H370" t="s">
        <v>674</v>
      </c>
      <c r="I370" t="s">
        <v>35</v>
      </c>
      <c r="J370" t="s">
        <v>35</v>
      </c>
      <c r="K370" t="s">
        <v>675</v>
      </c>
      <c r="L370" s="29">
        <v>46304</v>
      </c>
    </row>
    <row r="371" spans="1:12" x14ac:dyDescent="0.25">
      <c r="A371" t="s">
        <v>1049</v>
      </c>
      <c r="B371" t="s">
        <v>322</v>
      </c>
      <c r="C371" s="30" t="s">
        <v>320</v>
      </c>
      <c r="D371" s="30" t="s">
        <v>138</v>
      </c>
      <c r="E371" t="s">
        <v>1012</v>
      </c>
      <c r="F371" s="25">
        <v>13500</v>
      </c>
      <c r="G371" s="29"/>
      <c r="H371" t="s">
        <v>674</v>
      </c>
      <c r="I371" t="s">
        <v>35</v>
      </c>
      <c r="J371" t="s">
        <v>35</v>
      </c>
      <c r="K371" t="s">
        <v>675</v>
      </c>
      <c r="L371" s="29">
        <v>46304</v>
      </c>
    </row>
    <row r="372" spans="1:12" x14ac:dyDescent="0.25">
      <c r="A372" t="s">
        <v>1050</v>
      </c>
      <c r="B372" t="s">
        <v>329</v>
      </c>
      <c r="C372" s="30" t="s">
        <v>325</v>
      </c>
      <c r="D372" s="30" t="s">
        <v>327</v>
      </c>
      <c r="E372" t="s">
        <v>1012</v>
      </c>
      <c r="F372" s="25">
        <v>14000</v>
      </c>
      <c r="G372" s="29"/>
      <c r="H372" t="s">
        <v>674</v>
      </c>
      <c r="I372" t="s">
        <v>35</v>
      </c>
      <c r="J372" t="s">
        <v>35</v>
      </c>
      <c r="K372" t="s">
        <v>675</v>
      </c>
      <c r="L372" s="29">
        <v>46304</v>
      </c>
    </row>
    <row r="373" spans="1:12" x14ac:dyDescent="0.25">
      <c r="A373" t="s">
        <v>1051</v>
      </c>
      <c r="B373" t="s">
        <v>336</v>
      </c>
      <c r="C373" s="30" t="s">
        <v>332</v>
      </c>
      <c r="D373" s="30" t="s">
        <v>334</v>
      </c>
      <c r="E373" t="s">
        <v>1012</v>
      </c>
      <c r="F373" s="25">
        <v>16035</v>
      </c>
      <c r="G373" s="29"/>
      <c r="H373" t="s">
        <v>674</v>
      </c>
      <c r="I373" t="s">
        <v>35</v>
      </c>
      <c r="J373" t="s">
        <v>35</v>
      </c>
      <c r="K373" t="s">
        <v>675</v>
      </c>
      <c r="L373" s="29">
        <v>46304</v>
      </c>
    </row>
    <row r="374" spans="1:12" x14ac:dyDescent="0.25">
      <c r="A374" t="s">
        <v>1052</v>
      </c>
      <c r="B374" t="s">
        <v>343</v>
      </c>
      <c r="C374" s="30" t="s">
        <v>339</v>
      </c>
      <c r="D374" s="30" t="s">
        <v>340</v>
      </c>
      <c r="E374" t="s">
        <v>1012</v>
      </c>
      <c r="F374" s="25">
        <v>16500</v>
      </c>
      <c r="G374" s="29"/>
      <c r="H374" t="s">
        <v>674</v>
      </c>
      <c r="I374" t="s">
        <v>35</v>
      </c>
      <c r="J374" t="s">
        <v>35</v>
      </c>
      <c r="K374" t="s">
        <v>675</v>
      </c>
      <c r="L374" s="29">
        <v>46304</v>
      </c>
    </row>
    <row r="375" spans="1:12" x14ac:dyDescent="0.25">
      <c r="A375" t="s">
        <v>1053</v>
      </c>
      <c r="B375" t="s">
        <v>349</v>
      </c>
      <c r="C375" s="30" t="s">
        <v>346</v>
      </c>
      <c r="D375" s="30" t="s">
        <v>347</v>
      </c>
      <c r="E375" t="s">
        <v>1012</v>
      </c>
      <c r="F375" s="25">
        <v>18500</v>
      </c>
      <c r="G375" s="29"/>
      <c r="H375" t="s">
        <v>674</v>
      </c>
      <c r="I375" t="s">
        <v>35</v>
      </c>
      <c r="J375" t="s">
        <v>35</v>
      </c>
      <c r="K375" t="s">
        <v>675</v>
      </c>
      <c r="L375" s="29">
        <v>46304</v>
      </c>
    </row>
    <row r="376" spans="1:12" x14ac:dyDescent="0.25">
      <c r="A376" t="s">
        <v>1054</v>
      </c>
      <c r="B376" t="s">
        <v>356</v>
      </c>
      <c r="C376" s="30" t="s">
        <v>352</v>
      </c>
      <c r="D376" s="30" t="s">
        <v>354</v>
      </c>
      <c r="E376" t="s">
        <v>1012</v>
      </c>
      <c r="F376" s="25">
        <v>15000</v>
      </c>
      <c r="G376" s="29"/>
      <c r="H376" t="s">
        <v>674</v>
      </c>
      <c r="I376" t="s">
        <v>35</v>
      </c>
      <c r="J376" t="s">
        <v>35</v>
      </c>
      <c r="K376" t="s">
        <v>675</v>
      </c>
      <c r="L376" s="29">
        <v>46304</v>
      </c>
    </row>
    <row r="377" spans="1:12" x14ac:dyDescent="0.25">
      <c r="A377" t="s">
        <v>1055</v>
      </c>
      <c r="B377" t="s">
        <v>359</v>
      </c>
      <c r="C377" s="30" t="s">
        <v>352</v>
      </c>
      <c r="D377" s="30" t="s">
        <v>144</v>
      </c>
      <c r="E377" t="s">
        <v>1012</v>
      </c>
      <c r="F377" s="25">
        <v>15000</v>
      </c>
      <c r="G377" s="29"/>
      <c r="H377" t="s">
        <v>674</v>
      </c>
      <c r="I377" t="s">
        <v>35</v>
      </c>
      <c r="J377" t="s">
        <v>35</v>
      </c>
      <c r="K377" t="s">
        <v>675</v>
      </c>
      <c r="L377" s="29">
        <v>46304</v>
      </c>
    </row>
    <row r="378" spans="1:12" x14ac:dyDescent="0.25">
      <c r="A378" t="s">
        <v>1056</v>
      </c>
      <c r="B378" t="s">
        <v>364</v>
      </c>
      <c r="C378" s="30" t="s">
        <v>361</v>
      </c>
      <c r="D378" s="30" t="s">
        <v>151</v>
      </c>
      <c r="E378" t="s">
        <v>1012</v>
      </c>
      <c r="F378" s="25">
        <v>11195</v>
      </c>
      <c r="G378" s="29"/>
      <c r="H378" t="s">
        <v>674</v>
      </c>
      <c r="I378" t="s">
        <v>35</v>
      </c>
      <c r="J378" t="s">
        <v>35</v>
      </c>
      <c r="K378" t="s">
        <v>675</v>
      </c>
      <c r="L378" s="29">
        <v>46304</v>
      </c>
    </row>
    <row r="379" spans="1:12" x14ac:dyDescent="0.25">
      <c r="A379" t="s">
        <v>1057</v>
      </c>
      <c r="B379" t="s">
        <v>370</v>
      </c>
      <c r="C379" s="30" t="s">
        <v>367</v>
      </c>
      <c r="D379" s="30" t="s">
        <v>157</v>
      </c>
      <c r="E379" t="s">
        <v>1012</v>
      </c>
      <c r="F379" s="25">
        <v>10000</v>
      </c>
      <c r="G379" s="29"/>
      <c r="H379" t="s">
        <v>674</v>
      </c>
      <c r="I379" t="s">
        <v>35</v>
      </c>
      <c r="J379" t="s">
        <v>35</v>
      </c>
      <c r="K379" t="s">
        <v>675</v>
      </c>
      <c r="L379" s="29">
        <v>46304</v>
      </c>
    </row>
    <row r="380" spans="1:12" x14ac:dyDescent="0.25">
      <c r="A380" t="s">
        <v>1058</v>
      </c>
      <c r="B380" t="s">
        <v>374</v>
      </c>
      <c r="C380" s="30" t="s">
        <v>198</v>
      </c>
      <c r="D380" s="30" t="s">
        <v>373</v>
      </c>
      <c r="E380" t="s">
        <v>1012</v>
      </c>
      <c r="F380" s="25">
        <v>11000</v>
      </c>
      <c r="G380" s="29"/>
      <c r="H380" t="s">
        <v>674</v>
      </c>
      <c r="I380" t="s">
        <v>35</v>
      </c>
      <c r="J380" t="s">
        <v>35</v>
      </c>
      <c r="K380" t="s">
        <v>675</v>
      </c>
      <c r="L380" s="29">
        <v>46304</v>
      </c>
    </row>
    <row r="381" spans="1:12" x14ac:dyDescent="0.25">
      <c r="A381" t="s">
        <v>1059</v>
      </c>
      <c r="B381" t="s">
        <v>380</v>
      </c>
      <c r="C381" s="30" t="s">
        <v>376</v>
      </c>
      <c r="D381" s="30" t="s">
        <v>378</v>
      </c>
      <c r="E381" t="s">
        <v>1012</v>
      </c>
      <c r="F381" s="25">
        <v>19000</v>
      </c>
      <c r="G381" s="29"/>
      <c r="H381" t="s">
        <v>674</v>
      </c>
      <c r="I381" t="s">
        <v>35</v>
      </c>
      <c r="J381" t="s">
        <v>35</v>
      </c>
      <c r="K381" t="s">
        <v>675</v>
      </c>
      <c r="L381" s="29">
        <v>46304</v>
      </c>
    </row>
    <row r="382" spans="1:12" x14ac:dyDescent="0.25">
      <c r="A382" t="s">
        <v>1060</v>
      </c>
      <c r="B382" t="s">
        <v>388</v>
      </c>
      <c r="C382" s="30" t="s">
        <v>383</v>
      </c>
      <c r="D382" s="30" t="s">
        <v>385</v>
      </c>
      <c r="E382" t="s">
        <v>1012</v>
      </c>
      <c r="F382" s="25">
        <v>13500</v>
      </c>
      <c r="G382" s="29"/>
      <c r="H382" t="s">
        <v>674</v>
      </c>
      <c r="I382" t="s">
        <v>35</v>
      </c>
      <c r="J382" t="s">
        <v>35</v>
      </c>
      <c r="K382" t="s">
        <v>675</v>
      </c>
      <c r="L382" s="29">
        <v>46304</v>
      </c>
    </row>
    <row r="383" spans="1:12" x14ac:dyDescent="0.25">
      <c r="A383" t="s">
        <v>1061</v>
      </c>
      <c r="B383" t="s">
        <v>395</v>
      </c>
      <c r="C383" s="30" t="s">
        <v>391</v>
      </c>
      <c r="D383" s="30" t="s">
        <v>393</v>
      </c>
      <c r="E383" t="s">
        <v>1012</v>
      </c>
      <c r="F383" s="25">
        <v>9680</v>
      </c>
      <c r="G383" s="29"/>
      <c r="H383" t="s">
        <v>674</v>
      </c>
      <c r="I383" t="s">
        <v>35</v>
      </c>
      <c r="J383" t="s">
        <v>35</v>
      </c>
      <c r="K383" t="s">
        <v>675</v>
      </c>
      <c r="L383" s="29">
        <v>46304</v>
      </c>
    </row>
    <row r="384" spans="1:12" x14ac:dyDescent="0.25">
      <c r="A384" t="s">
        <v>1062</v>
      </c>
      <c r="B384" t="s">
        <v>403</v>
      </c>
      <c r="C384" s="30" t="s">
        <v>398</v>
      </c>
      <c r="D384" s="30" t="s">
        <v>400</v>
      </c>
      <c r="E384" t="s">
        <v>1012</v>
      </c>
      <c r="F384" s="25">
        <v>19000</v>
      </c>
      <c r="G384" s="29"/>
      <c r="H384" t="s">
        <v>674</v>
      </c>
      <c r="I384" t="s">
        <v>35</v>
      </c>
      <c r="J384" t="s">
        <v>35</v>
      </c>
      <c r="K384" t="s">
        <v>675</v>
      </c>
      <c r="L384" s="29">
        <v>46304</v>
      </c>
    </row>
    <row r="385" spans="1:12" x14ac:dyDescent="0.25">
      <c r="A385" t="s">
        <v>1063</v>
      </c>
      <c r="B385" t="s">
        <v>409</v>
      </c>
      <c r="C385" s="30" t="s">
        <v>406</v>
      </c>
      <c r="D385" s="30" t="s">
        <v>407</v>
      </c>
      <c r="E385" t="s">
        <v>1012</v>
      </c>
      <c r="F385" s="25">
        <v>11495</v>
      </c>
      <c r="G385" s="29"/>
      <c r="H385" t="s">
        <v>674</v>
      </c>
      <c r="I385" t="s">
        <v>35</v>
      </c>
      <c r="J385" t="s">
        <v>35</v>
      </c>
      <c r="K385" t="s">
        <v>675</v>
      </c>
      <c r="L385" s="29">
        <v>46304</v>
      </c>
    </row>
    <row r="386" spans="1:12" x14ac:dyDescent="0.25">
      <c r="A386" t="s">
        <v>1064</v>
      </c>
      <c r="B386" t="s">
        <v>415</v>
      </c>
      <c r="C386" s="30" t="s">
        <v>412</v>
      </c>
      <c r="D386" s="30" t="s">
        <v>413</v>
      </c>
      <c r="E386" t="s">
        <v>1012</v>
      </c>
      <c r="F386" s="25">
        <v>11000</v>
      </c>
      <c r="G386" s="29"/>
      <c r="H386" t="s">
        <v>674</v>
      </c>
      <c r="I386" t="s">
        <v>35</v>
      </c>
      <c r="J386" t="s">
        <v>35</v>
      </c>
      <c r="K386" t="s">
        <v>675</v>
      </c>
      <c r="L386" s="29">
        <v>46304</v>
      </c>
    </row>
    <row r="387" spans="1:12" x14ac:dyDescent="0.25">
      <c r="A387" t="s">
        <v>1065</v>
      </c>
      <c r="B387" t="s">
        <v>423</v>
      </c>
      <c r="C387" s="30" t="s">
        <v>418</v>
      </c>
      <c r="D387" s="30" t="s">
        <v>419</v>
      </c>
      <c r="E387" t="s">
        <v>1012</v>
      </c>
      <c r="F387" s="25">
        <v>8775</v>
      </c>
      <c r="G387" s="29"/>
      <c r="H387" t="s">
        <v>674</v>
      </c>
      <c r="I387" t="s">
        <v>35</v>
      </c>
      <c r="J387" t="s">
        <v>35</v>
      </c>
      <c r="K387" t="s">
        <v>675</v>
      </c>
      <c r="L387" s="29">
        <v>46304</v>
      </c>
    </row>
    <row r="388" spans="1:12" x14ac:dyDescent="0.25">
      <c r="A388" t="s">
        <v>1066</v>
      </c>
      <c r="B388" t="s">
        <v>430</v>
      </c>
      <c r="C388" s="30" t="s">
        <v>426</v>
      </c>
      <c r="D388" s="30" t="s">
        <v>428</v>
      </c>
      <c r="E388" t="s">
        <v>1012</v>
      </c>
      <c r="F388" s="25">
        <v>15000</v>
      </c>
      <c r="G388" s="29"/>
      <c r="H388" t="s">
        <v>674</v>
      </c>
      <c r="I388" t="s">
        <v>35</v>
      </c>
      <c r="J388" t="s">
        <v>35</v>
      </c>
      <c r="K388" t="s">
        <v>675</v>
      </c>
      <c r="L388" s="29">
        <v>46304</v>
      </c>
    </row>
    <row r="389" spans="1:12" x14ac:dyDescent="0.25">
      <c r="A389" t="s">
        <v>1067</v>
      </c>
      <c r="B389" t="s">
        <v>445</v>
      </c>
      <c r="C389" s="30" t="s">
        <v>441</v>
      </c>
      <c r="D389" s="30" t="s">
        <v>443</v>
      </c>
      <c r="E389" t="s">
        <v>1012</v>
      </c>
      <c r="F389" s="25">
        <v>13000</v>
      </c>
      <c r="G389" s="29"/>
      <c r="H389" t="s">
        <v>674</v>
      </c>
      <c r="I389" t="s">
        <v>35</v>
      </c>
      <c r="J389" t="s">
        <v>35</v>
      </c>
      <c r="K389" t="s">
        <v>675</v>
      </c>
      <c r="L389" s="29">
        <v>46304</v>
      </c>
    </row>
    <row r="390" spans="1:12" x14ac:dyDescent="0.25">
      <c r="A390" t="s">
        <v>1068</v>
      </c>
      <c r="B390" t="s">
        <v>453</v>
      </c>
      <c r="C390" s="30" t="s">
        <v>448</v>
      </c>
      <c r="D390" s="30" t="s">
        <v>450</v>
      </c>
      <c r="E390" t="s">
        <v>1012</v>
      </c>
      <c r="F390" s="25">
        <v>17000</v>
      </c>
      <c r="G390" s="29"/>
      <c r="H390" t="s">
        <v>674</v>
      </c>
      <c r="I390" t="s">
        <v>35</v>
      </c>
      <c r="J390" t="s">
        <v>35</v>
      </c>
      <c r="K390" t="s">
        <v>675</v>
      </c>
      <c r="L390" s="29">
        <v>46304</v>
      </c>
    </row>
    <row r="391" spans="1:12" x14ac:dyDescent="0.25">
      <c r="A391" t="s">
        <v>1069</v>
      </c>
      <c r="B391" t="s">
        <v>467</v>
      </c>
      <c r="C391" s="30" t="s">
        <v>463</v>
      </c>
      <c r="D391" s="30" t="s">
        <v>465</v>
      </c>
      <c r="E391" t="s">
        <v>1012</v>
      </c>
      <c r="F391" s="25">
        <v>11000</v>
      </c>
      <c r="G391" s="29"/>
      <c r="H391" t="s">
        <v>674</v>
      </c>
      <c r="I391" t="s">
        <v>35</v>
      </c>
      <c r="J391" t="s">
        <v>35</v>
      </c>
      <c r="K391" t="s">
        <v>675</v>
      </c>
      <c r="L391" s="29">
        <v>46304</v>
      </c>
    </row>
    <row r="392" spans="1:12" x14ac:dyDescent="0.25">
      <c r="A392" t="s">
        <v>1070</v>
      </c>
      <c r="B392" t="s">
        <v>481</v>
      </c>
      <c r="C392" s="30" t="s">
        <v>476</v>
      </c>
      <c r="D392" s="30" t="s">
        <v>478</v>
      </c>
      <c r="E392" t="s">
        <v>1012</v>
      </c>
      <c r="F392" s="25">
        <v>10890</v>
      </c>
      <c r="G392" s="29"/>
      <c r="H392" t="s">
        <v>674</v>
      </c>
      <c r="I392" t="s">
        <v>35</v>
      </c>
      <c r="J392" t="s">
        <v>35</v>
      </c>
      <c r="K392" t="s">
        <v>675</v>
      </c>
      <c r="L392" s="29">
        <v>46304</v>
      </c>
    </row>
    <row r="393" spans="1:12" x14ac:dyDescent="0.25">
      <c r="A393" t="s">
        <v>1071</v>
      </c>
      <c r="B393" t="s">
        <v>488</v>
      </c>
      <c r="C393" s="30" t="s">
        <v>484</v>
      </c>
      <c r="D393" s="30" t="s">
        <v>486</v>
      </c>
      <c r="E393" t="s">
        <v>1012</v>
      </c>
      <c r="F393" s="25">
        <v>13000</v>
      </c>
      <c r="G393" s="29"/>
      <c r="H393" t="s">
        <v>674</v>
      </c>
      <c r="I393" t="s">
        <v>35</v>
      </c>
      <c r="J393" t="s">
        <v>35</v>
      </c>
      <c r="K393" t="s">
        <v>675</v>
      </c>
      <c r="L393" s="29">
        <v>46304</v>
      </c>
    </row>
    <row r="394" spans="1:12" x14ac:dyDescent="0.25">
      <c r="A394" t="s">
        <v>1072</v>
      </c>
      <c r="B394" t="s">
        <v>492</v>
      </c>
      <c r="C394" s="30" t="s">
        <v>484</v>
      </c>
      <c r="D394" s="30" t="s">
        <v>491</v>
      </c>
      <c r="E394" t="s">
        <v>1012</v>
      </c>
      <c r="F394" s="25">
        <v>13000</v>
      </c>
      <c r="G394" s="29"/>
      <c r="H394" t="s">
        <v>674</v>
      </c>
      <c r="I394" t="s">
        <v>35</v>
      </c>
      <c r="J394" t="s">
        <v>35</v>
      </c>
      <c r="K394" t="s">
        <v>675</v>
      </c>
      <c r="L394" s="29">
        <v>46304</v>
      </c>
    </row>
    <row r="395" spans="1:12" x14ac:dyDescent="0.25">
      <c r="A395" t="s">
        <v>1073</v>
      </c>
      <c r="B395" t="s">
        <v>52</v>
      </c>
      <c r="C395" s="30" t="s">
        <v>47</v>
      </c>
      <c r="D395" s="30" t="s">
        <v>49</v>
      </c>
      <c r="E395" t="s">
        <v>1074</v>
      </c>
      <c r="F395" s="25">
        <v>49610</v>
      </c>
      <c r="G395" s="29"/>
      <c r="H395" t="s">
        <v>674</v>
      </c>
      <c r="I395" t="s">
        <v>35</v>
      </c>
      <c r="J395" t="s">
        <v>35</v>
      </c>
      <c r="K395" t="s">
        <v>675</v>
      </c>
      <c r="L395" s="29">
        <v>46304</v>
      </c>
    </row>
    <row r="396" spans="1:12" x14ac:dyDescent="0.25">
      <c r="A396" t="s">
        <v>1075</v>
      </c>
      <c r="B396" t="s">
        <v>63</v>
      </c>
      <c r="C396" s="30" t="s">
        <v>47</v>
      </c>
      <c r="D396" s="30" t="s">
        <v>62</v>
      </c>
      <c r="E396" t="s">
        <v>1074</v>
      </c>
      <c r="F396" s="25">
        <v>91960</v>
      </c>
      <c r="G396" s="29"/>
      <c r="H396" t="s">
        <v>674</v>
      </c>
      <c r="I396" t="s">
        <v>35</v>
      </c>
      <c r="J396" t="s">
        <v>35</v>
      </c>
      <c r="K396" t="s">
        <v>675</v>
      </c>
      <c r="L396" s="29">
        <v>46304</v>
      </c>
    </row>
    <row r="397" spans="1:12" x14ac:dyDescent="0.25">
      <c r="A397" t="s">
        <v>1076</v>
      </c>
      <c r="B397" t="s">
        <v>70</v>
      </c>
      <c r="C397" s="30" t="s">
        <v>65</v>
      </c>
      <c r="D397" s="30" t="s">
        <v>67</v>
      </c>
      <c r="E397" t="s">
        <v>1074</v>
      </c>
      <c r="F397" s="25">
        <v>30250</v>
      </c>
      <c r="G397" s="29"/>
      <c r="H397" t="s">
        <v>674</v>
      </c>
      <c r="I397" t="s">
        <v>35</v>
      </c>
      <c r="J397" t="s">
        <v>35</v>
      </c>
      <c r="K397" t="s">
        <v>675</v>
      </c>
      <c r="L397" s="29">
        <v>46304</v>
      </c>
    </row>
    <row r="398" spans="1:12" x14ac:dyDescent="0.25">
      <c r="A398" t="s">
        <v>1077</v>
      </c>
      <c r="B398" t="s">
        <v>86</v>
      </c>
      <c r="C398" s="30" t="s">
        <v>80</v>
      </c>
      <c r="D398" s="30" t="s">
        <v>82</v>
      </c>
      <c r="E398" t="s">
        <v>1074</v>
      </c>
      <c r="F398" s="25">
        <v>42350</v>
      </c>
      <c r="G398" s="29"/>
      <c r="H398" t="s">
        <v>674</v>
      </c>
      <c r="I398" t="s">
        <v>35</v>
      </c>
      <c r="J398" t="s">
        <v>35</v>
      </c>
      <c r="K398" t="s">
        <v>675</v>
      </c>
      <c r="L398" s="29">
        <v>46304</v>
      </c>
    </row>
    <row r="399" spans="1:12" x14ac:dyDescent="0.25">
      <c r="A399" t="s">
        <v>1078</v>
      </c>
      <c r="B399" t="s">
        <v>95</v>
      </c>
      <c r="C399" s="30" t="s">
        <v>90</v>
      </c>
      <c r="D399" s="30" t="s">
        <v>92</v>
      </c>
      <c r="E399" t="s">
        <v>1074</v>
      </c>
      <c r="F399" s="25">
        <v>25410</v>
      </c>
      <c r="G399" s="29"/>
      <c r="H399" t="s">
        <v>674</v>
      </c>
      <c r="I399" t="s">
        <v>35</v>
      </c>
      <c r="J399" t="s">
        <v>35</v>
      </c>
      <c r="K399" t="s">
        <v>675</v>
      </c>
      <c r="L399" s="29">
        <v>46304</v>
      </c>
    </row>
    <row r="400" spans="1:12" x14ac:dyDescent="0.25">
      <c r="A400" t="s">
        <v>1079</v>
      </c>
      <c r="B400" t="s">
        <v>103</v>
      </c>
      <c r="C400" s="30" t="s">
        <v>98</v>
      </c>
      <c r="D400" s="30" t="s">
        <v>100</v>
      </c>
      <c r="E400" t="s">
        <v>1074</v>
      </c>
      <c r="F400" s="25">
        <v>46585</v>
      </c>
      <c r="G400" s="29"/>
      <c r="H400" t="s">
        <v>674</v>
      </c>
      <c r="I400" t="s">
        <v>35</v>
      </c>
      <c r="J400" t="s">
        <v>35</v>
      </c>
      <c r="K400" t="s">
        <v>675</v>
      </c>
      <c r="L400" s="29">
        <v>46304</v>
      </c>
    </row>
    <row r="401" spans="1:12" x14ac:dyDescent="0.25">
      <c r="A401" t="s">
        <v>1080</v>
      </c>
      <c r="B401" t="s">
        <v>109</v>
      </c>
      <c r="C401" s="30" t="s">
        <v>106</v>
      </c>
      <c r="D401" s="30" t="s">
        <v>107</v>
      </c>
      <c r="E401" t="s">
        <v>1074</v>
      </c>
      <c r="F401" s="25">
        <v>37000</v>
      </c>
      <c r="G401" s="29"/>
      <c r="H401" t="s">
        <v>674</v>
      </c>
      <c r="I401" t="s">
        <v>35</v>
      </c>
      <c r="J401" t="s">
        <v>35</v>
      </c>
      <c r="K401" t="s">
        <v>675</v>
      </c>
      <c r="L401" s="29">
        <v>46304</v>
      </c>
    </row>
    <row r="402" spans="1:12" x14ac:dyDescent="0.25">
      <c r="A402" t="s">
        <v>1081</v>
      </c>
      <c r="B402" t="s">
        <v>115</v>
      </c>
      <c r="C402" s="30" t="s">
        <v>112</v>
      </c>
      <c r="D402" s="30" t="s">
        <v>113</v>
      </c>
      <c r="E402" t="s">
        <v>1074</v>
      </c>
      <c r="F402" s="25">
        <v>38500</v>
      </c>
      <c r="G402" s="29"/>
      <c r="H402" t="s">
        <v>674</v>
      </c>
      <c r="I402" t="s">
        <v>35</v>
      </c>
      <c r="J402" t="s">
        <v>35</v>
      </c>
      <c r="K402" t="s">
        <v>675</v>
      </c>
      <c r="L402" s="29">
        <v>46304</v>
      </c>
    </row>
    <row r="403" spans="1:12" x14ac:dyDescent="0.25">
      <c r="A403" t="s">
        <v>1082</v>
      </c>
      <c r="B403" t="s">
        <v>123</v>
      </c>
      <c r="C403" s="30" t="s">
        <v>118</v>
      </c>
      <c r="D403" s="30" t="s">
        <v>120</v>
      </c>
      <c r="E403" t="s">
        <v>1074</v>
      </c>
      <c r="F403" s="25">
        <v>43000</v>
      </c>
      <c r="G403" s="29"/>
      <c r="H403" t="s">
        <v>674</v>
      </c>
      <c r="I403" t="s">
        <v>35</v>
      </c>
      <c r="J403" t="s">
        <v>35</v>
      </c>
      <c r="K403" t="s">
        <v>675</v>
      </c>
      <c r="L403" s="29">
        <v>46304</v>
      </c>
    </row>
    <row r="404" spans="1:12" x14ac:dyDescent="0.25">
      <c r="A404" t="s">
        <v>1083</v>
      </c>
      <c r="B404" t="s">
        <v>127</v>
      </c>
      <c r="C404" s="30" t="s">
        <v>118</v>
      </c>
      <c r="D404" s="30" t="s">
        <v>126</v>
      </c>
      <c r="E404" t="s">
        <v>1074</v>
      </c>
      <c r="F404" s="25">
        <v>27830</v>
      </c>
      <c r="G404" s="29"/>
      <c r="H404" t="s">
        <v>674</v>
      </c>
      <c r="I404" t="s">
        <v>35</v>
      </c>
      <c r="J404" t="s">
        <v>35</v>
      </c>
      <c r="K404" t="s">
        <v>675</v>
      </c>
      <c r="L404" s="29">
        <v>46304</v>
      </c>
    </row>
    <row r="405" spans="1:12" x14ac:dyDescent="0.25">
      <c r="A405" t="s">
        <v>1084</v>
      </c>
      <c r="B405" t="s">
        <v>133</v>
      </c>
      <c r="C405" s="30" t="s">
        <v>129</v>
      </c>
      <c r="D405" s="30" t="s">
        <v>131</v>
      </c>
      <c r="E405" t="s">
        <v>1074</v>
      </c>
      <c r="F405" s="25">
        <v>37665</v>
      </c>
      <c r="G405" s="29"/>
      <c r="H405" t="s">
        <v>674</v>
      </c>
      <c r="I405" t="s">
        <v>35</v>
      </c>
      <c r="J405" t="s">
        <v>35</v>
      </c>
      <c r="K405" t="s">
        <v>675</v>
      </c>
      <c r="L405" s="29">
        <v>46304</v>
      </c>
    </row>
    <row r="406" spans="1:12" x14ac:dyDescent="0.25">
      <c r="A406" t="s">
        <v>1085</v>
      </c>
      <c r="B406" t="s">
        <v>140</v>
      </c>
      <c r="C406" s="30" t="s">
        <v>136</v>
      </c>
      <c r="D406" s="30" t="s">
        <v>138</v>
      </c>
      <c r="E406" t="s">
        <v>1074</v>
      </c>
      <c r="F406" s="25">
        <v>30250</v>
      </c>
      <c r="G406" s="29"/>
      <c r="H406" t="s">
        <v>674</v>
      </c>
      <c r="I406" t="s">
        <v>35</v>
      </c>
      <c r="J406" t="s">
        <v>35</v>
      </c>
      <c r="K406" t="s">
        <v>675</v>
      </c>
      <c r="L406" s="29">
        <v>46304</v>
      </c>
    </row>
    <row r="407" spans="1:12" x14ac:dyDescent="0.25">
      <c r="A407" t="s">
        <v>1086</v>
      </c>
      <c r="B407" t="s">
        <v>146</v>
      </c>
      <c r="C407" s="30" t="s">
        <v>143</v>
      </c>
      <c r="D407" s="30" t="s">
        <v>144</v>
      </c>
      <c r="E407" t="s">
        <v>1074</v>
      </c>
      <c r="F407" s="25">
        <v>19060</v>
      </c>
      <c r="G407" s="29"/>
      <c r="H407" t="s">
        <v>674</v>
      </c>
      <c r="I407" t="s">
        <v>35</v>
      </c>
      <c r="J407" t="s">
        <v>35</v>
      </c>
      <c r="K407" t="s">
        <v>675</v>
      </c>
      <c r="L407" s="29">
        <v>46304</v>
      </c>
    </row>
    <row r="408" spans="1:12" x14ac:dyDescent="0.25">
      <c r="A408" t="s">
        <v>1087</v>
      </c>
      <c r="B408" t="s">
        <v>153</v>
      </c>
      <c r="C408" s="30" t="s">
        <v>149</v>
      </c>
      <c r="D408" s="30" t="s">
        <v>151</v>
      </c>
      <c r="E408" t="s">
        <v>1074</v>
      </c>
      <c r="F408" s="25">
        <v>20570</v>
      </c>
      <c r="G408" s="29"/>
      <c r="H408" t="s">
        <v>674</v>
      </c>
      <c r="I408" t="s">
        <v>35</v>
      </c>
      <c r="J408" t="s">
        <v>35</v>
      </c>
      <c r="K408" t="s">
        <v>675</v>
      </c>
      <c r="L408" s="29">
        <v>46304</v>
      </c>
    </row>
    <row r="409" spans="1:12" x14ac:dyDescent="0.25">
      <c r="A409" t="s">
        <v>1088</v>
      </c>
      <c r="B409" t="s">
        <v>159</v>
      </c>
      <c r="C409" s="30" t="s">
        <v>156</v>
      </c>
      <c r="D409" s="30" t="s">
        <v>157</v>
      </c>
      <c r="E409" t="s">
        <v>1074</v>
      </c>
      <c r="F409" s="25">
        <v>25410</v>
      </c>
      <c r="G409" s="29"/>
      <c r="H409" t="s">
        <v>674</v>
      </c>
      <c r="I409" t="s">
        <v>35</v>
      </c>
      <c r="J409" t="s">
        <v>35</v>
      </c>
      <c r="K409" t="s">
        <v>675</v>
      </c>
      <c r="L409" s="29">
        <v>46304</v>
      </c>
    </row>
    <row r="410" spans="1:12" x14ac:dyDescent="0.25">
      <c r="A410" t="s">
        <v>1089</v>
      </c>
      <c r="B410" t="s">
        <v>168</v>
      </c>
      <c r="C410" s="30" t="s">
        <v>163</v>
      </c>
      <c r="D410" s="30" t="s">
        <v>82</v>
      </c>
      <c r="E410" t="s">
        <v>1074</v>
      </c>
      <c r="F410" s="25">
        <v>40700</v>
      </c>
      <c r="G410" s="29"/>
      <c r="H410" t="s">
        <v>674</v>
      </c>
      <c r="I410" t="s">
        <v>35</v>
      </c>
      <c r="J410" t="s">
        <v>35</v>
      </c>
      <c r="K410" t="s">
        <v>675</v>
      </c>
      <c r="L410" s="29">
        <v>46304</v>
      </c>
    </row>
    <row r="411" spans="1:12" x14ac:dyDescent="0.25">
      <c r="A411" t="s">
        <v>1090</v>
      </c>
      <c r="B411" t="s">
        <v>174</v>
      </c>
      <c r="C411" s="30" t="s">
        <v>172</v>
      </c>
      <c r="D411" s="30" t="s">
        <v>92</v>
      </c>
      <c r="E411" t="s">
        <v>1074</v>
      </c>
      <c r="F411" s="25">
        <v>40700</v>
      </c>
      <c r="G411" s="29"/>
      <c r="H411" t="s">
        <v>674</v>
      </c>
      <c r="I411" t="s">
        <v>35</v>
      </c>
      <c r="J411" t="s">
        <v>35</v>
      </c>
      <c r="K411" t="s">
        <v>675</v>
      </c>
      <c r="L411" s="29">
        <v>46304</v>
      </c>
    </row>
    <row r="412" spans="1:12" x14ac:dyDescent="0.25">
      <c r="A412" t="s">
        <v>1091</v>
      </c>
      <c r="B412" t="s">
        <v>180</v>
      </c>
      <c r="C412" s="30" t="s">
        <v>177</v>
      </c>
      <c r="D412" s="30" t="s">
        <v>178</v>
      </c>
      <c r="E412" t="s">
        <v>1074</v>
      </c>
      <c r="F412" s="25">
        <v>20000</v>
      </c>
      <c r="G412" s="29"/>
      <c r="H412" t="s">
        <v>674</v>
      </c>
      <c r="I412" t="s">
        <v>35</v>
      </c>
      <c r="J412" t="s">
        <v>35</v>
      </c>
      <c r="K412" t="s">
        <v>675</v>
      </c>
      <c r="L412" s="29">
        <v>46304</v>
      </c>
    </row>
    <row r="413" spans="1:12" x14ac:dyDescent="0.25">
      <c r="A413" t="s">
        <v>1092</v>
      </c>
      <c r="B413" t="s">
        <v>186</v>
      </c>
      <c r="C413" s="30" t="s">
        <v>183</v>
      </c>
      <c r="D413" s="30" t="s">
        <v>184</v>
      </c>
      <c r="E413" t="s">
        <v>1074</v>
      </c>
      <c r="F413" s="25">
        <v>7000</v>
      </c>
      <c r="G413" s="29"/>
      <c r="H413" t="s">
        <v>674</v>
      </c>
      <c r="I413" t="s">
        <v>35</v>
      </c>
      <c r="J413" t="s">
        <v>35</v>
      </c>
      <c r="K413" t="s">
        <v>675</v>
      </c>
      <c r="L413" s="29">
        <v>46304</v>
      </c>
    </row>
    <row r="414" spans="1:12" x14ac:dyDescent="0.25">
      <c r="A414" t="s">
        <v>1093</v>
      </c>
      <c r="B414" t="s">
        <v>192</v>
      </c>
      <c r="C414" s="30" t="s">
        <v>189</v>
      </c>
      <c r="D414" s="30" t="s">
        <v>190</v>
      </c>
      <c r="E414" t="s">
        <v>1074</v>
      </c>
      <c r="F414" s="25">
        <v>15000</v>
      </c>
      <c r="G414" s="29"/>
      <c r="H414" t="s">
        <v>674</v>
      </c>
      <c r="I414" t="s">
        <v>35</v>
      </c>
      <c r="J414" t="s">
        <v>35</v>
      </c>
      <c r="K414" t="s">
        <v>675</v>
      </c>
      <c r="L414" s="29">
        <v>46304</v>
      </c>
    </row>
    <row r="415" spans="1:12" x14ac:dyDescent="0.25">
      <c r="A415" t="s">
        <v>1094</v>
      </c>
      <c r="B415" t="s">
        <v>196</v>
      </c>
      <c r="C415" s="30" t="s">
        <v>177</v>
      </c>
      <c r="D415" s="30" t="s">
        <v>195</v>
      </c>
      <c r="E415" t="s">
        <v>1074</v>
      </c>
      <c r="F415" s="25">
        <v>15000</v>
      </c>
      <c r="G415" s="29"/>
      <c r="H415" t="s">
        <v>674</v>
      </c>
      <c r="I415" t="s">
        <v>35</v>
      </c>
      <c r="J415" t="s">
        <v>35</v>
      </c>
      <c r="K415" t="s">
        <v>675</v>
      </c>
      <c r="L415" s="29">
        <v>46304</v>
      </c>
    </row>
    <row r="416" spans="1:12" x14ac:dyDescent="0.25">
      <c r="A416" t="s">
        <v>1095</v>
      </c>
      <c r="B416" t="s">
        <v>201</v>
      </c>
      <c r="C416" s="30" t="s">
        <v>198</v>
      </c>
      <c r="D416" s="30" t="s">
        <v>199</v>
      </c>
      <c r="E416" t="s">
        <v>1074</v>
      </c>
      <c r="F416" s="25">
        <v>7000</v>
      </c>
      <c r="G416" s="29"/>
      <c r="H416" t="s">
        <v>674</v>
      </c>
      <c r="I416" t="s">
        <v>35</v>
      </c>
      <c r="J416" t="s">
        <v>35</v>
      </c>
      <c r="K416" t="s">
        <v>675</v>
      </c>
      <c r="L416" s="29">
        <v>46304</v>
      </c>
    </row>
    <row r="417" spans="1:12" x14ac:dyDescent="0.25">
      <c r="A417" t="s">
        <v>1096</v>
      </c>
      <c r="B417" t="s">
        <v>205</v>
      </c>
      <c r="C417" s="30" t="s">
        <v>198</v>
      </c>
      <c r="D417" s="30" t="s">
        <v>204</v>
      </c>
      <c r="E417" t="s">
        <v>1074</v>
      </c>
      <c r="F417" s="25">
        <v>8000</v>
      </c>
      <c r="G417" s="29"/>
      <c r="H417" t="s">
        <v>674</v>
      </c>
      <c r="I417" t="s">
        <v>35</v>
      </c>
      <c r="J417" t="s">
        <v>35</v>
      </c>
      <c r="K417" t="s">
        <v>675</v>
      </c>
      <c r="L417" s="29">
        <v>46304</v>
      </c>
    </row>
    <row r="418" spans="1:12" x14ac:dyDescent="0.25">
      <c r="A418" t="s">
        <v>1097</v>
      </c>
      <c r="B418" t="s">
        <v>208</v>
      </c>
      <c r="C418" s="30" t="s">
        <v>198</v>
      </c>
      <c r="D418" s="30" t="s">
        <v>207</v>
      </c>
      <c r="E418" t="s">
        <v>1074</v>
      </c>
      <c r="F418" s="25">
        <v>8000</v>
      </c>
      <c r="G418" s="29"/>
      <c r="H418" t="s">
        <v>674</v>
      </c>
      <c r="I418" t="s">
        <v>35</v>
      </c>
      <c r="J418" t="s">
        <v>35</v>
      </c>
      <c r="K418" t="s">
        <v>675</v>
      </c>
      <c r="L418" s="29">
        <v>46304</v>
      </c>
    </row>
    <row r="419" spans="1:12" x14ac:dyDescent="0.25">
      <c r="A419" t="s">
        <v>1098</v>
      </c>
      <c r="B419" t="s">
        <v>220</v>
      </c>
      <c r="C419" s="30" t="s">
        <v>217</v>
      </c>
      <c r="D419" s="30" t="s">
        <v>100</v>
      </c>
      <c r="E419" t="s">
        <v>1074</v>
      </c>
      <c r="F419" s="25">
        <v>16500</v>
      </c>
      <c r="G419" s="29"/>
      <c r="H419" t="s">
        <v>674</v>
      </c>
      <c r="I419" t="s">
        <v>35</v>
      </c>
      <c r="J419" t="s">
        <v>35</v>
      </c>
      <c r="K419" t="s">
        <v>675</v>
      </c>
      <c r="L419" s="29">
        <v>46304</v>
      </c>
    </row>
    <row r="420" spans="1:12" x14ac:dyDescent="0.25">
      <c r="A420" t="s">
        <v>1099</v>
      </c>
      <c r="B420" t="s">
        <v>233</v>
      </c>
      <c r="C420" s="30" t="s">
        <v>230</v>
      </c>
      <c r="D420" s="30" t="s">
        <v>225</v>
      </c>
      <c r="E420" t="s">
        <v>1074</v>
      </c>
      <c r="F420" s="25">
        <v>14500</v>
      </c>
      <c r="G420" s="29"/>
      <c r="H420" t="s">
        <v>674</v>
      </c>
      <c r="I420" t="s">
        <v>35</v>
      </c>
      <c r="J420" t="s">
        <v>35</v>
      </c>
      <c r="K420" t="s">
        <v>675</v>
      </c>
      <c r="L420" s="29">
        <v>46304</v>
      </c>
    </row>
    <row r="421" spans="1:12" x14ac:dyDescent="0.25">
      <c r="A421" t="s">
        <v>1100</v>
      </c>
      <c r="B421" t="s">
        <v>238</v>
      </c>
      <c r="C421" s="30" t="s">
        <v>235</v>
      </c>
      <c r="D421" s="30" t="s">
        <v>236</v>
      </c>
      <c r="E421" t="s">
        <v>1074</v>
      </c>
      <c r="F421" s="25">
        <v>14000</v>
      </c>
      <c r="G421" s="29"/>
      <c r="H421" t="s">
        <v>674</v>
      </c>
      <c r="I421" t="s">
        <v>35</v>
      </c>
      <c r="J421" t="s">
        <v>35</v>
      </c>
      <c r="K421" t="s">
        <v>675</v>
      </c>
      <c r="L421" s="29">
        <v>46304</v>
      </c>
    </row>
    <row r="422" spans="1:12" x14ac:dyDescent="0.25">
      <c r="A422" t="s">
        <v>1101</v>
      </c>
      <c r="B422" t="s">
        <v>245</v>
      </c>
      <c r="C422" s="30" t="s">
        <v>241</v>
      </c>
      <c r="D422" s="30" t="s">
        <v>243</v>
      </c>
      <c r="E422" t="s">
        <v>1074</v>
      </c>
      <c r="F422" s="25">
        <v>16500</v>
      </c>
      <c r="G422" s="29"/>
      <c r="H422" t="s">
        <v>674</v>
      </c>
      <c r="I422" t="s">
        <v>35</v>
      </c>
      <c r="J422" t="s">
        <v>35</v>
      </c>
      <c r="K422" t="s">
        <v>675</v>
      </c>
      <c r="L422" s="29">
        <v>46304</v>
      </c>
    </row>
    <row r="423" spans="1:12" x14ac:dyDescent="0.25">
      <c r="A423" t="s">
        <v>1102</v>
      </c>
      <c r="B423" t="s">
        <v>252</v>
      </c>
      <c r="C423" s="30" t="s">
        <v>248</v>
      </c>
      <c r="D423" s="30" t="s">
        <v>250</v>
      </c>
      <c r="E423" t="s">
        <v>1074</v>
      </c>
      <c r="F423" s="25">
        <v>20000</v>
      </c>
      <c r="G423" s="29"/>
      <c r="H423" t="s">
        <v>674</v>
      </c>
      <c r="I423" t="s">
        <v>35</v>
      </c>
      <c r="J423" t="s">
        <v>35</v>
      </c>
      <c r="K423" t="s">
        <v>675</v>
      </c>
      <c r="L423" s="29">
        <v>46304</v>
      </c>
    </row>
    <row r="424" spans="1:12" x14ac:dyDescent="0.25">
      <c r="A424" t="s">
        <v>1103</v>
      </c>
      <c r="B424" t="s">
        <v>260</v>
      </c>
      <c r="C424" s="30" t="s">
        <v>255</v>
      </c>
      <c r="D424" s="30" t="s">
        <v>257</v>
      </c>
      <c r="E424" t="s">
        <v>1074</v>
      </c>
      <c r="F424" s="25">
        <v>21175</v>
      </c>
      <c r="G424" s="29"/>
      <c r="H424" t="s">
        <v>674</v>
      </c>
      <c r="I424" t="s">
        <v>35</v>
      </c>
      <c r="J424" t="s">
        <v>35</v>
      </c>
      <c r="K424" t="s">
        <v>675</v>
      </c>
      <c r="L424" s="29">
        <v>46304</v>
      </c>
    </row>
    <row r="425" spans="1:12" x14ac:dyDescent="0.25">
      <c r="A425" t="s">
        <v>1104</v>
      </c>
      <c r="B425" t="s">
        <v>271</v>
      </c>
      <c r="C425" s="30" t="s">
        <v>268</v>
      </c>
      <c r="D425" s="30" t="s">
        <v>113</v>
      </c>
      <c r="E425" t="s">
        <v>1074</v>
      </c>
      <c r="F425" s="25">
        <v>17000</v>
      </c>
      <c r="G425" s="29"/>
      <c r="H425" t="s">
        <v>674</v>
      </c>
      <c r="I425" t="s">
        <v>35</v>
      </c>
      <c r="J425" t="s">
        <v>35</v>
      </c>
      <c r="K425" t="s">
        <v>675</v>
      </c>
      <c r="L425" s="29">
        <v>46304</v>
      </c>
    </row>
    <row r="426" spans="1:12" x14ac:dyDescent="0.25">
      <c r="A426" t="s">
        <v>1105</v>
      </c>
      <c r="B426" t="s">
        <v>274</v>
      </c>
      <c r="C426" s="30" t="s">
        <v>177</v>
      </c>
      <c r="D426" s="30" t="s">
        <v>120</v>
      </c>
      <c r="E426" t="s">
        <v>1074</v>
      </c>
      <c r="F426" s="25">
        <v>19000</v>
      </c>
      <c r="G426" s="29"/>
      <c r="H426" t="s">
        <v>674</v>
      </c>
      <c r="I426" t="s">
        <v>35</v>
      </c>
      <c r="J426" t="s">
        <v>35</v>
      </c>
      <c r="K426" t="s">
        <v>675</v>
      </c>
      <c r="L426" s="29">
        <v>46304</v>
      </c>
    </row>
    <row r="427" spans="1:12" x14ac:dyDescent="0.25">
      <c r="A427" t="s">
        <v>1106</v>
      </c>
      <c r="B427" t="s">
        <v>290</v>
      </c>
      <c r="C427" s="30" t="s">
        <v>285</v>
      </c>
      <c r="D427" s="30" t="s">
        <v>287</v>
      </c>
      <c r="E427" t="s">
        <v>1074</v>
      </c>
      <c r="F427" s="25">
        <v>11500</v>
      </c>
      <c r="G427" s="29"/>
      <c r="H427" t="s">
        <v>674</v>
      </c>
      <c r="I427" t="s">
        <v>35</v>
      </c>
      <c r="J427" t="s">
        <v>35</v>
      </c>
      <c r="K427" t="s">
        <v>675</v>
      </c>
      <c r="L427" s="29">
        <v>46304</v>
      </c>
    </row>
    <row r="428" spans="1:12" x14ac:dyDescent="0.25">
      <c r="A428" t="s">
        <v>1107</v>
      </c>
      <c r="B428" t="s">
        <v>296</v>
      </c>
      <c r="C428" s="30" t="s">
        <v>293</v>
      </c>
      <c r="D428" s="30" t="s">
        <v>294</v>
      </c>
      <c r="E428" t="s">
        <v>1074</v>
      </c>
      <c r="F428" s="25">
        <v>11195</v>
      </c>
      <c r="G428" s="29"/>
      <c r="H428" t="s">
        <v>674</v>
      </c>
      <c r="I428" t="s">
        <v>35</v>
      </c>
      <c r="J428" t="s">
        <v>35</v>
      </c>
      <c r="K428" t="s">
        <v>675</v>
      </c>
      <c r="L428" s="29">
        <v>46304</v>
      </c>
    </row>
    <row r="429" spans="1:12" x14ac:dyDescent="0.25">
      <c r="A429" t="s">
        <v>1108</v>
      </c>
      <c r="B429" t="s">
        <v>303</v>
      </c>
      <c r="C429" s="30" t="s">
        <v>299</v>
      </c>
      <c r="D429" s="30" t="s">
        <v>301</v>
      </c>
      <c r="E429" t="s">
        <v>1074</v>
      </c>
      <c r="F429" s="25">
        <v>12100</v>
      </c>
      <c r="G429" s="29"/>
      <c r="H429" t="s">
        <v>674</v>
      </c>
      <c r="I429" t="s">
        <v>35</v>
      </c>
      <c r="J429" t="s">
        <v>35</v>
      </c>
      <c r="K429" t="s">
        <v>675</v>
      </c>
      <c r="L429" s="29">
        <v>46304</v>
      </c>
    </row>
    <row r="430" spans="1:12" x14ac:dyDescent="0.25">
      <c r="A430" t="s">
        <v>1109</v>
      </c>
      <c r="B430" t="s">
        <v>310</v>
      </c>
      <c r="C430" s="30" t="s">
        <v>306</v>
      </c>
      <c r="D430" s="30" t="s">
        <v>131</v>
      </c>
      <c r="E430" t="s">
        <v>1074</v>
      </c>
      <c r="F430" s="25">
        <v>12100</v>
      </c>
      <c r="G430" s="29"/>
      <c r="H430" t="s">
        <v>674</v>
      </c>
      <c r="I430" t="s">
        <v>35</v>
      </c>
      <c r="J430" t="s">
        <v>35</v>
      </c>
      <c r="K430" t="s">
        <v>675</v>
      </c>
      <c r="L430" s="29">
        <v>46304</v>
      </c>
    </row>
    <row r="431" spans="1:12" x14ac:dyDescent="0.25">
      <c r="A431" t="s">
        <v>1110</v>
      </c>
      <c r="B431" t="s">
        <v>317</v>
      </c>
      <c r="C431" s="30" t="s">
        <v>313</v>
      </c>
      <c r="D431" s="30" t="s">
        <v>315</v>
      </c>
      <c r="E431" t="s">
        <v>1074</v>
      </c>
      <c r="F431" s="25">
        <v>16335</v>
      </c>
      <c r="G431" s="29"/>
      <c r="H431" t="s">
        <v>674</v>
      </c>
      <c r="I431" t="s">
        <v>35</v>
      </c>
      <c r="J431" t="s">
        <v>35</v>
      </c>
      <c r="K431" t="s">
        <v>675</v>
      </c>
      <c r="L431" s="29">
        <v>46304</v>
      </c>
    </row>
    <row r="432" spans="1:12" x14ac:dyDescent="0.25">
      <c r="A432" t="s">
        <v>1111</v>
      </c>
      <c r="B432" t="s">
        <v>322</v>
      </c>
      <c r="C432" s="30" t="s">
        <v>320</v>
      </c>
      <c r="D432" s="30" t="s">
        <v>138</v>
      </c>
      <c r="E432" t="s">
        <v>1074</v>
      </c>
      <c r="F432" s="25">
        <v>13500</v>
      </c>
      <c r="G432" s="29"/>
      <c r="H432" t="s">
        <v>674</v>
      </c>
      <c r="I432" t="s">
        <v>35</v>
      </c>
      <c r="J432" t="s">
        <v>35</v>
      </c>
      <c r="K432" t="s">
        <v>675</v>
      </c>
      <c r="L432" s="29">
        <v>46304</v>
      </c>
    </row>
    <row r="433" spans="1:12" x14ac:dyDescent="0.25">
      <c r="A433" t="s">
        <v>1112</v>
      </c>
      <c r="B433" t="s">
        <v>329</v>
      </c>
      <c r="C433" s="30" t="s">
        <v>325</v>
      </c>
      <c r="D433" s="30" t="s">
        <v>327</v>
      </c>
      <c r="E433" t="s">
        <v>1074</v>
      </c>
      <c r="F433" s="25">
        <v>14000</v>
      </c>
      <c r="G433" s="29"/>
      <c r="H433" t="s">
        <v>674</v>
      </c>
      <c r="I433" t="s">
        <v>35</v>
      </c>
      <c r="J433" t="s">
        <v>35</v>
      </c>
      <c r="K433" t="s">
        <v>675</v>
      </c>
      <c r="L433" s="29">
        <v>46304</v>
      </c>
    </row>
    <row r="434" spans="1:12" x14ac:dyDescent="0.25">
      <c r="A434" t="s">
        <v>1113</v>
      </c>
      <c r="B434" t="s">
        <v>336</v>
      </c>
      <c r="C434" s="30" t="s">
        <v>332</v>
      </c>
      <c r="D434" s="30" t="s">
        <v>334</v>
      </c>
      <c r="E434" t="s">
        <v>1074</v>
      </c>
      <c r="F434" s="25">
        <v>16035</v>
      </c>
      <c r="G434" s="29"/>
      <c r="H434" t="s">
        <v>674</v>
      </c>
      <c r="I434" t="s">
        <v>35</v>
      </c>
      <c r="J434" t="s">
        <v>35</v>
      </c>
      <c r="K434" t="s">
        <v>675</v>
      </c>
      <c r="L434" s="29">
        <v>46304</v>
      </c>
    </row>
    <row r="435" spans="1:12" x14ac:dyDescent="0.25">
      <c r="A435" t="s">
        <v>1114</v>
      </c>
      <c r="B435" t="s">
        <v>343</v>
      </c>
      <c r="C435" s="30" t="s">
        <v>339</v>
      </c>
      <c r="D435" s="30" t="s">
        <v>340</v>
      </c>
      <c r="E435" t="s">
        <v>1074</v>
      </c>
      <c r="F435" s="25">
        <v>16500</v>
      </c>
      <c r="G435" s="29"/>
      <c r="H435" t="s">
        <v>674</v>
      </c>
      <c r="I435" t="s">
        <v>35</v>
      </c>
      <c r="J435" t="s">
        <v>35</v>
      </c>
      <c r="K435" t="s">
        <v>675</v>
      </c>
      <c r="L435" s="29">
        <v>46304</v>
      </c>
    </row>
    <row r="436" spans="1:12" x14ac:dyDescent="0.25">
      <c r="A436" t="s">
        <v>1115</v>
      </c>
      <c r="B436" t="s">
        <v>349</v>
      </c>
      <c r="C436" s="30" t="s">
        <v>346</v>
      </c>
      <c r="D436" s="30" t="s">
        <v>347</v>
      </c>
      <c r="E436" t="s">
        <v>1074</v>
      </c>
      <c r="F436" s="25">
        <v>18500</v>
      </c>
      <c r="G436" s="29"/>
      <c r="H436" t="s">
        <v>674</v>
      </c>
      <c r="I436" t="s">
        <v>35</v>
      </c>
      <c r="J436" t="s">
        <v>35</v>
      </c>
      <c r="K436" t="s">
        <v>675</v>
      </c>
      <c r="L436" s="29">
        <v>46304</v>
      </c>
    </row>
    <row r="437" spans="1:12" x14ac:dyDescent="0.25">
      <c r="A437" t="s">
        <v>1116</v>
      </c>
      <c r="B437" t="s">
        <v>356</v>
      </c>
      <c r="C437" s="30" t="s">
        <v>352</v>
      </c>
      <c r="D437" s="30" t="s">
        <v>354</v>
      </c>
      <c r="E437" t="s">
        <v>1074</v>
      </c>
      <c r="F437" s="25">
        <v>15000</v>
      </c>
      <c r="G437" s="29"/>
      <c r="H437" t="s">
        <v>674</v>
      </c>
      <c r="I437" t="s">
        <v>35</v>
      </c>
      <c r="J437" t="s">
        <v>35</v>
      </c>
      <c r="K437" t="s">
        <v>675</v>
      </c>
      <c r="L437" s="29">
        <v>46304</v>
      </c>
    </row>
    <row r="438" spans="1:12" x14ac:dyDescent="0.25">
      <c r="A438" t="s">
        <v>1117</v>
      </c>
      <c r="B438" t="s">
        <v>359</v>
      </c>
      <c r="C438" s="30" t="s">
        <v>352</v>
      </c>
      <c r="D438" s="30" t="s">
        <v>144</v>
      </c>
      <c r="E438" t="s">
        <v>1074</v>
      </c>
      <c r="F438" s="25">
        <v>15000</v>
      </c>
      <c r="G438" s="29"/>
      <c r="H438" t="s">
        <v>674</v>
      </c>
      <c r="I438" t="s">
        <v>35</v>
      </c>
      <c r="J438" t="s">
        <v>35</v>
      </c>
      <c r="K438" t="s">
        <v>675</v>
      </c>
      <c r="L438" s="29">
        <v>46304</v>
      </c>
    </row>
    <row r="439" spans="1:12" x14ac:dyDescent="0.25">
      <c r="A439" t="s">
        <v>1118</v>
      </c>
      <c r="B439" t="s">
        <v>364</v>
      </c>
      <c r="C439" s="30" t="s">
        <v>361</v>
      </c>
      <c r="D439" s="30" t="s">
        <v>151</v>
      </c>
      <c r="E439" t="s">
        <v>1074</v>
      </c>
      <c r="F439" s="25">
        <v>11135</v>
      </c>
      <c r="G439" s="29"/>
      <c r="H439" t="s">
        <v>674</v>
      </c>
      <c r="I439" t="s">
        <v>35</v>
      </c>
      <c r="J439" t="s">
        <v>35</v>
      </c>
      <c r="K439" t="s">
        <v>675</v>
      </c>
      <c r="L439" s="29">
        <v>46304</v>
      </c>
    </row>
    <row r="440" spans="1:12" x14ac:dyDescent="0.25">
      <c r="A440" t="s">
        <v>1119</v>
      </c>
      <c r="B440" t="s">
        <v>370</v>
      </c>
      <c r="C440" s="30" t="s">
        <v>367</v>
      </c>
      <c r="D440" s="30" t="s">
        <v>157</v>
      </c>
      <c r="E440" t="s">
        <v>1074</v>
      </c>
      <c r="F440" s="25">
        <v>10000</v>
      </c>
      <c r="G440" s="29"/>
      <c r="H440" t="s">
        <v>674</v>
      </c>
      <c r="I440" t="s">
        <v>35</v>
      </c>
      <c r="J440" t="s">
        <v>35</v>
      </c>
      <c r="K440" t="s">
        <v>675</v>
      </c>
      <c r="L440" s="29">
        <v>46304</v>
      </c>
    </row>
    <row r="441" spans="1:12" x14ac:dyDescent="0.25">
      <c r="A441" t="s">
        <v>1120</v>
      </c>
      <c r="B441" t="s">
        <v>374</v>
      </c>
      <c r="C441" s="30" t="s">
        <v>198</v>
      </c>
      <c r="D441" s="30" t="s">
        <v>373</v>
      </c>
      <c r="E441" t="s">
        <v>1074</v>
      </c>
      <c r="F441" s="25">
        <v>13000</v>
      </c>
      <c r="G441" s="29"/>
      <c r="H441" t="s">
        <v>674</v>
      </c>
      <c r="I441" t="s">
        <v>35</v>
      </c>
      <c r="J441" t="s">
        <v>35</v>
      </c>
      <c r="K441" t="s">
        <v>675</v>
      </c>
      <c r="L441" s="29">
        <v>46304</v>
      </c>
    </row>
    <row r="442" spans="1:12" x14ac:dyDescent="0.25">
      <c r="A442" t="s">
        <v>1121</v>
      </c>
      <c r="B442" t="s">
        <v>380</v>
      </c>
      <c r="C442" s="30" t="s">
        <v>376</v>
      </c>
      <c r="D442" s="30" t="s">
        <v>378</v>
      </c>
      <c r="E442" t="s">
        <v>1074</v>
      </c>
      <c r="F442" s="25">
        <v>19000</v>
      </c>
      <c r="G442" s="29"/>
      <c r="H442" t="s">
        <v>674</v>
      </c>
      <c r="I442" t="s">
        <v>35</v>
      </c>
      <c r="J442" t="s">
        <v>35</v>
      </c>
      <c r="K442" t="s">
        <v>675</v>
      </c>
      <c r="L442" s="29">
        <v>46304</v>
      </c>
    </row>
    <row r="443" spans="1:12" x14ac:dyDescent="0.25">
      <c r="A443" t="s">
        <v>1122</v>
      </c>
      <c r="B443" t="s">
        <v>388</v>
      </c>
      <c r="C443" s="30" t="s">
        <v>383</v>
      </c>
      <c r="D443" s="30" t="s">
        <v>385</v>
      </c>
      <c r="E443" t="s">
        <v>1074</v>
      </c>
      <c r="F443" s="25">
        <v>18000</v>
      </c>
      <c r="G443" s="29"/>
      <c r="H443" t="s">
        <v>674</v>
      </c>
      <c r="I443" t="s">
        <v>35</v>
      </c>
      <c r="J443" t="s">
        <v>35</v>
      </c>
      <c r="K443" t="s">
        <v>675</v>
      </c>
      <c r="L443" s="29">
        <v>46304</v>
      </c>
    </row>
    <row r="444" spans="1:12" x14ac:dyDescent="0.25">
      <c r="A444" t="s">
        <v>1123</v>
      </c>
      <c r="B444" t="s">
        <v>395</v>
      </c>
      <c r="C444" s="30" t="s">
        <v>391</v>
      </c>
      <c r="D444" s="30" t="s">
        <v>393</v>
      </c>
      <c r="E444" t="s">
        <v>1074</v>
      </c>
      <c r="F444" s="25">
        <v>9680</v>
      </c>
      <c r="G444" s="29"/>
      <c r="H444" t="s">
        <v>674</v>
      </c>
      <c r="I444" t="s">
        <v>35</v>
      </c>
      <c r="J444" t="s">
        <v>35</v>
      </c>
      <c r="K444" t="s">
        <v>675</v>
      </c>
      <c r="L444" s="29">
        <v>46304</v>
      </c>
    </row>
    <row r="445" spans="1:12" x14ac:dyDescent="0.25">
      <c r="A445" t="s">
        <v>1124</v>
      </c>
      <c r="B445" t="s">
        <v>403</v>
      </c>
      <c r="C445" s="30" t="s">
        <v>398</v>
      </c>
      <c r="D445" s="30" t="s">
        <v>400</v>
      </c>
      <c r="E445" t="s">
        <v>1074</v>
      </c>
      <c r="F445" s="25">
        <v>19000</v>
      </c>
      <c r="G445" s="29"/>
      <c r="H445" t="s">
        <v>674</v>
      </c>
      <c r="I445" t="s">
        <v>35</v>
      </c>
      <c r="J445" t="s">
        <v>35</v>
      </c>
      <c r="K445" t="s">
        <v>675</v>
      </c>
      <c r="L445" s="29">
        <v>46304</v>
      </c>
    </row>
    <row r="446" spans="1:12" x14ac:dyDescent="0.25">
      <c r="A446" t="s">
        <v>1125</v>
      </c>
      <c r="B446" t="s">
        <v>409</v>
      </c>
      <c r="C446" s="30" t="s">
        <v>406</v>
      </c>
      <c r="D446" s="30" t="s">
        <v>407</v>
      </c>
      <c r="E446" t="s">
        <v>1074</v>
      </c>
      <c r="F446" s="25">
        <v>11495</v>
      </c>
      <c r="G446" s="29"/>
      <c r="H446" t="s">
        <v>674</v>
      </c>
      <c r="I446" t="s">
        <v>35</v>
      </c>
      <c r="J446" t="s">
        <v>35</v>
      </c>
      <c r="K446" t="s">
        <v>675</v>
      </c>
      <c r="L446" s="29">
        <v>46304</v>
      </c>
    </row>
    <row r="447" spans="1:12" x14ac:dyDescent="0.25">
      <c r="A447" t="s">
        <v>1126</v>
      </c>
      <c r="B447" t="s">
        <v>415</v>
      </c>
      <c r="C447" s="30" t="s">
        <v>412</v>
      </c>
      <c r="D447" s="30" t="s">
        <v>413</v>
      </c>
      <c r="E447" t="s">
        <v>1074</v>
      </c>
      <c r="F447" s="25">
        <v>11000</v>
      </c>
      <c r="G447" s="29"/>
      <c r="H447" t="s">
        <v>674</v>
      </c>
      <c r="I447" t="s">
        <v>35</v>
      </c>
      <c r="J447" t="s">
        <v>35</v>
      </c>
      <c r="K447" t="s">
        <v>675</v>
      </c>
      <c r="L447" s="29">
        <v>46304</v>
      </c>
    </row>
    <row r="448" spans="1:12" x14ac:dyDescent="0.25">
      <c r="A448" t="s">
        <v>1127</v>
      </c>
      <c r="B448" t="s">
        <v>423</v>
      </c>
      <c r="C448" s="30" t="s">
        <v>418</v>
      </c>
      <c r="D448" s="30" t="s">
        <v>419</v>
      </c>
      <c r="E448" t="s">
        <v>1074</v>
      </c>
      <c r="F448" s="25">
        <v>11390</v>
      </c>
      <c r="G448" s="29"/>
      <c r="H448" t="s">
        <v>674</v>
      </c>
      <c r="I448" t="s">
        <v>35</v>
      </c>
      <c r="J448" t="s">
        <v>35</v>
      </c>
      <c r="K448" t="s">
        <v>675</v>
      </c>
      <c r="L448" s="29">
        <v>46304</v>
      </c>
    </row>
    <row r="449" spans="1:12" x14ac:dyDescent="0.25">
      <c r="A449" t="s">
        <v>1128</v>
      </c>
      <c r="B449" t="s">
        <v>430</v>
      </c>
      <c r="C449" s="30" t="s">
        <v>426</v>
      </c>
      <c r="D449" s="30" t="s">
        <v>428</v>
      </c>
      <c r="E449" t="s">
        <v>1074</v>
      </c>
      <c r="F449" s="25">
        <v>17000</v>
      </c>
      <c r="G449" s="29"/>
      <c r="H449" t="s">
        <v>674</v>
      </c>
      <c r="I449" t="s">
        <v>35</v>
      </c>
      <c r="J449" t="s">
        <v>35</v>
      </c>
      <c r="K449" t="s">
        <v>675</v>
      </c>
      <c r="L449" s="29">
        <v>46304</v>
      </c>
    </row>
    <row r="450" spans="1:12" x14ac:dyDescent="0.25">
      <c r="A450" t="s">
        <v>1129</v>
      </c>
      <c r="B450" t="s">
        <v>453</v>
      </c>
      <c r="C450" s="30" t="s">
        <v>448</v>
      </c>
      <c r="D450" s="30" t="s">
        <v>450</v>
      </c>
      <c r="E450" t="s">
        <v>1074</v>
      </c>
      <c r="F450" s="25">
        <v>17000</v>
      </c>
      <c r="G450" s="29"/>
      <c r="H450" t="s">
        <v>674</v>
      </c>
      <c r="I450" t="s">
        <v>35</v>
      </c>
      <c r="J450" t="s">
        <v>35</v>
      </c>
      <c r="K450" t="s">
        <v>675</v>
      </c>
      <c r="L450" s="29">
        <v>46304</v>
      </c>
    </row>
    <row r="451" spans="1:12" x14ac:dyDescent="0.25">
      <c r="A451" t="s">
        <v>1130</v>
      </c>
      <c r="B451" t="s">
        <v>460</v>
      </c>
      <c r="C451" s="30" t="s">
        <v>456</v>
      </c>
      <c r="D451" s="30" t="s">
        <v>458</v>
      </c>
      <c r="E451" t="s">
        <v>1074</v>
      </c>
      <c r="F451" s="25">
        <v>20000</v>
      </c>
      <c r="G451" s="29"/>
      <c r="H451" t="s">
        <v>674</v>
      </c>
      <c r="I451" t="s">
        <v>35</v>
      </c>
      <c r="J451" t="s">
        <v>35</v>
      </c>
      <c r="K451" t="s">
        <v>675</v>
      </c>
      <c r="L451" s="29">
        <v>46304</v>
      </c>
    </row>
    <row r="452" spans="1:12" x14ac:dyDescent="0.25">
      <c r="A452" t="s">
        <v>1131</v>
      </c>
      <c r="B452" t="s">
        <v>467</v>
      </c>
      <c r="C452" s="30" t="s">
        <v>463</v>
      </c>
      <c r="D452" s="30" t="s">
        <v>465</v>
      </c>
      <c r="E452" t="s">
        <v>1074</v>
      </c>
      <c r="F452" s="25">
        <v>11000</v>
      </c>
      <c r="G452" s="29"/>
      <c r="H452" t="s">
        <v>674</v>
      </c>
      <c r="I452" t="s">
        <v>35</v>
      </c>
      <c r="J452" t="s">
        <v>35</v>
      </c>
      <c r="K452" t="s">
        <v>675</v>
      </c>
      <c r="L452" s="29">
        <v>46304</v>
      </c>
    </row>
    <row r="453" spans="1:12" x14ac:dyDescent="0.25">
      <c r="A453" t="s">
        <v>1132</v>
      </c>
      <c r="B453" t="s">
        <v>488</v>
      </c>
      <c r="C453" s="30" t="s">
        <v>484</v>
      </c>
      <c r="D453" s="30" t="s">
        <v>486</v>
      </c>
      <c r="E453" t="s">
        <v>1074</v>
      </c>
      <c r="F453" s="25">
        <v>13000</v>
      </c>
      <c r="G453" s="29"/>
      <c r="H453" t="s">
        <v>674</v>
      </c>
      <c r="I453" t="s">
        <v>35</v>
      </c>
      <c r="J453" t="s">
        <v>35</v>
      </c>
      <c r="K453" t="s">
        <v>675</v>
      </c>
      <c r="L453" s="29">
        <v>46304</v>
      </c>
    </row>
    <row r="454" spans="1:12" x14ac:dyDescent="0.25">
      <c r="A454" t="s">
        <v>1133</v>
      </c>
      <c r="B454" t="s">
        <v>492</v>
      </c>
      <c r="C454" s="30" t="s">
        <v>484</v>
      </c>
      <c r="D454" s="30" t="s">
        <v>491</v>
      </c>
      <c r="E454" t="s">
        <v>1074</v>
      </c>
      <c r="F454" s="25">
        <v>13000</v>
      </c>
      <c r="G454" s="29"/>
      <c r="H454" t="s">
        <v>674</v>
      </c>
      <c r="I454" t="s">
        <v>35</v>
      </c>
      <c r="J454" t="s">
        <v>35</v>
      </c>
      <c r="K454" t="s">
        <v>675</v>
      </c>
      <c r="L454" s="29">
        <v>46304</v>
      </c>
    </row>
    <row r="455" spans="1:12" x14ac:dyDescent="0.25">
      <c r="A455" t="s">
        <v>1134</v>
      </c>
      <c r="B455" t="s">
        <v>52</v>
      </c>
      <c r="C455" s="30" t="s">
        <v>47</v>
      </c>
      <c r="D455" s="30" t="s">
        <v>49</v>
      </c>
      <c r="E455" t="s">
        <v>1135</v>
      </c>
      <c r="F455" s="25">
        <v>49610</v>
      </c>
      <c r="G455" s="29"/>
      <c r="H455" t="s">
        <v>674</v>
      </c>
      <c r="I455" t="s">
        <v>35</v>
      </c>
      <c r="J455" t="s">
        <v>35</v>
      </c>
      <c r="K455" t="s">
        <v>675</v>
      </c>
      <c r="L455" s="29">
        <v>46304</v>
      </c>
    </row>
    <row r="456" spans="1:12" x14ac:dyDescent="0.25">
      <c r="A456" t="s">
        <v>1136</v>
      </c>
      <c r="B456" t="s">
        <v>63</v>
      </c>
      <c r="C456" s="30" t="s">
        <v>47</v>
      </c>
      <c r="D456" s="30" t="s">
        <v>62</v>
      </c>
      <c r="E456" t="s">
        <v>1135</v>
      </c>
      <c r="F456" s="25">
        <v>91960</v>
      </c>
      <c r="G456" s="29"/>
      <c r="H456" t="s">
        <v>674</v>
      </c>
      <c r="I456" t="s">
        <v>35</v>
      </c>
      <c r="J456" t="s">
        <v>35</v>
      </c>
      <c r="K456" t="s">
        <v>675</v>
      </c>
      <c r="L456" s="29">
        <v>46304</v>
      </c>
    </row>
    <row r="457" spans="1:12" x14ac:dyDescent="0.25">
      <c r="A457" t="s">
        <v>1137</v>
      </c>
      <c r="B457" t="s">
        <v>70</v>
      </c>
      <c r="C457" s="30" t="s">
        <v>65</v>
      </c>
      <c r="D457" s="30" t="s">
        <v>67</v>
      </c>
      <c r="E457" t="s">
        <v>1135</v>
      </c>
      <c r="F457" s="25">
        <v>44090</v>
      </c>
      <c r="G457" s="29"/>
      <c r="H457" t="s">
        <v>674</v>
      </c>
      <c r="I457" t="s">
        <v>35</v>
      </c>
      <c r="J457" t="s">
        <v>35</v>
      </c>
      <c r="K457" t="s">
        <v>675</v>
      </c>
      <c r="L457" s="29">
        <v>46304</v>
      </c>
    </row>
    <row r="458" spans="1:12" x14ac:dyDescent="0.25">
      <c r="A458" t="s">
        <v>1138</v>
      </c>
      <c r="B458" t="s">
        <v>86</v>
      </c>
      <c r="C458" s="30" t="s">
        <v>80</v>
      </c>
      <c r="D458" s="30" t="s">
        <v>82</v>
      </c>
      <c r="E458" t="s">
        <v>1135</v>
      </c>
      <c r="F458" s="25">
        <v>46585</v>
      </c>
      <c r="G458" s="29"/>
      <c r="H458" t="s">
        <v>674</v>
      </c>
      <c r="I458" t="s">
        <v>35</v>
      </c>
      <c r="J458" t="s">
        <v>35</v>
      </c>
      <c r="K458" t="s">
        <v>675</v>
      </c>
      <c r="L458" s="29">
        <v>46304</v>
      </c>
    </row>
    <row r="459" spans="1:12" x14ac:dyDescent="0.25">
      <c r="A459" t="s">
        <v>1139</v>
      </c>
      <c r="B459" t="s">
        <v>95</v>
      </c>
      <c r="C459" s="30" t="s">
        <v>90</v>
      </c>
      <c r="D459" s="30" t="s">
        <v>92</v>
      </c>
      <c r="E459" t="s">
        <v>1135</v>
      </c>
      <c r="F459" s="25">
        <v>25410</v>
      </c>
      <c r="G459" s="29"/>
      <c r="H459" t="s">
        <v>674</v>
      </c>
      <c r="I459" t="s">
        <v>35</v>
      </c>
      <c r="J459" t="s">
        <v>35</v>
      </c>
      <c r="K459" t="s">
        <v>675</v>
      </c>
      <c r="L459" s="29">
        <v>46304</v>
      </c>
    </row>
    <row r="460" spans="1:12" x14ac:dyDescent="0.25">
      <c r="A460" t="s">
        <v>1140</v>
      </c>
      <c r="B460" t="s">
        <v>103</v>
      </c>
      <c r="C460" s="30" t="s">
        <v>98</v>
      </c>
      <c r="D460" s="30" t="s">
        <v>100</v>
      </c>
      <c r="E460" t="s">
        <v>1135</v>
      </c>
      <c r="F460" s="25">
        <v>46585</v>
      </c>
      <c r="G460" s="29"/>
      <c r="H460" t="s">
        <v>674</v>
      </c>
      <c r="I460" t="s">
        <v>35</v>
      </c>
      <c r="J460" t="s">
        <v>35</v>
      </c>
      <c r="K460" t="s">
        <v>675</v>
      </c>
      <c r="L460" s="29">
        <v>46304</v>
      </c>
    </row>
    <row r="461" spans="1:12" x14ac:dyDescent="0.25">
      <c r="A461" t="s">
        <v>1141</v>
      </c>
      <c r="B461" t="s">
        <v>109</v>
      </c>
      <c r="C461" s="30" t="s">
        <v>106</v>
      </c>
      <c r="D461" s="30" t="s">
        <v>107</v>
      </c>
      <c r="E461" t="s">
        <v>1135</v>
      </c>
      <c r="F461" s="25">
        <v>37000</v>
      </c>
      <c r="G461" s="29"/>
      <c r="H461" t="s">
        <v>674</v>
      </c>
      <c r="I461" t="s">
        <v>35</v>
      </c>
      <c r="J461" t="s">
        <v>35</v>
      </c>
      <c r="K461" t="s">
        <v>675</v>
      </c>
      <c r="L461" s="29">
        <v>46304</v>
      </c>
    </row>
    <row r="462" spans="1:12" x14ac:dyDescent="0.25">
      <c r="A462" t="s">
        <v>1142</v>
      </c>
      <c r="B462" t="s">
        <v>115</v>
      </c>
      <c r="C462" s="30" t="s">
        <v>112</v>
      </c>
      <c r="D462" s="30" t="s">
        <v>113</v>
      </c>
      <c r="E462" t="s">
        <v>1135</v>
      </c>
      <c r="F462" s="25">
        <v>37500</v>
      </c>
      <c r="G462" s="29"/>
      <c r="H462" t="s">
        <v>674</v>
      </c>
      <c r="I462" t="s">
        <v>35</v>
      </c>
      <c r="J462" t="s">
        <v>35</v>
      </c>
      <c r="K462" t="s">
        <v>675</v>
      </c>
      <c r="L462" s="29">
        <v>46304</v>
      </c>
    </row>
    <row r="463" spans="1:12" x14ac:dyDescent="0.25">
      <c r="A463" t="s">
        <v>1143</v>
      </c>
      <c r="B463" t="s">
        <v>123</v>
      </c>
      <c r="C463" s="30" t="s">
        <v>118</v>
      </c>
      <c r="D463" s="30" t="s">
        <v>120</v>
      </c>
      <c r="E463" t="s">
        <v>1135</v>
      </c>
      <c r="F463" s="25">
        <v>49450</v>
      </c>
      <c r="G463" s="29"/>
      <c r="H463" t="s">
        <v>674</v>
      </c>
      <c r="I463" t="s">
        <v>35</v>
      </c>
      <c r="J463" t="s">
        <v>35</v>
      </c>
      <c r="K463" t="s">
        <v>675</v>
      </c>
      <c r="L463" s="29">
        <v>46304</v>
      </c>
    </row>
    <row r="464" spans="1:12" x14ac:dyDescent="0.25">
      <c r="A464" t="s">
        <v>1144</v>
      </c>
      <c r="B464" t="s">
        <v>127</v>
      </c>
      <c r="C464" s="30" t="s">
        <v>118</v>
      </c>
      <c r="D464" s="30" t="s">
        <v>126</v>
      </c>
      <c r="E464" t="s">
        <v>1135</v>
      </c>
      <c r="F464" s="25">
        <v>27830</v>
      </c>
      <c r="G464" s="29"/>
      <c r="H464" t="s">
        <v>674</v>
      </c>
      <c r="I464" t="s">
        <v>35</v>
      </c>
      <c r="J464" t="s">
        <v>35</v>
      </c>
      <c r="K464" t="s">
        <v>675</v>
      </c>
      <c r="L464" s="29">
        <v>46304</v>
      </c>
    </row>
    <row r="465" spans="1:12" x14ac:dyDescent="0.25">
      <c r="A465" t="s">
        <v>1145</v>
      </c>
      <c r="B465" t="s">
        <v>133</v>
      </c>
      <c r="C465" s="30" t="s">
        <v>129</v>
      </c>
      <c r="D465" s="30" t="s">
        <v>131</v>
      </c>
      <c r="E465" t="s">
        <v>1135</v>
      </c>
      <c r="F465" s="25">
        <v>37665</v>
      </c>
      <c r="G465" s="29"/>
      <c r="H465" t="s">
        <v>674</v>
      </c>
      <c r="I465" t="s">
        <v>35</v>
      </c>
      <c r="J465" t="s">
        <v>35</v>
      </c>
      <c r="K465" t="s">
        <v>675</v>
      </c>
      <c r="L465" s="29">
        <v>46304</v>
      </c>
    </row>
    <row r="466" spans="1:12" x14ac:dyDescent="0.25">
      <c r="A466" t="s">
        <v>1146</v>
      </c>
      <c r="B466" t="s">
        <v>140</v>
      </c>
      <c r="C466" s="30" t="s">
        <v>136</v>
      </c>
      <c r="D466" s="30" t="s">
        <v>138</v>
      </c>
      <c r="E466" t="s">
        <v>1135</v>
      </c>
      <c r="F466" s="25">
        <v>30250</v>
      </c>
      <c r="G466" s="29"/>
      <c r="H466" t="s">
        <v>674</v>
      </c>
      <c r="I466" t="s">
        <v>35</v>
      </c>
      <c r="J466" t="s">
        <v>35</v>
      </c>
      <c r="K466" t="s">
        <v>675</v>
      </c>
      <c r="L466" s="29">
        <v>46304</v>
      </c>
    </row>
    <row r="467" spans="1:12" x14ac:dyDescent="0.25">
      <c r="A467" t="s">
        <v>1147</v>
      </c>
      <c r="B467" t="s">
        <v>146</v>
      </c>
      <c r="C467" s="30" t="s">
        <v>143</v>
      </c>
      <c r="D467" s="30" t="s">
        <v>144</v>
      </c>
      <c r="E467" t="s">
        <v>1135</v>
      </c>
      <c r="F467" s="25">
        <v>19060</v>
      </c>
      <c r="G467" s="29"/>
      <c r="H467" t="s">
        <v>674</v>
      </c>
      <c r="I467" t="s">
        <v>35</v>
      </c>
      <c r="J467" t="s">
        <v>35</v>
      </c>
      <c r="K467" t="s">
        <v>675</v>
      </c>
      <c r="L467" s="29">
        <v>46304</v>
      </c>
    </row>
    <row r="468" spans="1:12" x14ac:dyDescent="0.25">
      <c r="A468" t="s">
        <v>1148</v>
      </c>
      <c r="B468" t="s">
        <v>153</v>
      </c>
      <c r="C468" s="30" t="s">
        <v>149</v>
      </c>
      <c r="D468" s="30" t="s">
        <v>151</v>
      </c>
      <c r="E468" t="s">
        <v>1135</v>
      </c>
      <c r="F468" s="25">
        <v>20570</v>
      </c>
      <c r="G468" s="29"/>
      <c r="H468" t="s">
        <v>674</v>
      </c>
      <c r="I468" t="s">
        <v>35</v>
      </c>
      <c r="J468" t="s">
        <v>35</v>
      </c>
      <c r="K468" t="s">
        <v>675</v>
      </c>
      <c r="L468" s="29">
        <v>46304</v>
      </c>
    </row>
    <row r="469" spans="1:12" x14ac:dyDescent="0.25">
      <c r="A469" t="s">
        <v>1149</v>
      </c>
      <c r="B469" t="s">
        <v>159</v>
      </c>
      <c r="C469" s="30" t="s">
        <v>156</v>
      </c>
      <c r="D469" s="30" t="s">
        <v>157</v>
      </c>
      <c r="E469" t="s">
        <v>1135</v>
      </c>
      <c r="F469" s="25">
        <v>25410</v>
      </c>
      <c r="G469" s="29"/>
      <c r="H469" t="s">
        <v>674</v>
      </c>
      <c r="I469" t="s">
        <v>35</v>
      </c>
      <c r="J469" t="s">
        <v>35</v>
      </c>
      <c r="K469" t="s">
        <v>675</v>
      </c>
      <c r="L469" s="29">
        <v>46304</v>
      </c>
    </row>
    <row r="470" spans="1:12" x14ac:dyDescent="0.25">
      <c r="A470" t="s">
        <v>1150</v>
      </c>
      <c r="B470" t="s">
        <v>168</v>
      </c>
      <c r="C470" s="30" t="s">
        <v>163</v>
      </c>
      <c r="D470" s="30" t="s">
        <v>82</v>
      </c>
      <c r="E470" t="s">
        <v>1135</v>
      </c>
      <c r="F470" s="25">
        <v>44770</v>
      </c>
      <c r="G470" s="29"/>
      <c r="H470" t="s">
        <v>674</v>
      </c>
      <c r="I470" t="s">
        <v>35</v>
      </c>
      <c r="J470" t="s">
        <v>35</v>
      </c>
      <c r="K470" t="s">
        <v>675</v>
      </c>
      <c r="L470" s="29">
        <v>46304</v>
      </c>
    </row>
    <row r="471" spans="1:12" x14ac:dyDescent="0.25">
      <c r="A471" t="s">
        <v>1151</v>
      </c>
      <c r="B471" t="s">
        <v>174</v>
      </c>
      <c r="C471" s="30" t="s">
        <v>172</v>
      </c>
      <c r="D471" s="30" t="s">
        <v>92</v>
      </c>
      <c r="E471" t="s">
        <v>1135</v>
      </c>
      <c r="F471" s="25">
        <v>44770</v>
      </c>
      <c r="G471" s="29"/>
      <c r="H471" t="s">
        <v>674</v>
      </c>
      <c r="I471" t="s">
        <v>35</v>
      </c>
      <c r="J471" t="s">
        <v>35</v>
      </c>
      <c r="K471" t="s">
        <v>675</v>
      </c>
      <c r="L471" s="29">
        <v>46304</v>
      </c>
    </row>
    <row r="472" spans="1:12" x14ac:dyDescent="0.25">
      <c r="A472" t="s">
        <v>1152</v>
      </c>
      <c r="B472" t="s">
        <v>180</v>
      </c>
      <c r="C472" s="30" t="s">
        <v>177</v>
      </c>
      <c r="D472" s="30" t="s">
        <v>178</v>
      </c>
      <c r="E472" t="s">
        <v>1135</v>
      </c>
      <c r="F472" s="25">
        <v>20000</v>
      </c>
      <c r="G472" s="29"/>
      <c r="H472" t="s">
        <v>674</v>
      </c>
      <c r="I472" t="s">
        <v>35</v>
      </c>
      <c r="J472" t="s">
        <v>35</v>
      </c>
      <c r="K472" t="s">
        <v>675</v>
      </c>
      <c r="L472" s="29">
        <v>46304</v>
      </c>
    </row>
    <row r="473" spans="1:12" x14ac:dyDescent="0.25">
      <c r="A473" t="s">
        <v>1153</v>
      </c>
      <c r="B473" t="s">
        <v>186</v>
      </c>
      <c r="C473" s="30" t="s">
        <v>183</v>
      </c>
      <c r="D473" s="30" t="s">
        <v>184</v>
      </c>
      <c r="E473" t="s">
        <v>1135</v>
      </c>
      <c r="F473" s="25">
        <v>7000</v>
      </c>
      <c r="G473" s="29"/>
      <c r="H473" t="s">
        <v>674</v>
      </c>
      <c r="I473" t="s">
        <v>35</v>
      </c>
      <c r="J473" t="s">
        <v>35</v>
      </c>
      <c r="K473" t="s">
        <v>675</v>
      </c>
      <c r="L473" s="29">
        <v>46304</v>
      </c>
    </row>
    <row r="474" spans="1:12" x14ac:dyDescent="0.25">
      <c r="A474" t="s">
        <v>1154</v>
      </c>
      <c r="B474" t="s">
        <v>192</v>
      </c>
      <c r="C474" s="30" t="s">
        <v>189</v>
      </c>
      <c r="D474" s="30" t="s">
        <v>190</v>
      </c>
      <c r="E474" t="s">
        <v>1135</v>
      </c>
      <c r="F474" s="25">
        <v>15000</v>
      </c>
      <c r="G474" s="29"/>
      <c r="H474" t="s">
        <v>674</v>
      </c>
      <c r="I474" t="s">
        <v>35</v>
      </c>
      <c r="J474" t="s">
        <v>35</v>
      </c>
      <c r="K474" t="s">
        <v>675</v>
      </c>
      <c r="L474" s="29">
        <v>46304</v>
      </c>
    </row>
    <row r="475" spans="1:12" x14ac:dyDescent="0.25">
      <c r="A475" t="s">
        <v>1155</v>
      </c>
      <c r="B475" t="s">
        <v>196</v>
      </c>
      <c r="C475" s="30" t="s">
        <v>177</v>
      </c>
      <c r="D475" s="30" t="s">
        <v>195</v>
      </c>
      <c r="E475" t="s">
        <v>1135</v>
      </c>
      <c r="F475" s="25">
        <v>1000</v>
      </c>
      <c r="G475" s="29"/>
      <c r="H475" t="s">
        <v>674</v>
      </c>
      <c r="I475" t="s">
        <v>35</v>
      </c>
      <c r="J475" t="s">
        <v>35</v>
      </c>
      <c r="K475" t="s">
        <v>675</v>
      </c>
      <c r="L475" s="29">
        <v>46304</v>
      </c>
    </row>
    <row r="476" spans="1:12" x14ac:dyDescent="0.25">
      <c r="A476" t="s">
        <v>1156</v>
      </c>
      <c r="B476" t="s">
        <v>201</v>
      </c>
      <c r="C476" s="30" t="s">
        <v>198</v>
      </c>
      <c r="D476" s="30" t="s">
        <v>199</v>
      </c>
      <c r="E476" t="s">
        <v>1135</v>
      </c>
      <c r="F476" s="25">
        <v>7000</v>
      </c>
      <c r="G476" s="29"/>
      <c r="H476" t="s">
        <v>674</v>
      </c>
      <c r="I476" t="s">
        <v>35</v>
      </c>
      <c r="J476" t="s">
        <v>35</v>
      </c>
      <c r="K476" t="s">
        <v>675</v>
      </c>
      <c r="L476" s="29">
        <v>46304</v>
      </c>
    </row>
    <row r="477" spans="1:12" x14ac:dyDescent="0.25">
      <c r="A477" t="s">
        <v>1157</v>
      </c>
      <c r="B477" t="s">
        <v>205</v>
      </c>
      <c r="C477" s="30" t="s">
        <v>198</v>
      </c>
      <c r="D477" s="30" t="s">
        <v>204</v>
      </c>
      <c r="E477" t="s">
        <v>1135</v>
      </c>
      <c r="F477" s="25">
        <v>8000</v>
      </c>
      <c r="G477" s="29"/>
      <c r="H477" t="s">
        <v>674</v>
      </c>
      <c r="I477" t="s">
        <v>35</v>
      </c>
      <c r="J477" t="s">
        <v>35</v>
      </c>
      <c r="K477" t="s">
        <v>675</v>
      </c>
      <c r="L477" s="29">
        <v>46304</v>
      </c>
    </row>
    <row r="478" spans="1:12" x14ac:dyDescent="0.25">
      <c r="A478" t="s">
        <v>1158</v>
      </c>
      <c r="B478" t="s">
        <v>208</v>
      </c>
      <c r="C478" s="30" t="s">
        <v>198</v>
      </c>
      <c r="D478" s="30" t="s">
        <v>207</v>
      </c>
      <c r="E478" t="s">
        <v>1135</v>
      </c>
      <c r="F478" s="25">
        <v>8000</v>
      </c>
      <c r="G478" s="29"/>
      <c r="H478" t="s">
        <v>674</v>
      </c>
      <c r="I478" t="s">
        <v>35</v>
      </c>
      <c r="J478" t="s">
        <v>35</v>
      </c>
      <c r="K478" t="s">
        <v>675</v>
      </c>
      <c r="L478" s="29">
        <v>46304</v>
      </c>
    </row>
    <row r="479" spans="1:12" x14ac:dyDescent="0.25">
      <c r="A479" t="s">
        <v>1159</v>
      </c>
      <c r="B479" t="s">
        <v>220</v>
      </c>
      <c r="C479" s="30" t="s">
        <v>217</v>
      </c>
      <c r="D479" s="30" t="s">
        <v>100</v>
      </c>
      <c r="E479" t="s">
        <v>1135</v>
      </c>
      <c r="F479" s="25">
        <v>16500</v>
      </c>
      <c r="G479" s="29"/>
      <c r="H479" t="s">
        <v>674</v>
      </c>
      <c r="I479" t="s">
        <v>35</v>
      </c>
      <c r="J479" t="s">
        <v>35</v>
      </c>
      <c r="K479" t="s">
        <v>675</v>
      </c>
      <c r="L479" s="29">
        <v>46304</v>
      </c>
    </row>
    <row r="480" spans="1:12" x14ac:dyDescent="0.25">
      <c r="A480" t="s">
        <v>1160</v>
      </c>
      <c r="B480" t="s">
        <v>233</v>
      </c>
      <c r="C480" s="30" t="s">
        <v>230</v>
      </c>
      <c r="D480" s="30" t="s">
        <v>225</v>
      </c>
      <c r="E480" t="s">
        <v>1135</v>
      </c>
      <c r="F480" s="25">
        <v>14500</v>
      </c>
      <c r="G480" s="29"/>
      <c r="H480" t="s">
        <v>674</v>
      </c>
      <c r="I480" t="s">
        <v>35</v>
      </c>
      <c r="J480" t="s">
        <v>35</v>
      </c>
      <c r="K480" t="s">
        <v>675</v>
      </c>
      <c r="L480" s="29">
        <v>46304</v>
      </c>
    </row>
    <row r="481" spans="1:12" x14ac:dyDescent="0.25">
      <c r="A481" t="s">
        <v>1161</v>
      </c>
      <c r="B481" t="s">
        <v>238</v>
      </c>
      <c r="C481" s="30" t="s">
        <v>235</v>
      </c>
      <c r="D481" s="30" t="s">
        <v>236</v>
      </c>
      <c r="E481" t="s">
        <v>1135</v>
      </c>
      <c r="F481" s="25">
        <v>14000</v>
      </c>
      <c r="G481" s="29"/>
      <c r="H481" t="s">
        <v>674</v>
      </c>
      <c r="I481" t="s">
        <v>35</v>
      </c>
      <c r="J481" t="s">
        <v>35</v>
      </c>
      <c r="K481" t="s">
        <v>675</v>
      </c>
      <c r="L481" s="29">
        <v>46304</v>
      </c>
    </row>
    <row r="482" spans="1:12" x14ac:dyDescent="0.25">
      <c r="A482" t="s">
        <v>1162</v>
      </c>
      <c r="B482" t="s">
        <v>245</v>
      </c>
      <c r="C482" s="30" t="s">
        <v>241</v>
      </c>
      <c r="D482" s="30" t="s">
        <v>243</v>
      </c>
      <c r="E482" t="s">
        <v>1135</v>
      </c>
      <c r="F482" s="25">
        <v>16500</v>
      </c>
      <c r="G482" s="29"/>
      <c r="H482" t="s">
        <v>674</v>
      </c>
      <c r="I482" t="s">
        <v>35</v>
      </c>
      <c r="J482" t="s">
        <v>35</v>
      </c>
      <c r="K482" t="s">
        <v>675</v>
      </c>
      <c r="L482" s="29">
        <v>46304</v>
      </c>
    </row>
    <row r="483" spans="1:12" x14ac:dyDescent="0.25">
      <c r="A483" t="s">
        <v>1163</v>
      </c>
      <c r="B483" t="s">
        <v>252</v>
      </c>
      <c r="C483" s="30" t="s">
        <v>248</v>
      </c>
      <c r="D483" s="30" t="s">
        <v>250</v>
      </c>
      <c r="E483" t="s">
        <v>1135</v>
      </c>
      <c r="F483" s="25">
        <v>20000</v>
      </c>
      <c r="G483" s="29"/>
      <c r="H483" t="s">
        <v>674</v>
      </c>
      <c r="I483" t="s">
        <v>35</v>
      </c>
      <c r="J483" t="s">
        <v>35</v>
      </c>
      <c r="K483" t="s">
        <v>675</v>
      </c>
      <c r="L483" s="29">
        <v>46304</v>
      </c>
    </row>
    <row r="484" spans="1:12" x14ac:dyDescent="0.25">
      <c r="A484" t="s">
        <v>1164</v>
      </c>
      <c r="B484" t="s">
        <v>260</v>
      </c>
      <c r="C484" s="30" t="s">
        <v>255</v>
      </c>
      <c r="D484" s="30" t="s">
        <v>257</v>
      </c>
      <c r="E484" t="s">
        <v>1135</v>
      </c>
      <c r="F484" s="25">
        <v>21175</v>
      </c>
      <c r="G484" s="29"/>
      <c r="H484" t="s">
        <v>674</v>
      </c>
      <c r="I484" t="s">
        <v>35</v>
      </c>
      <c r="J484" t="s">
        <v>35</v>
      </c>
      <c r="K484" t="s">
        <v>675</v>
      </c>
      <c r="L484" s="29">
        <v>46304</v>
      </c>
    </row>
    <row r="485" spans="1:12" x14ac:dyDescent="0.25">
      <c r="A485" t="s">
        <v>1165</v>
      </c>
      <c r="B485" t="s">
        <v>271</v>
      </c>
      <c r="C485" s="30" t="s">
        <v>268</v>
      </c>
      <c r="D485" s="30" t="s">
        <v>113</v>
      </c>
      <c r="E485" t="s">
        <v>1135</v>
      </c>
      <c r="F485" s="25">
        <v>17000</v>
      </c>
      <c r="G485" s="29"/>
      <c r="H485" t="s">
        <v>674</v>
      </c>
      <c r="I485" t="s">
        <v>35</v>
      </c>
      <c r="J485" t="s">
        <v>35</v>
      </c>
      <c r="K485" t="s">
        <v>675</v>
      </c>
      <c r="L485" s="29">
        <v>46304</v>
      </c>
    </row>
    <row r="486" spans="1:12" x14ac:dyDescent="0.25">
      <c r="A486" t="s">
        <v>1166</v>
      </c>
      <c r="B486" t="s">
        <v>274</v>
      </c>
      <c r="C486" s="30" t="s">
        <v>177</v>
      </c>
      <c r="D486" s="30" t="s">
        <v>120</v>
      </c>
      <c r="E486" t="s">
        <v>1135</v>
      </c>
      <c r="F486" s="25">
        <v>19000</v>
      </c>
      <c r="G486" s="29"/>
      <c r="H486" t="s">
        <v>674</v>
      </c>
      <c r="I486" t="s">
        <v>35</v>
      </c>
      <c r="J486" t="s">
        <v>35</v>
      </c>
      <c r="K486" t="s">
        <v>675</v>
      </c>
      <c r="L486" s="29">
        <v>46304</v>
      </c>
    </row>
    <row r="487" spans="1:12" x14ac:dyDescent="0.25">
      <c r="A487" t="s">
        <v>1167</v>
      </c>
      <c r="B487" t="s">
        <v>283</v>
      </c>
      <c r="C487" s="30" t="s">
        <v>281</v>
      </c>
      <c r="D487" s="30" t="s">
        <v>126</v>
      </c>
      <c r="E487" t="s">
        <v>1135</v>
      </c>
      <c r="F487" s="25">
        <v>14000</v>
      </c>
      <c r="G487" s="29"/>
      <c r="H487" t="s">
        <v>674</v>
      </c>
      <c r="I487" t="s">
        <v>35</v>
      </c>
      <c r="J487" t="s">
        <v>35</v>
      </c>
      <c r="K487" t="s">
        <v>675</v>
      </c>
      <c r="L487" s="29">
        <v>46304</v>
      </c>
    </row>
    <row r="488" spans="1:12" x14ac:dyDescent="0.25">
      <c r="A488" t="s">
        <v>1168</v>
      </c>
      <c r="B488" t="s">
        <v>290</v>
      </c>
      <c r="C488" s="30" t="s">
        <v>285</v>
      </c>
      <c r="D488" s="30" t="s">
        <v>287</v>
      </c>
      <c r="E488" t="s">
        <v>1135</v>
      </c>
      <c r="F488" s="25">
        <v>11500</v>
      </c>
      <c r="G488" s="29"/>
      <c r="H488" t="s">
        <v>674</v>
      </c>
      <c r="I488" t="s">
        <v>35</v>
      </c>
      <c r="J488" t="s">
        <v>35</v>
      </c>
      <c r="K488" t="s">
        <v>675</v>
      </c>
      <c r="L488" s="29">
        <v>46304</v>
      </c>
    </row>
    <row r="489" spans="1:12" x14ac:dyDescent="0.25">
      <c r="A489" t="s">
        <v>1169</v>
      </c>
      <c r="B489" t="s">
        <v>296</v>
      </c>
      <c r="C489" s="30" t="s">
        <v>293</v>
      </c>
      <c r="D489" s="30" t="s">
        <v>294</v>
      </c>
      <c r="E489" t="s">
        <v>1135</v>
      </c>
      <c r="F489" s="25">
        <v>11195</v>
      </c>
      <c r="G489" s="29"/>
      <c r="H489" t="s">
        <v>674</v>
      </c>
      <c r="I489" t="s">
        <v>35</v>
      </c>
      <c r="J489" t="s">
        <v>35</v>
      </c>
      <c r="K489" t="s">
        <v>675</v>
      </c>
      <c r="L489" s="29">
        <v>46304</v>
      </c>
    </row>
    <row r="490" spans="1:12" x14ac:dyDescent="0.25">
      <c r="A490" t="s">
        <v>1170</v>
      </c>
      <c r="B490" t="s">
        <v>303</v>
      </c>
      <c r="C490" s="30" t="s">
        <v>299</v>
      </c>
      <c r="D490" s="30" t="s">
        <v>301</v>
      </c>
      <c r="E490" t="s">
        <v>1135</v>
      </c>
      <c r="F490" s="25">
        <v>12100</v>
      </c>
      <c r="G490" s="29"/>
      <c r="H490" t="s">
        <v>674</v>
      </c>
      <c r="I490" t="s">
        <v>35</v>
      </c>
      <c r="J490" t="s">
        <v>35</v>
      </c>
      <c r="K490" t="s">
        <v>675</v>
      </c>
      <c r="L490" s="29">
        <v>46304</v>
      </c>
    </row>
    <row r="491" spans="1:12" x14ac:dyDescent="0.25">
      <c r="A491" t="s">
        <v>1171</v>
      </c>
      <c r="B491" t="s">
        <v>310</v>
      </c>
      <c r="C491" s="30" t="s">
        <v>306</v>
      </c>
      <c r="D491" s="30" t="s">
        <v>131</v>
      </c>
      <c r="E491" t="s">
        <v>1135</v>
      </c>
      <c r="F491" s="25">
        <v>12100</v>
      </c>
      <c r="G491" s="29"/>
      <c r="H491" t="s">
        <v>674</v>
      </c>
      <c r="I491" t="s">
        <v>35</v>
      </c>
      <c r="J491" t="s">
        <v>35</v>
      </c>
      <c r="K491" t="s">
        <v>675</v>
      </c>
      <c r="L491" s="29">
        <v>46304</v>
      </c>
    </row>
    <row r="492" spans="1:12" x14ac:dyDescent="0.25">
      <c r="A492" t="s">
        <v>1172</v>
      </c>
      <c r="B492" t="s">
        <v>317</v>
      </c>
      <c r="C492" s="30" t="s">
        <v>313</v>
      </c>
      <c r="D492" s="30" t="s">
        <v>315</v>
      </c>
      <c r="E492" t="s">
        <v>1135</v>
      </c>
      <c r="F492" s="25">
        <v>16335</v>
      </c>
      <c r="G492" s="29"/>
      <c r="H492" t="s">
        <v>674</v>
      </c>
      <c r="I492" t="s">
        <v>35</v>
      </c>
      <c r="J492" t="s">
        <v>35</v>
      </c>
      <c r="K492" t="s">
        <v>675</v>
      </c>
      <c r="L492" s="29">
        <v>46304</v>
      </c>
    </row>
    <row r="493" spans="1:12" x14ac:dyDescent="0.25">
      <c r="A493" t="s">
        <v>1173</v>
      </c>
      <c r="B493" t="s">
        <v>322</v>
      </c>
      <c r="C493" s="30" t="s">
        <v>320</v>
      </c>
      <c r="D493" s="30" t="s">
        <v>138</v>
      </c>
      <c r="E493" t="s">
        <v>1135</v>
      </c>
      <c r="F493" s="25">
        <v>13500</v>
      </c>
      <c r="G493" s="29"/>
      <c r="H493" t="s">
        <v>674</v>
      </c>
      <c r="I493" t="s">
        <v>35</v>
      </c>
      <c r="J493" t="s">
        <v>35</v>
      </c>
      <c r="K493" t="s">
        <v>675</v>
      </c>
      <c r="L493" s="29">
        <v>46304</v>
      </c>
    </row>
    <row r="494" spans="1:12" x14ac:dyDescent="0.25">
      <c r="A494" t="s">
        <v>1174</v>
      </c>
      <c r="B494" t="s">
        <v>329</v>
      </c>
      <c r="C494" s="30" t="s">
        <v>325</v>
      </c>
      <c r="D494" s="30" t="s">
        <v>327</v>
      </c>
      <c r="E494" t="s">
        <v>1135</v>
      </c>
      <c r="F494" s="25">
        <v>14000</v>
      </c>
      <c r="G494" s="29"/>
      <c r="H494" t="s">
        <v>674</v>
      </c>
      <c r="I494" t="s">
        <v>35</v>
      </c>
      <c r="J494" t="s">
        <v>35</v>
      </c>
      <c r="K494" t="s">
        <v>675</v>
      </c>
      <c r="L494" s="29">
        <v>46304</v>
      </c>
    </row>
    <row r="495" spans="1:12" x14ac:dyDescent="0.25">
      <c r="A495" t="s">
        <v>1175</v>
      </c>
      <c r="B495" t="s">
        <v>336</v>
      </c>
      <c r="C495" s="30" t="s">
        <v>332</v>
      </c>
      <c r="D495" s="30" t="s">
        <v>334</v>
      </c>
      <c r="E495" t="s">
        <v>1135</v>
      </c>
      <c r="F495" s="25">
        <v>16035</v>
      </c>
      <c r="G495" s="29"/>
      <c r="H495" t="s">
        <v>674</v>
      </c>
      <c r="I495" t="s">
        <v>35</v>
      </c>
      <c r="J495" t="s">
        <v>35</v>
      </c>
      <c r="K495" t="s">
        <v>675</v>
      </c>
      <c r="L495" s="29">
        <v>46304</v>
      </c>
    </row>
    <row r="496" spans="1:12" x14ac:dyDescent="0.25">
      <c r="A496" t="s">
        <v>1176</v>
      </c>
      <c r="B496" t="s">
        <v>343</v>
      </c>
      <c r="C496" s="30" t="s">
        <v>339</v>
      </c>
      <c r="D496" s="30" t="s">
        <v>340</v>
      </c>
      <c r="E496" t="s">
        <v>1135</v>
      </c>
      <c r="F496" s="25">
        <v>16500</v>
      </c>
      <c r="G496" s="29"/>
      <c r="H496" t="s">
        <v>674</v>
      </c>
      <c r="I496" t="s">
        <v>35</v>
      </c>
      <c r="J496" t="s">
        <v>35</v>
      </c>
      <c r="K496" t="s">
        <v>675</v>
      </c>
      <c r="L496" s="29">
        <v>46304</v>
      </c>
    </row>
    <row r="497" spans="1:12" x14ac:dyDescent="0.25">
      <c r="A497" t="s">
        <v>1177</v>
      </c>
      <c r="B497" t="s">
        <v>349</v>
      </c>
      <c r="C497" s="30" t="s">
        <v>346</v>
      </c>
      <c r="D497" s="30" t="s">
        <v>347</v>
      </c>
      <c r="E497" t="s">
        <v>1135</v>
      </c>
      <c r="F497" s="25">
        <v>18500</v>
      </c>
      <c r="G497" s="29"/>
      <c r="H497" t="s">
        <v>674</v>
      </c>
      <c r="I497" t="s">
        <v>35</v>
      </c>
      <c r="J497" t="s">
        <v>35</v>
      </c>
      <c r="K497" t="s">
        <v>675</v>
      </c>
      <c r="L497" s="29">
        <v>46304</v>
      </c>
    </row>
    <row r="498" spans="1:12" x14ac:dyDescent="0.25">
      <c r="A498" t="s">
        <v>1178</v>
      </c>
      <c r="B498" t="s">
        <v>370</v>
      </c>
      <c r="C498" s="30" t="s">
        <v>367</v>
      </c>
      <c r="D498" s="30" t="s">
        <v>157</v>
      </c>
      <c r="E498" t="s">
        <v>1135</v>
      </c>
      <c r="F498" s="25">
        <v>10000</v>
      </c>
      <c r="G498" s="29"/>
      <c r="H498" t="s">
        <v>674</v>
      </c>
      <c r="I498" t="s">
        <v>35</v>
      </c>
      <c r="J498" t="s">
        <v>35</v>
      </c>
      <c r="K498" t="s">
        <v>675</v>
      </c>
      <c r="L498" s="29">
        <v>46304</v>
      </c>
    </row>
    <row r="499" spans="1:12" x14ac:dyDescent="0.25">
      <c r="A499" t="s">
        <v>1179</v>
      </c>
      <c r="B499" t="s">
        <v>374</v>
      </c>
      <c r="C499" s="30" t="s">
        <v>198</v>
      </c>
      <c r="D499" s="30" t="s">
        <v>373</v>
      </c>
      <c r="E499" t="s">
        <v>1135</v>
      </c>
      <c r="F499" s="25">
        <v>13000</v>
      </c>
      <c r="G499" s="29"/>
      <c r="H499" t="s">
        <v>674</v>
      </c>
      <c r="I499" t="s">
        <v>35</v>
      </c>
      <c r="J499" t="s">
        <v>35</v>
      </c>
      <c r="K499" t="s">
        <v>675</v>
      </c>
      <c r="L499" s="29">
        <v>46304</v>
      </c>
    </row>
    <row r="500" spans="1:12" x14ac:dyDescent="0.25">
      <c r="A500" t="s">
        <v>1180</v>
      </c>
      <c r="B500" t="s">
        <v>380</v>
      </c>
      <c r="C500" s="30" t="s">
        <v>376</v>
      </c>
      <c r="D500" s="30" t="s">
        <v>378</v>
      </c>
      <c r="E500" t="s">
        <v>1135</v>
      </c>
      <c r="F500" s="25">
        <v>19000</v>
      </c>
      <c r="G500" s="29"/>
      <c r="H500" t="s">
        <v>674</v>
      </c>
      <c r="I500" t="s">
        <v>35</v>
      </c>
      <c r="J500" t="s">
        <v>35</v>
      </c>
      <c r="K500" t="s">
        <v>675</v>
      </c>
      <c r="L500" s="29">
        <v>46304</v>
      </c>
    </row>
    <row r="501" spans="1:12" x14ac:dyDescent="0.25">
      <c r="A501" t="s">
        <v>1181</v>
      </c>
      <c r="B501" t="s">
        <v>388</v>
      </c>
      <c r="C501" s="30" t="s">
        <v>383</v>
      </c>
      <c r="D501" s="30" t="s">
        <v>385</v>
      </c>
      <c r="E501" t="s">
        <v>1135</v>
      </c>
      <c r="F501" s="25">
        <v>18000</v>
      </c>
      <c r="G501" s="29"/>
      <c r="H501" t="s">
        <v>674</v>
      </c>
      <c r="I501" t="s">
        <v>35</v>
      </c>
      <c r="J501" t="s">
        <v>35</v>
      </c>
      <c r="K501" t="s">
        <v>675</v>
      </c>
      <c r="L501" s="29">
        <v>46304</v>
      </c>
    </row>
    <row r="502" spans="1:12" x14ac:dyDescent="0.25">
      <c r="A502" t="s">
        <v>1182</v>
      </c>
      <c r="B502" t="s">
        <v>395</v>
      </c>
      <c r="C502" s="30" t="s">
        <v>391</v>
      </c>
      <c r="D502" s="30" t="s">
        <v>393</v>
      </c>
      <c r="E502" t="s">
        <v>1135</v>
      </c>
      <c r="F502" s="25">
        <v>9680</v>
      </c>
      <c r="G502" s="29"/>
      <c r="H502" t="s">
        <v>674</v>
      </c>
      <c r="I502" t="s">
        <v>35</v>
      </c>
      <c r="J502" t="s">
        <v>35</v>
      </c>
      <c r="K502" t="s">
        <v>675</v>
      </c>
      <c r="L502" s="29">
        <v>46304</v>
      </c>
    </row>
    <row r="503" spans="1:12" x14ac:dyDescent="0.25">
      <c r="A503" t="s">
        <v>1183</v>
      </c>
      <c r="B503" t="s">
        <v>403</v>
      </c>
      <c r="C503" s="30" t="s">
        <v>398</v>
      </c>
      <c r="D503" s="30" t="s">
        <v>400</v>
      </c>
      <c r="E503" t="s">
        <v>1135</v>
      </c>
      <c r="F503" s="25">
        <v>19000</v>
      </c>
      <c r="G503" s="29"/>
      <c r="H503" t="s">
        <v>674</v>
      </c>
      <c r="I503" t="s">
        <v>35</v>
      </c>
      <c r="J503" t="s">
        <v>35</v>
      </c>
      <c r="K503" t="s">
        <v>675</v>
      </c>
      <c r="L503" s="29">
        <v>46304</v>
      </c>
    </row>
    <row r="504" spans="1:12" x14ac:dyDescent="0.25">
      <c r="A504" t="s">
        <v>1184</v>
      </c>
      <c r="B504" t="s">
        <v>409</v>
      </c>
      <c r="C504" s="30" t="s">
        <v>406</v>
      </c>
      <c r="D504" s="30" t="s">
        <v>407</v>
      </c>
      <c r="E504" t="s">
        <v>1135</v>
      </c>
      <c r="F504" s="25">
        <v>11495</v>
      </c>
      <c r="G504" s="29"/>
      <c r="H504" t="s">
        <v>674</v>
      </c>
      <c r="I504" t="s">
        <v>35</v>
      </c>
      <c r="J504" t="s">
        <v>35</v>
      </c>
      <c r="K504" t="s">
        <v>675</v>
      </c>
      <c r="L504" s="29">
        <v>46304</v>
      </c>
    </row>
    <row r="505" spans="1:12" x14ac:dyDescent="0.25">
      <c r="A505" t="s">
        <v>1185</v>
      </c>
      <c r="B505" t="s">
        <v>415</v>
      </c>
      <c r="C505" s="30" t="s">
        <v>412</v>
      </c>
      <c r="D505" s="30" t="s">
        <v>413</v>
      </c>
      <c r="E505" t="s">
        <v>1135</v>
      </c>
      <c r="F505" s="25">
        <v>11000</v>
      </c>
      <c r="G505" s="29"/>
      <c r="H505" t="s">
        <v>674</v>
      </c>
      <c r="I505" t="s">
        <v>35</v>
      </c>
      <c r="J505" t="s">
        <v>35</v>
      </c>
      <c r="K505" t="s">
        <v>675</v>
      </c>
      <c r="L505" s="29">
        <v>46304</v>
      </c>
    </row>
    <row r="506" spans="1:12" x14ac:dyDescent="0.25">
      <c r="A506" t="s">
        <v>1186</v>
      </c>
      <c r="B506" t="s">
        <v>430</v>
      </c>
      <c r="C506" s="30" t="s">
        <v>426</v>
      </c>
      <c r="D506" s="30" t="s">
        <v>428</v>
      </c>
      <c r="E506" t="s">
        <v>1135</v>
      </c>
      <c r="F506" s="25">
        <v>19000</v>
      </c>
      <c r="G506" s="29"/>
      <c r="H506" t="s">
        <v>674</v>
      </c>
      <c r="I506" t="s">
        <v>35</v>
      </c>
      <c r="J506" t="s">
        <v>35</v>
      </c>
      <c r="K506" t="s">
        <v>675</v>
      </c>
      <c r="L506" s="29">
        <v>46304</v>
      </c>
    </row>
    <row r="507" spans="1:12" x14ac:dyDescent="0.25">
      <c r="A507" t="s">
        <v>1187</v>
      </c>
      <c r="B507" t="s">
        <v>453</v>
      </c>
      <c r="C507" s="30" t="s">
        <v>448</v>
      </c>
      <c r="D507" s="30" t="s">
        <v>450</v>
      </c>
      <c r="E507" t="s">
        <v>1135</v>
      </c>
      <c r="F507" s="25">
        <v>17000</v>
      </c>
      <c r="G507" s="29"/>
      <c r="H507" t="s">
        <v>674</v>
      </c>
      <c r="I507" t="s">
        <v>35</v>
      </c>
      <c r="J507" t="s">
        <v>35</v>
      </c>
      <c r="K507" t="s">
        <v>675</v>
      </c>
      <c r="L507" s="29">
        <v>46304</v>
      </c>
    </row>
    <row r="508" spans="1:12" x14ac:dyDescent="0.25">
      <c r="A508" t="s">
        <v>1188</v>
      </c>
      <c r="B508" t="s">
        <v>460</v>
      </c>
      <c r="C508" s="30" t="s">
        <v>456</v>
      </c>
      <c r="D508" s="30" t="s">
        <v>458</v>
      </c>
      <c r="E508" t="s">
        <v>1135</v>
      </c>
      <c r="F508" s="25">
        <v>20000</v>
      </c>
      <c r="G508" s="29"/>
      <c r="H508" t="s">
        <v>674</v>
      </c>
      <c r="I508" t="s">
        <v>35</v>
      </c>
      <c r="J508" t="s">
        <v>35</v>
      </c>
      <c r="K508" t="s">
        <v>675</v>
      </c>
      <c r="L508" s="29">
        <v>46304</v>
      </c>
    </row>
    <row r="509" spans="1:12" x14ac:dyDescent="0.25">
      <c r="A509" t="s">
        <v>1189</v>
      </c>
      <c r="B509" t="s">
        <v>488</v>
      </c>
      <c r="C509" s="30" t="s">
        <v>484</v>
      </c>
      <c r="D509" s="30" t="s">
        <v>486</v>
      </c>
      <c r="E509" t="s">
        <v>1135</v>
      </c>
      <c r="F509" s="25">
        <v>13000</v>
      </c>
      <c r="G509" s="29"/>
      <c r="H509" t="s">
        <v>674</v>
      </c>
      <c r="I509" t="s">
        <v>35</v>
      </c>
      <c r="J509" t="s">
        <v>35</v>
      </c>
      <c r="K509" t="s">
        <v>675</v>
      </c>
      <c r="L509" s="29">
        <v>46304</v>
      </c>
    </row>
    <row r="510" spans="1:12" x14ac:dyDescent="0.25">
      <c r="A510" t="s">
        <v>1190</v>
      </c>
      <c r="B510" t="s">
        <v>492</v>
      </c>
      <c r="C510" s="30" t="s">
        <v>484</v>
      </c>
      <c r="D510" s="30" t="s">
        <v>491</v>
      </c>
      <c r="E510" t="s">
        <v>1135</v>
      </c>
      <c r="F510" s="25">
        <v>13000</v>
      </c>
      <c r="G510" s="29"/>
      <c r="H510" t="s">
        <v>674</v>
      </c>
      <c r="I510" t="s">
        <v>35</v>
      </c>
      <c r="J510" t="s">
        <v>35</v>
      </c>
      <c r="K510" t="s">
        <v>675</v>
      </c>
      <c r="L510" s="29">
        <v>46304</v>
      </c>
    </row>
  </sheetData>
  <autoFilter ref="A1:L510"/>
  <dataValidations count="4">
    <dataValidation type="list" allowBlank="1" showErrorMessage="1" errorTitle="قيمة غير مسموحة" error="اختر من القائمة: غير محدد / نقدي / تحويل بنكي / شيك / إنستاباي / أخرى" sqref="H10:H510">
      <formula1>"غير محدد,نقدي,تحويل بنكي,شيك,إنستاباي,أخرى"</formula1>
    </dataValidation>
    <dataValidation type="list" allowBlank="1" showErrorMessage="1" errorTitle="قيمة غير مسموحة" error="اختر من القائمة: غير محدد / نقدي / تحويل بنكي / شيك / إنستاباي / أخرى" sqref="H2:H510">
      <formula1>"غير محدد,نقدي,تحويل بنكي,شيك,إنستاباي,أخرى"</formula1>
    </dataValidation>
    <dataValidation type="list" allowBlank="1" showErrorMessage="1" errorTitle="قيمة غير مسموحة" error="اختر من القائمة: الموقع / الإكسيل" sqref="K10:K510">
      <formula1>"الموقع,الإكسيل"</formula1>
    </dataValidation>
    <dataValidation type="list" allowBlank="1" showErrorMessage="1" errorTitle="قيمة غير مسموحة" error="اختر من القائمة: الموقع / الإكسيل" sqref="K2:K510">
      <formula1>"الموقع,الإكسيل"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workbookViewId="0" rightToLeft="1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4" customWidth="1"/>
    <col min="4" max="6" width="12" customWidth="1"/>
    <col min="7" max="7" width="40" customWidth="1"/>
    <col min="8" max="9" width="12" customWidth="1"/>
    <col min="10" max="10" width="10" customWidth="1"/>
    <col min="11" max="11" width="12" customWidth="1"/>
    <col min="12" max="12" width="30" customWidth="1"/>
    <col min="13" max="13" width="12" customWidth="1"/>
    <col min="14" max="14" width="26" customWidth="1"/>
    <col min="15" max="15" width="12" customWidth="1"/>
  </cols>
  <sheetData>
    <row r="1" ht="28" customHeight="1" spans="1:15" x14ac:dyDescent="0.25">
      <c r="A1" s="3" t="s">
        <v>1191</v>
      </c>
      <c r="B1" s="3" t="s">
        <v>27</v>
      </c>
      <c r="C1" s="3" t="s">
        <v>3</v>
      </c>
      <c r="D1" s="3" t="s">
        <v>6</v>
      </c>
      <c r="E1" s="3" t="s">
        <v>1192</v>
      </c>
      <c r="F1" s="3" t="s">
        <v>511</v>
      </c>
      <c r="G1" s="3" t="s">
        <v>1193</v>
      </c>
      <c r="H1" s="3" t="s">
        <v>1194</v>
      </c>
      <c r="I1" s="3" t="s">
        <v>1195</v>
      </c>
      <c r="J1" s="3" t="s">
        <v>1196</v>
      </c>
      <c r="K1" s="3" t="s">
        <v>1197</v>
      </c>
      <c r="L1" s="3" t="s">
        <v>25</v>
      </c>
      <c r="M1" s="3" t="s">
        <v>504</v>
      </c>
      <c r="N1" s="3" t="s">
        <v>1198</v>
      </c>
      <c r="O1" s="3" t="s">
        <v>1199</v>
      </c>
    </row>
    <row r="2" spans="6:10" x14ac:dyDescent="0.25"/>
    <row r="3" spans="6:10" x14ac:dyDescent="0.25"/>
    <row r="4" spans="6:10" x14ac:dyDescent="0.25"/>
    <row r="5" spans="6:10" x14ac:dyDescent="0.25"/>
    <row r="6" spans="6:10" x14ac:dyDescent="0.25"/>
    <row r="7" spans="6:10" x14ac:dyDescent="0.25"/>
    <row r="8" spans="6:10" x14ac:dyDescent="0.25"/>
    <row r="9" spans="6:10" x14ac:dyDescent="0.25"/>
    <row r="10" spans="6:10" x14ac:dyDescent="0.25"/>
    <row r="11" spans="6:10" x14ac:dyDescent="0.25"/>
    <row r="12" spans="6:10" x14ac:dyDescent="0.25"/>
    <row r="13" spans="6:10" x14ac:dyDescent="0.25"/>
    <row r="14" spans="6:10" x14ac:dyDescent="0.25"/>
    <row r="15" spans="6:10" x14ac:dyDescent="0.25"/>
    <row r="16" spans="6:10" x14ac:dyDescent="0.25"/>
    <row r="17" spans="6:10" x14ac:dyDescent="0.25"/>
    <row r="18" spans="6:10" x14ac:dyDescent="0.25"/>
    <row r="19" spans="6:10" x14ac:dyDescent="0.25"/>
    <row r="20" spans="6:10" x14ac:dyDescent="0.25"/>
    <row r="21" spans="6:10" x14ac:dyDescent="0.25"/>
    <row r="22" spans="6:10" x14ac:dyDescent="0.25"/>
    <row r="23" spans="6:10" x14ac:dyDescent="0.25"/>
    <row r="24" spans="6:10" x14ac:dyDescent="0.25"/>
    <row r="25" spans="6:10" x14ac:dyDescent="0.25"/>
    <row r="26" spans="6:10" x14ac:dyDescent="0.25"/>
    <row r="27" spans="6:10" x14ac:dyDescent="0.25"/>
    <row r="28" spans="6:10" x14ac:dyDescent="0.25"/>
    <row r="29" spans="6:10" x14ac:dyDescent="0.25"/>
    <row r="30" spans="6:10" x14ac:dyDescent="0.25"/>
    <row r="31" spans="6:10" x14ac:dyDescent="0.25"/>
    <row r="32" spans="6:10" x14ac:dyDescent="0.25"/>
    <row r="33" spans="6:10" x14ac:dyDescent="0.25"/>
    <row r="34" spans="6:10" x14ac:dyDescent="0.25"/>
    <row r="35" spans="6:10" x14ac:dyDescent="0.25"/>
    <row r="36" spans="6:10" x14ac:dyDescent="0.25"/>
    <row r="37" spans="6:10" x14ac:dyDescent="0.25"/>
    <row r="38" spans="6:10" x14ac:dyDescent="0.25"/>
    <row r="39" spans="6:10" x14ac:dyDescent="0.25"/>
    <row r="40" spans="6:10" x14ac:dyDescent="0.25"/>
    <row r="41" spans="6:10" x14ac:dyDescent="0.25"/>
    <row r="42" spans="6:10" x14ac:dyDescent="0.25"/>
    <row r="43" spans="6:10" x14ac:dyDescent="0.25"/>
    <row r="44" spans="6:10" x14ac:dyDescent="0.25"/>
    <row r="45" spans="6:10" x14ac:dyDescent="0.25"/>
    <row r="46" spans="6:10" x14ac:dyDescent="0.25"/>
    <row r="47" spans="6:10" x14ac:dyDescent="0.25"/>
    <row r="48" spans="6:10" x14ac:dyDescent="0.25"/>
    <row r="49" spans="6:10" x14ac:dyDescent="0.25"/>
    <row r="50" spans="6:10" x14ac:dyDescent="0.25"/>
    <row r="51" spans="6:10" x14ac:dyDescent="0.25"/>
    <row r="52" spans="6:10" x14ac:dyDescent="0.25"/>
    <row r="53" spans="6:10" x14ac:dyDescent="0.25"/>
    <row r="54" spans="6:10" x14ac:dyDescent="0.25"/>
    <row r="55" spans="6:10" x14ac:dyDescent="0.25"/>
    <row r="56" spans="6:10" x14ac:dyDescent="0.25"/>
    <row r="57" spans="6:10" x14ac:dyDescent="0.25"/>
    <row r="58" spans="6:10" x14ac:dyDescent="0.25"/>
    <row r="59" spans="6:10" x14ac:dyDescent="0.25"/>
    <row r="60" spans="6:10" x14ac:dyDescent="0.25"/>
    <row r="61" spans="6:10" x14ac:dyDescent="0.25"/>
    <row r="62" spans="6:10" x14ac:dyDescent="0.25"/>
    <row r="63" spans="6:10" x14ac:dyDescent="0.25"/>
    <row r="64" spans="6:10" x14ac:dyDescent="0.25"/>
    <row r="65" spans="6:10" x14ac:dyDescent="0.25"/>
    <row r="66" spans="6:10" x14ac:dyDescent="0.25"/>
    <row r="67" spans="6:10" x14ac:dyDescent="0.25"/>
    <row r="68" spans="6:10" x14ac:dyDescent="0.25"/>
    <row r="69" spans="6:10" x14ac:dyDescent="0.25"/>
    <row r="70" spans="6:10" x14ac:dyDescent="0.25"/>
    <row r="71" spans="6:10" x14ac:dyDescent="0.25"/>
    <row r="72" spans="6:10" x14ac:dyDescent="0.25"/>
    <row r="73" spans="6:10" x14ac:dyDescent="0.25"/>
    <row r="74" spans="6:10" x14ac:dyDescent="0.25"/>
    <row r="75" spans="6:10" x14ac:dyDescent="0.25"/>
    <row r="76" spans="6:10" x14ac:dyDescent="0.25"/>
    <row r="77" spans="6:10" x14ac:dyDescent="0.25"/>
    <row r="78" spans="6:10" x14ac:dyDescent="0.25"/>
    <row r="79" spans="6:10" x14ac:dyDescent="0.25"/>
    <row r="80" spans="6:10" x14ac:dyDescent="0.25"/>
    <row r="81" spans="6:10" x14ac:dyDescent="0.25"/>
    <row r="82" spans="6:10" x14ac:dyDescent="0.25"/>
    <row r="83" spans="6:10" x14ac:dyDescent="0.25"/>
    <row r="84" spans="6:10" x14ac:dyDescent="0.25"/>
    <row r="85" spans="6:10" x14ac:dyDescent="0.25"/>
    <row r="86" spans="6:10" x14ac:dyDescent="0.25"/>
    <row r="87" spans="6:10" x14ac:dyDescent="0.25"/>
    <row r="88" spans="6:10" x14ac:dyDescent="0.25"/>
    <row r="89" spans="6:10" x14ac:dyDescent="0.25"/>
    <row r="90" spans="6:10" x14ac:dyDescent="0.25"/>
    <row r="91" spans="6:10" x14ac:dyDescent="0.25"/>
    <row r="92" spans="6:10" x14ac:dyDescent="0.25"/>
    <row r="93" spans="6:10" x14ac:dyDescent="0.25"/>
    <row r="94" spans="6:10" x14ac:dyDescent="0.25"/>
    <row r="95" spans="6:10" x14ac:dyDescent="0.25"/>
    <row r="96" spans="6:10" x14ac:dyDescent="0.25"/>
    <row r="97" spans="6:10" x14ac:dyDescent="0.25"/>
    <row r="98" spans="6:10" x14ac:dyDescent="0.25"/>
    <row r="99" spans="6:10" x14ac:dyDescent="0.25"/>
    <row r="100" spans="6:10" x14ac:dyDescent="0.25"/>
    <row r="101" spans="6:10" x14ac:dyDescent="0.25"/>
    <row r="102" spans="6:10" x14ac:dyDescent="0.25"/>
    <row r="103" spans="6:10" x14ac:dyDescent="0.25"/>
    <row r="104" spans="6:10" x14ac:dyDescent="0.25"/>
    <row r="105" spans="6:10" x14ac:dyDescent="0.25"/>
    <row r="106" spans="6:10" x14ac:dyDescent="0.25"/>
    <row r="107" spans="6:10" x14ac:dyDescent="0.25"/>
    <row r="108" spans="6:10" x14ac:dyDescent="0.25"/>
    <row r="109" spans="6:10" x14ac:dyDescent="0.25"/>
    <row r="110" spans="6:10" x14ac:dyDescent="0.25"/>
    <row r="111" spans="6:10" x14ac:dyDescent="0.25"/>
    <row r="112" spans="6:10" x14ac:dyDescent="0.25"/>
    <row r="113" spans="6:10" x14ac:dyDescent="0.25"/>
    <row r="114" spans="6:10" x14ac:dyDescent="0.25"/>
    <row r="115" spans="6:10" x14ac:dyDescent="0.25"/>
    <row r="116" spans="6:10" x14ac:dyDescent="0.25"/>
    <row r="117" spans="6:10" x14ac:dyDescent="0.25"/>
    <row r="118" spans="6:10" x14ac:dyDescent="0.25"/>
    <row r="119" spans="6:10" x14ac:dyDescent="0.25"/>
    <row r="120" spans="6:10" x14ac:dyDescent="0.25"/>
    <row r="121" spans="6:10" x14ac:dyDescent="0.25"/>
    <row r="122" spans="6:10" x14ac:dyDescent="0.25"/>
    <row r="123" spans="6:10" x14ac:dyDescent="0.25"/>
    <row r="124" spans="6:10" x14ac:dyDescent="0.25"/>
    <row r="125" spans="6:10" x14ac:dyDescent="0.25"/>
    <row r="126" spans="6:10" x14ac:dyDescent="0.25"/>
    <row r="127" spans="6:10" x14ac:dyDescent="0.25"/>
    <row r="128" spans="6:10" x14ac:dyDescent="0.25"/>
    <row r="129" spans="6:10" x14ac:dyDescent="0.25"/>
    <row r="130" spans="6:10" x14ac:dyDescent="0.25"/>
    <row r="131" spans="6:10" x14ac:dyDescent="0.25"/>
    <row r="132" spans="6:10" x14ac:dyDescent="0.25"/>
    <row r="133" spans="6:10" x14ac:dyDescent="0.25"/>
    <row r="134" spans="6:10" x14ac:dyDescent="0.25"/>
    <row r="135" spans="6:10" x14ac:dyDescent="0.25"/>
    <row r="136" spans="6:10" x14ac:dyDescent="0.25"/>
    <row r="137" spans="6:10" x14ac:dyDescent="0.25"/>
    <row r="138" spans="6:10" x14ac:dyDescent="0.25"/>
    <row r="139" spans="6:10" x14ac:dyDescent="0.25"/>
    <row r="140" spans="6:10" x14ac:dyDescent="0.25"/>
    <row r="141" spans="6:10" x14ac:dyDescent="0.25"/>
    <row r="142" spans="6:10" x14ac:dyDescent="0.25"/>
    <row r="143" spans="6:10" x14ac:dyDescent="0.25"/>
    <row r="144" spans="6:10" x14ac:dyDescent="0.25"/>
    <row r="145" spans="6:10" x14ac:dyDescent="0.25"/>
    <row r="146" spans="6:10" x14ac:dyDescent="0.25"/>
    <row r="147" spans="6:10" x14ac:dyDescent="0.25"/>
    <row r="148" spans="6:10" x14ac:dyDescent="0.25"/>
    <row r="149" spans="6:10" x14ac:dyDescent="0.25"/>
    <row r="150" spans="6:10" x14ac:dyDescent="0.25"/>
    <row r="151" spans="6:10" x14ac:dyDescent="0.25"/>
    <row r="152" spans="6:10" x14ac:dyDescent="0.25"/>
    <row r="153" spans="6:10" x14ac:dyDescent="0.25"/>
    <row r="154" spans="6:10" x14ac:dyDescent="0.25"/>
    <row r="155" spans="6:10" x14ac:dyDescent="0.25"/>
    <row r="156" spans="6:10" x14ac:dyDescent="0.25"/>
    <row r="157" spans="6:10" x14ac:dyDescent="0.25"/>
    <row r="158" spans="6:10" x14ac:dyDescent="0.25"/>
    <row r="159" spans="6:10" x14ac:dyDescent="0.25"/>
    <row r="160" spans="6:10" x14ac:dyDescent="0.25"/>
    <row r="161" spans="6:10" x14ac:dyDescent="0.25"/>
    <row r="162" spans="6:10" x14ac:dyDescent="0.25"/>
    <row r="163" spans="6:10" x14ac:dyDescent="0.25"/>
    <row r="164" spans="6:10" x14ac:dyDescent="0.25"/>
    <row r="165" spans="6:10" x14ac:dyDescent="0.25"/>
    <row r="166" spans="6:10" x14ac:dyDescent="0.25"/>
    <row r="167" spans="6:10" x14ac:dyDescent="0.25"/>
    <row r="168" spans="6:10" x14ac:dyDescent="0.25"/>
    <row r="169" spans="6:10" x14ac:dyDescent="0.25"/>
    <row r="170" spans="6:10" x14ac:dyDescent="0.25"/>
    <row r="171" spans="6:10" x14ac:dyDescent="0.25"/>
    <row r="172" spans="6:10" x14ac:dyDescent="0.25"/>
    <row r="173" spans="6:10" x14ac:dyDescent="0.25"/>
    <row r="174" spans="6:10" x14ac:dyDescent="0.25"/>
    <row r="175" spans="6:10" x14ac:dyDescent="0.25"/>
    <row r="176" spans="6:10" x14ac:dyDescent="0.25"/>
    <row r="177" spans="6:10" x14ac:dyDescent="0.25"/>
    <row r="178" spans="6:10" x14ac:dyDescent="0.25"/>
    <row r="179" spans="6:10" x14ac:dyDescent="0.25"/>
    <row r="180" spans="6:10" x14ac:dyDescent="0.25"/>
    <row r="181" spans="6:10" x14ac:dyDescent="0.25"/>
    <row r="182" spans="6:10" x14ac:dyDescent="0.25"/>
    <row r="183" spans="6:10" x14ac:dyDescent="0.25"/>
    <row r="184" spans="6:10" x14ac:dyDescent="0.25"/>
    <row r="185" spans="6:10" x14ac:dyDescent="0.25"/>
    <row r="186" spans="6:10" x14ac:dyDescent="0.25"/>
    <row r="187" spans="6:10" x14ac:dyDescent="0.25"/>
    <row r="188" spans="6:10" x14ac:dyDescent="0.25"/>
    <row r="189" spans="6:10" x14ac:dyDescent="0.25"/>
    <row r="190" spans="6:10" x14ac:dyDescent="0.25"/>
    <row r="191" spans="6:10" x14ac:dyDescent="0.25"/>
    <row r="192" spans="6:10" x14ac:dyDescent="0.25"/>
    <row r="193" spans="6:10" x14ac:dyDescent="0.25"/>
    <row r="194" spans="6:10" x14ac:dyDescent="0.25"/>
    <row r="195" spans="6:10" x14ac:dyDescent="0.25"/>
    <row r="196" spans="6:10" x14ac:dyDescent="0.25"/>
    <row r="197" spans="6:10" x14ac:dyDescent="0.25"/>
    <row r="198" spans="6:10" x14ac:dyDescent="0.25"/>
    <row r="199" spans="6:10" x14ac:dyDescent="0.25"/>
    <row r="200" spans="6:10" x14ac:dyDescent="0.25"/>
  </sheetData>
  <autoFilter ref="A1:O2"/>
  <dataValidations count="6">
    <dataValidation type="list" allowBlank="1" showErrorMessage="1" errorTitle="قيمة غير مسموحة" error="اختر من القائمة: سباكة / كهرباء / تكييف / دهانات / نجارة / مصعد / نظافة / أخرى" sqref="F10:F200">
      <formula1>"سباكة,كهرباء,تكييف,دهانات,نجارة,مصعد,نظافة,أخرى"</formula1>
    </dataValidation>
    <dataValidation type="list" allowBlank="1" showErrorMessage="1" errorTitle="قيمة غير مسموحة" error="اختر من القائمة: سباكة / كهرباء / تكييف / دهانات / نجارة / مصعد / نظافة / أخرى" sqref="F2:F200">
      <formula1>"سباكة,كهرباء,تكييف,دهانات,نجارة,مصعد,نظافة,أخرى"</formula1>
    </dataValidation>
    <dataValidation type="list" allowBlank="1" showErrorMessage="1" errorTitle="قيمة غير مسموحة" error="اختر من القائمة: المالك / المستأجر / مناصفة" sqref="I10:I200">
      <formula1>"المالك,المستأجر,مناصفة"</formula1>
    </dataValidation>
    <dataValidation type="list" allowBlank="1" showErrorMessage="1" errorTitle="قيمة غير مسموحة" error="اختر من القائمة: المالك / المستأجر / مناصفة" sqref="I2:I200">
      <formula1>"المالك,المستأجر,مناصفة"</formula1>
    </dataValidation>
    <dataValidation type="list" allowBlank="1" showErrorMessage="1" errorTitle="قيمة غير مسموحة" error="اختر من القائمة: مفتوحة / مغلقة" sqref="J10:J200">
      <formula1>"مفتوحة,مغلقة"</formula1>
    </dataValidation>
    <dataValidation type="list" allowBlank="1" showErrorMessage="1" errorTitle="قيمة غير مسموحة" error="اختر من القائمة: مفتوحة / مغلقة" sqref="J2:J200">
      <formula1>"مفتوحة,مغلقة"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60" customWidth="1"/>
  </cols>
  <sheetData>
    <row r="1" ht="28" customHeight="1" spans="1:3" x14ac:dyDescent="0.25">
      <c r="A1" s="3" t="s">
        <v>1200</v>
      </c>
      <c r="B1" s="3" t="s">
        <v>1201</v>
      </c>
      <c r="C1" s="3" t="s">
        <v>1202</v>
      </c>
    </row>
    <row r="2" spans="1:3" x14ac:dyDescent="0.25">
      <c r="A2" t="s">
        <v>1203</v>
      </c>
      <c r="B2" t="s">
        <v>0</v>
      </c>
      <c r="C2" t="s">
        <v>1204</v>
      </c>
    </row>
    <row r="3" spans="1:3" x14ac:dyDescent="0.25">
      <c r="A3" t="s">
        <v>1205</v>
      </c>
      <c r="B3">
        <v>5</v>
      </c>
      <c r="C3" t="s">
        <v>1206</v>
      </c>
    </row>
    <row r="4" spans="1:3" x14ac:dyDescent="0.25">
      <c r="A4" t="s">
        <v>1207</v>
      </c>
      <c r="B4">
        <v>1</v>
      </c>
      <c r="C4" t="s">
        <v>1208</v>
      </c>
    </row>
    <row r="5" spans="1:3" x14ac:dyDescent="0.25">
      <c r="A5" t="s">
        <v>1209</v>
      </c>
      <c r="B5">
        <v>3</v>
      </c>
      <c r="C5" t="s">
        <v>1210</v>
      </c>
    </row>
    <row r="6" spans="1:3" x14ac:dyDescent="0.25">
      <c r="A6" t="s">
        <v>1211</v>
      </c>
      <c r="B6" t="s">
        <v>673</v>
      </c>
      <c r="C6" t="s">
        <v>1212</v>
      </c>
    </row>
    <row r="7" spans="1:3" x14ac:dyDescent="0.25">
      <c r="A7" t="s">
        <v>1213</v>
      </c>
      <c r="B7">
        <v>10</v>
      </c>
      <c r="C7" t="s">
        <v>1214</v>
      </c>
    </row>
    <row r="8" spans="1:3" x14ac:dyDescent="0.25">
      <c r="A8" t="s">
        <v>1215</v>
      </c>
      <c r="B8" t="s">
        <v>1</v>
      </c>
      <c r="C8" t="s">
        <v>1216</v>
      </c>
    </row>
    <row r="9" spans="1:3" x14ac:dyDescent="0.25">
      <c r="A9" t="s">
        <v>1217</v>
      </c>
      <c r="B9" t="s">
        <v>1218</v>
      </c>
      <c r="C9" t="s">
        <v>1219</v>
      </c>
    </row>
    <row r="10" spans="1:3" x14ac:dyDescent="0.25">
      <c r="A10" t="s">
        <v>1220</v>
      </c>
      <c r="B10" t="s">
        <v>1221</v>
      </c>
      <c r="C10" t="s">
        <v>1222</v>
      </c>
    </row>
    <row r="12" spans="1:2" x14ac:dyDescent="0.25">
      <c r="A12" t="s">
        <v>1223</v>
      </c>
      <c r="B12" t="s">
        <v>1224</v>
      </c>
    </row>
    <row r="13" spans="1:2" x14ac:dyDescent="0.25">
      <c r="A13" t="s">
        <v>1225</v>
      </c>
      <c r="B1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  <col min="5" max="5" width="60" customWidth="1"/>
  </cols>
  <sheetData>
    <row r="1" ht="28" customHeight="1" spans="1:5" x14ac:dyDescent="0.25">
      <c r="A1" s="3" t="s">
        <v>1226</v>
      </c>
      <c r="B1" s="3" t="s">
        <v>1227</v>
      </c>
      <c r="C1" s="3" t="s">
        <v>1228</v>
      </c>
      <c r="D1" s="3" t="s">
        <v>1229</v>
      </c>
      <c r="E1" s="3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2026</vt:lpstr>
      <vt:lpstr>ملخص المشاريع</vt:lpstr>
      <vt:lpstr>المشاريع</vt:lpstr>
      <vt:lpstr>الوحدات</vt:lpstr>
      <vt:lpstr>أصول الوحدات</vt:lpstr>
      <vt:lpstr>العملاء</vt:lpstr>
      <vt:lpstr>العقود</vt:lpstr>
      <vt:lpstr>المدفوعات</vt:lpstr>
      <vt:lpstr>الصيانة</vt:lpstr>
      <vt:lpstr>الإعدادات</vt:lpstr>
      <vt:lpstr>سجل التعديلات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Egary</dc:creator>
  <dc:title/>
  <dc:subject/>
  <dc:description/>
  <cp:keywords/>
  <cp:category/>
  <cp:lastModifiedBy>Unknown</cp:lastModifiedBy>
  <dcterms:created xsi:type="dcterms:W3CDTF">2026-10-09T14:16:05Z</dcterms:created>
  <dcterms:modified xsi:type="dcterms:W3CDTF">2026-10-09T14:16:05Z</dcterms:modified>
</cp:coreProperties>
</file>