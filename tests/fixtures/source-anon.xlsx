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ملخص المشاريع" sheetId="2" state="visible" r:id="rId2"/>
  </sheets>
  <definedNames>
    <definedName name="_xlnm._FilterDatabase" localSheetId="0" hidden="1">'2026'!$A$2:$X$75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sz val="10"/>
    </font>
    <font>
      <name val="Arial"/>
      <color rgb="FFC00000"/>
      <sz val="10"/>
    </font>
    <font>
      <name val="Arial"/>
      <b val="1"/>
      <sz val="11"/>
    </font>
    <font>
      <name val="Arial"/>
      <color rgb="FF000000"/>
      <sz val="11"/>
    </font>
    <font>
      <name val="Arial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"/>
  <sheetViews>
    <sheetView rightToLeft="1" tabSelected="1" zoomScale="99" workbookViewId="0">
      <pane xSplit="3" ySplit="2" topLeftCell="P58" activePane="bottomRight" state="frozen"/>
      <selection pane="topRight" activeCell="A1" sqref="A1"/>
      <selection pane="bottomLeft" activeCell="A1" sqref="A1"/>
      <selection pane="bottomRight" activeCell="X68" sqref="X68"/>
    </sheetView>
  </sheetViews>
  <sheetFormatPr baseColWidth="8" defaultRowHeight="14.4"/>
  <cols>
    <col width="5" customWidth="1" min="1" max="1"/>
    <col width="11" customWidth="1" min="2" max="2"/>
    <col width="34" customWidth="1" min="3" max="3"/>
    <col width="30" customWidth="1" min="4" max="4"/>
    <col width="11" customWidth="1" min="5" max="5"/>
    <col width="26" customWidth="1" min="6" max="6"/>
    <col width="12" customWidth="1" min="7" max="8"/>
    <col width="13" customWidth="1" min="9" max="9"/>
    <col width="18" customWidth="1" min="10" max="10"/>
    <col width="11" customWidth="1" min="11" max="22"/>
    <col width="14" customWidth="1" min="23" max="23"/>
    <col width="40" customWidth="1" min="24" max="24"/>
  </cols>
  <sheetData>
    <row r="1">
      <c r="A1" s="29" t="n"/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8" t="inlineStr">
        <is>
          <t>2026</t>
        </is>
      </c>
      <c r="W1" s="29" t="n"/>
      <c r="X1" s="29" t="n"/>
    </row>
    <row r="2" ht="30" customHeight="1">
      <c r="A2" s="2" t="inlineStr">
        <is>
          <t>م</t>
        </is>
      </c>
      <c r="B2" s="2" t="inlineStr">
        <is>
          <t>المشروع</t>
        </is>
      </c>
      <c r="C2" s="2" t="inlineStr">
        <is>
          <t>الاسم</t>
        </is>
      </c>
      <c r="D2" s="2" t="inlineStr">
        <is>
          <t>الممثل القانوني</t>
        </is>
      </c>
      <c r="E2" s="2" t="inlineStr">
        <is>
          <t>الوحدة</t>
        </is>
      </c>
      <c r="F2" s="2" t="inlineStr">
        <is>
          <t>العنوان</t>
        </is>
      </c>
      <c r="G2" s="2" t="inlineStr">
        <is>
          <t>العقد من</t>
        </is>
      </c>
      <c r="H2" s="2" t="inlineStr">
        <is>
          <t>العقد الى</t>
        </is>
      </c>
      <c r="I2" s="2" t="inlineStr">
        <is>
          <t>تسجيل ضريبي</t>
        </is>
      </c>
      <c r="J2" s="2" t="inlineStr">
        <is>
          <t>الرقم القومي / الباسبور</t>
        </is>
      </c>
      <c r="K2" s="2" t="inlineStr">
        <is>
          <t>يناير</t>
        </is>
      </c>
      <c r="L2" s="2" t="inlineStr">
        <is>
          <t>فبراير</t>
        </is>
      </c>
      <c r="M2" s="2" t="inlineStr">
        <is>
          <t>مارس</t>
        </is>
      </c>
      <c r="N2" s="2" t="inlineStr">
        <is>
          <t>ابريل</t>
        </is>
      </c>
      <c r="O2" s="2" t="inlineStr">
        <is>
          <t>مايو</t>
        </is>
      </c>
      <c r="P2" s="2" t="inlineStr">
        <is>
          <t>يونيو</t>
        </is>
      </c>
      <c r="Q2" s="2" t="inlineStr">
        <is>
          <t>يوليو</t>
        </is>
      </c>
      <c r="R2" s="2" t="inlineStr">
        <is>
          <t>اغسطس</t>
        </is>
      </c>
      <c r="S2" s="2" t="inlineStr">
        <is>
          <t>سبتمبر</t>
        </is>
      </c>
      <c r="T2" s="2" t="inlineStr">
        <is>
          <t>اكتوبر</t>
        </is>
      </c>
      <c r="U2" s="2" t="inlineStr">
        <is>
          <t>نوفمبر</t>
        </is>
      </c>
      <c r="V2" s="2" t="inlineStr">
        <is>
          <t>ديسمبر</t>
        </is>
      </c>
      <c r="W2" s="2" t="inlineStr">
        <is>
          <t>الاجمالي</t>
        </is>
      </c>
      <c r="X2" s="2" t="inlineStr">
        <is>
          <t>ملاحظات</t>
        </is>
      </c>
    </row>
    <row r="3">
      <c r="A3" s="3" t="n">
        <v>1</v>
      </c>
      <c r="B3" s="3" t="inlineStr">
        <is>
          <t>بابل</t>
        </is>
      </c>
      <c r="C3" s="4" t="inlineStr">
        <is>
          <t>عمرو أيمن زكي</t>
        </is>
      </c>
      <c r="D3" s="4" t="inlineStr">
        <is>
          <t>باسم رامي عبد الرحمن</t>
        </is>
      </c>
      <c r="E3" s="3" t="inlineStr">
        <is>
          <t>محل</t>
        </is>
      </c>
      <c r="F3" s="3" t="inlineStr">
        <is>
          <t>شارع بابل الدقي 39</t>
        </is>
      </c>
      <c r="G3" s="30" t="n">
        <v>45078</v>
      </c>
      <c r="H3" s="30" t="n">
        <v>46173</v>
      </c>
      <c r="I3" s="3" t="n"/>
      <c r="J3" s="6" t="inlineStr">
        <is>
          <t>25138731744548</t>
        </is>
      </c>
      <c r="K3" s="7" t="n">
        <v>12705</v>
      </c>
      <c r="L3" s="7" t="n">
        <v>12705</v>
      </c>
      <c r="M3" s="7" t="n">
        <v>12705</v>
      </c>
      <c r="N3" s="7" t="n">
        <v>12705</v>
      </c>
      <c r="O3" s="7" t="n">
        <v>12705</v>
      </c>
      <c r="P3" s="7" t="n"/>
      <c r="Q3" s="7" t="n"/>
      <c r="R3" s="7" t="n"/>
      <c r="S3" s="7" t="n"/>
      <c r="T3" s="7" t="n"/>
      <c r="U3" s="7" t="n"/>
      <c r="V3" s="7" t="n"/>
      <c r="W3" s="7">
        <f>SUM(K3:V3)</f>
        <v/>
      </c>
      <c r="X3" s="4" t="n"/>
    </row>
    <row r="4">
      <c r="A4" s="3" t="n">
        <v>2</v>
      </c>
      <c r="B4" s="3" t="inlineStr">
        <is>
          <t>بابل</t>
        </is>
      </c>
      <c r="C4" s="4" t="inlineStr">
        <is>
          <t>شركة البركة للمقاولات</t>
        </is>
      </c>
      <c r="D4" s="4" t="inlineStr">
        <is>
          <t>عادل باسم عابدين</t>
        </is>
      </c>
      <c r="E4" s="3" t="inlineStr">
        <is>
          <t>محل</t>
        </is>
      </c>
      <c r="F4" s="3" t="inlineStr">
        <is>
          <t>شارع بابل الدقي 39</t>
        </is>
      </c>
      <c r="G4" s="30" t="n">
        <v>45778</v>
      </c>
      <c r="H4" s="30" t="n">
        <v>46142</v>
      </c>
      <c r="I4" s="3" t="n"/>
      <c r="J4" s="6" t="inlineStr">
        <is>
          <t>20876376398458</t>
        </is>
      </c>
      <c r="K4" s="7" t="n">
        <v>30500</v>
      </c>
      <c r="L4" s="7" t="n">
        <v>30500</v>
      </c>
      <c r="M4" s="7" t="n">
        <v>30500</v>
      </c>
      <c r="N4" s="7" t="n">
        <v>30500</v>
      </c>
      <c r="O4" s="7" t="n"/>
      <c r="P4" s="7" t="n"/>
      <c r="Q4" s="7" t="n"/>
      <c r="R4" s="7" t="n"/>
      <c r="S4" s="7" t="n"/>
      <c r="T4" s="7" t="n"/>
      <c r="U4" s="7" t="n"/>
      <c r="V4" s="7" t="n"/>
      <c r="W4" s="7">
        <f>SUM(K4:V4)</f>
        <v/>
      </c>
      <c r="X4" s="4" t="n"/>
    </row>
    <row r="5">
      <c r="A5" s="3" t="n">
        <v>3</v>
      </c>
      <c r="B5" s="3" t="inlineStr">
        <is>
          <t>بابل</t>
        </is>
      </c>
      <c r="C5" s="4" t="inlineStr">
        <is>
          <t>شركة الأفق لتكنولوجيا المعلومات</t>
        </is>
      </c>
      <c r="D5" s="4" t="inlineStr">
        <is>
          <t>سامح يوسف نصار</t>
        </is>
      </c>
      <c r="E5" s="3" t="inlineStr">
        <is>
          <t>ميزان 1/2</t>
        </is>
      </c>
      <c r="F5" s="3" t="inlineStr">
        <is>
          <t>شارع بابل الدقي 39</t>
        </is>
      </c>
      <c r="G5" s="30" t="n">
        <v>45432</v>
      </c>
      <c r="H5" s="30" t="n">
        <v>46526</v>
      </c>
      <c r="I5" s="3" t="inlineStr">
        <is>
          <t>613-789-568</t>
        </is>
      </c>
      <c r="J5" s="6" t="inlineStr">
        <is>
          <t>26161169066883</t>
        </is>
      </c>
      <c r="K5" s="7" t="n">
        <v>45100</v>
      </c>
      <c r="L5" s="7" t="n">
        <v>45100</v>
      </c>
      <c r="M5" s="7" t="n">
        <v>45100</v>
      </c>
      <c r="N5" s="7" t="n">
        <v>45100</v>
      </c>
      <c r="O5" s="7" t="n">
        <v>46603</v>
      </c>
      <c r="P5" s="7" t="n">
        <v>49610</v>
      </c>
      <c r="Q5" s="7" t="n">
        <v>49610</v>
      </c>
      <c r="R5" s="7" t="n">
        <v>49610</v>
      </c>
      <c r="S5" s="7" t="n"/>
      <c r="T5" s="7" t="n"/>
      <c r="U5" s="7" t="n"/>
      <c r="V5" s="7" t="n"/>
      <c r="W5" s="7">
        <f>SUM(K5:V5)</f>
        <v/>
      </c>
      <c r="X5" s="4" t="n"/>
    </row>
    <row r="6">
      <c r="A6" s="3" t="n">
        <v>4</v>
      </c>
      <c r="B6" s="3" t="inlineStr">
        <is>
          <t>بابل</t>
        </is>
      </c>
      <c r="C6" s="4" t="inlineStr">
        <is>
          <t>شركة النور للإنتاج الفني</t>
        </is>
      </c>
      <c r="D6" s="4" t="inlineStr">
        <is>
          <t>نهى علي فوزي</t>
        </is>
      </c>
      <c r="E6" s="3" t="inlineStr">
        <is>
          <t>ميزان 3</t>
        </is>
      </c>
      <c r="F6" s="3" t="inlineStr">
        <is>
          <t>شارع بابل الدقي 39</t>
        </is>
      </c>
      <c r="G6" s="30" t="n">
        <v>45444</v>
      </c>
      <c r="H6" s="30" t="n">
        <v>46173</v>
      </c>
      <c r="I6" s="3" t="n"/>
      <c r="J6" s="6" t="inlineStr">
        <is>
          <t>P95142580</t>
        </is>
      </c>
      <c r="K6" s="7" t="n">
        <v>41800</v>
      </c>
      <c r="L6" s="7" t="n">
        <v>41800</v>
      </c>
      <c r="M6" s="7" t="n">
        <v>41800</v>
      </c>
      <c r="N6" s="7" t="n">
        <v>41800</v>
      </c>
      <c r="O6" s="7" t="n">
        <v>41800</v>
      </c>
      <c r="P6" s="7" t="n"/>
      <c r="Q6" s="7" t="n"/>
      <c r="R6" s="7" t="n"/>
      <c r="S6" s="7" t="n"/>
      <c r="T6" s="7" t="n"/>
      <c r="U6" s="7" t="n"/>
      <c r="V6" s="7" t="n"/>
      <c r="W6" s="7">
        <f>SUM(K6:V6)</f>
        <v/>
      </c>
      <c r="X6" s="4" t="n"/>
    </row>
    <row r="7">
      <c r="A7" s="3" t="n">
        <v>5</v>
      </c>
      <c r="B7" s="3" t="inlineStr">
        <is>
          <t>بابل</t>
        </is>
      </c>
      <c r="C7" s="4" t="inlineStr">
        <is>
          <t>شركة الأفق لتكنولوجيا المعلومات</t>
        </is>
      </c>
      <c r="D7" s="4" t="inlineStr">
        <is>
          <t>أحمد ياسر منصور</t>
        </is>
      </c>
      <c r="E7" s="3" t="inlineStr">
        <is>
          <t>الدور الثاني</t>
        </is>
      </c>
      <c r="F7" s="3" t="inlineStr">
        <is>
          <t>شارع بابل الدقي 39</t>
        </is>
      </c>
      <c r="G7" s="30" t="n">
        <v>45352</v>
      </c>
      <c r="H7" s="30" t="n">
        <v>46446</v>
      </c>
      <c r="I7" s="3" t="inlineStr">
        <is>
          <t>613-789-568</t>
        </is>
      </c>
      <c r="J7" s="6" t="inlineStr">
        <is>
          <t>28134981129635</t>
        </is>
      </c>
      <c r="K7" s="7" t="n">
        <v>83600</v>
      </c>
      <c r="L7" s="7" t="n">
        <v>83600</v>
      </c>
      <c r="M7" s="7" t="n">
        <v>91960</v>
      </c>
      <c r="N7" s="7" t="n">
        <v>91960</v>
      </c>
      <c r="O7" s="7" t="n">
        <v>91960</v>
      </c>
      <c r="P7" s="7" t="n">
        <v>91960</v>
      </c>
      <c r="Q7" s="7" t="n">
        <v>91960</v>
      </c>
      <c r="R7" s="7" t="n">
        <v>91960</v>
      </c>
      <c r="S7" s="7" t="n"/>
      <c r="T7" s="7" t="n"/>
      <c r="U7" s="7" t="n"/>
      <c r="V7" s="7" t="n"/>
      <c r="W7" s="7">
        <f>SUM(K7:V7)</f>
        <v/>
      </c>
      <c r="X7" s="4" t="n"/>
    </row>
    <row r="8">
      <c r="A8" s="3" t="n">
        <v>6</v>
      </c>
      <c r="B8" s="3" t="inlineStr">
        <is>
          <t>بابل</t>
        </is>
      </c>
      <c r="C8" s="4" t="inlineStr">
        <is>
          <t>شركة الأمل للاستشارات الهندسية</t>
        </is>
      </c>
      <c r="D8" s="4" t="inlineStr">
        <is>
          <t>أحمد ياسر منصور</t>
        </is>
      </c>
      <c r="E8" s="3" t="inlineStr">
        <is>
          <t>مكتب 42</t>
        </is>
      </c>
      <c r="F8" s="3" t="inlineStr">
        <is>
          <t>شارع بابل الدقي 39</t>
        </is>
      </c>
      <c r="G8" s="30" t="n">
        <v>45158</v>
      </c>
      <c r="H8" s="30" t="n">
        <v>46253</v>
      </c>
      <c r="I8" s="3" t="inlineStr">
        <is>
          <t>644-353-356</t>
        </is>
      </c>
      <c r="J8" s="6" t="inlineStr">
        <is>
          <t>28134981129635</t>
        </is>
      </c>
      <c r="K8" s="7" t="n">
        <v>30250</v>
      </c>
      <c r="L8" s="7" t="n">
        <v>30250</v>
      </c>
      <c r="M8" s="7" t="n">
        <v>30250</v>
      </c>
      <c r="N8" s="7" t="n">
        <v>30250</v>
      </c>
      <c r="O8" s="7" t="n">
        <v>30250</v>
      </c>
      <c r="P8" s="7" t="n">
        <v>30250</v>
      </c>
      <c r="Q8" s="7" t="n">
        <v>30250</v>
      </c>
      <c r="R8" s="7" t="n">
        <v>44090</v>
      </c>
      <c r="S8" s="7" t="n"/>
      <c r="T8" s="7" t="n"/>
      <c r="U8" s="7" t="n"/>
      <c r="V8" s="7" t="n"/>
      <c r="W8" s="7">
        <f>SUM(K8:V8)</f>
        <v/>
      </c>
      <c r="X8" s="8" t="n"/>
    </row>
    <row r="9">
      <c r="A9" s="3" t="n">
        <v>7</v>
      </c>
      <c r="B9" s="3" t="inlineStr">
        <is>
          <t>بابل</t>
        </is>
      </c>
      <c r="C9" s="4" t="inlineStr">
        <is>
          <t>عمرو إبراهيم فوزي</t>
        </is>
      </c>
      <c r="D9" s="4" t="inlineStr">
        <is>
          <t>عمرو إبراهيم فوزي</t>
        </is>
      </c>
      <c r="E9" s="3" t="inlineStr">
        <is>
          <t>مكتب 61</t>
        </is>
      </c>
      <c r="F9" s="3" t="inlineStr">
        <is>
          <t>شارع بابل الدقي 39</t>
        </is>
      </c>
      <c r="G9" s="30" t="n">
        <v>45017</v>
      </c>
      <c r="H9" s="30" t="n">
        <v>46112</v>
      </c>
      <c r="I9" s="3" t="n"/>
      <c r="J9" s="6" t="inlineStr">
        <is>
          <t>23761205972580</t>
        </is>
      </c>
      <c r="K9" s="7" t="n">
        <v>24330</v>
      </c>
      <c r="L9" s="7" t="n">
        <v>24330</v>
      </c>
      <c r="M9" s="7" t="n">
        <v>24330</v>
      </c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>
        <f>SUM(K9:V9)</f>
        <v/>
      </c>
      <c r="X9" s="8" t="n"/>
    </row>
    <row r="10">
      <c r="A10" s="9" t="n">
        <v>8</v>
      </c>
      <c r="B10" s="9" t="inlineStr">
        <is>
          <t>محيي الدين</t>
        </is>
      </c>
      <c r="C10" s="10" t="inlineStr">
        <is>
          <t>شركة المستقبل للتدريب</t>
        </is>
      </c>
      <c r="D10" s="10" t="inlineStr">
        <is>
          <t>مروان خالد بدوي</t>
        </is>
      </c>
      <c r="E10" s="9" t="inlineStr">
        <is>
          <t>ميزان 1</t>
        </is>
      </c>
      <c r="F10" s="9" t="inlineStr">
        <is>
          <t>شارع محيي الدين ابو العز 30</t>
        </is>
      </c>
      <c r="G10" s="31" t="n">
        <v>45139</v>
      </c>
      <c r="H10" s="31" t="n">
        <v>46965</v>
      </c>
      <c r="I10" s="9" t="inlineStr">
        <is>
          <t>979-738-984</t>
        </is>
      </c>
      <c r="J10" s="12" t="inlineStr">
        <is>
          <t>28108914237679</t>
        </is>
      </c>
      <c r="K10" s="13" t="n">
        <v>42350</v>
      </c>
      <c r="L10" s="13" t="n">
        <v>42350</v>
      </c>
      <c r="M10" s="13" t="n">
        <v>42350</v>
      </c>
      <c r="N10" s="13" t="n">
        <v>42350</v>
      </c>
      <c r="O10" s="13" t="n">
        <v>42350</v>
      </c>
      <c r="P10" s="13" t="n">
        <v>42350</v>
      </c>
      <c r="Q10" s="13" t="n">
        <v>42350</v>
      </c>
      <c r="R10" s="13" t="n">
        <v>46585</v>
      </c>
      <c r="S10" s="13" t="n"/>
      <c r="T10" s="13" t="n"/>
      <c r="U10" s="13" t="n"/>
      <c r="V10" s="13" t="n"/>
      <c r="W10" s="13">
        <f>SUM(K10:V10)</f>
        <v/>
      </c>
      <c r="X10" s="14" t="n"/>
    </row>
    <row r="11">
      <c r="A11" s="9" t="n">
        <v>9</v>
      </c>
      <c r="B11" s="9" t="inlineStr">
        <is>
          <t>محيي الدين</t>
        </is>
      </c>
      <c r="C11" s="10" t="inlineStr">
        <is>
          <t>شركة الياسمين للتجارة</t>
        </is>
      </c>
      <c r="D11" s="10" t="inlineStr">
        <is>
          <t>ياسر محمد رشاد</t>
        </is>
      </c>
      <c r="E11" s="9" t="inlineStr">
        <is>
          <t>ميزان 2</t>
        </is>
      </c>
      <c r="F11" s="9" t="inlineStr">
        <is>
          <t>شارع محيي الدين ابو العز 30</t>
        </is>
      </c>
      <c r="G11" s="31" t="n">
        <v>45242</v>
      </c>
      <c r="H11" s="31" t="n">
        <v>46337</v>
      </c>
      <c r="I11" s="9" t="inlineStr">
        <is>
          <t>738-017-798</t>
        </is>
      </c>
      <c r="J11" s="12" t="inlineStr">
        <is>
          <t>21743589223868</t>
        </is>
      </c>
      <c r="K11" s="13" t="n">
        <v>25410</v>
      </c>
      <c r="L11" s="13" t="n">
        <v>25410</v>
      </c>
      <c r="M11" s="13" t="n">
        <v>25410</v>
      </c>
      <c r="N11" s="13" t="n">
        <v>25410</v>
      </c>
      <c r="O11" s="13" t="n">
        <v>25410</v>
      </c>
      <c r="P11" s="13" t="n">
        <v>25410</v>
      </c>
      <c r="Q11" s="13" t="n">
        <v>25410</v>
      </c>
      <c r="R11" s="13" t="n">
        <v>25410</v>
      </c>
      <c r="S11" s="13" t="n"/>
      <c r="T11" s="13" t="n"/>
      <c r="U11" s="13" t="n"/>
      <c r="V11" s="13" t="n"/>
      <c r="W11" s="13">
        <f>SUM(K11:V11)</f>
        <v/>
      </c>
      <c r="X11" s="14" t="n"/>
    </row>
    <row r="12">
      <c r="A12" s="9" t="n">
        <v>10</v>
      </c>
      <c r="B12" s="9" t="inlineStr">
        <is>
          <t>محيي الدين</t>
        </is>
      </c>
      <c r="C12" s="10" t="inlineStr">
        <is>
          <t>شركة الأفق للاستيراد والتصدير</t>
        </is>
      </c>
      <c r="D12" s="10" t="inlineStr">
        <is>
          <t>أمير فادي منصور</t>
        </is>
      </c>
      <c r="E12" s="9" t="inlineStr">
        <is>
          <t>202</t>
        </is>
      </c>
      <c r="F12" s="9" t="inlineStr">
        <is>
          <t>شارع محيي الدين ابو العز 30</t>
        </is>
      </c>
      <c r="G12" s="31" t="n">
        <v>45231</v>
      </c>
      <c r="H12" s="31" t="n">
        <v>46326</v>
      </c>
      <c r="I12" s="9" t="inlineStr">
        <is>
          <t>829-102-559</t>
        </is>
      </c>
      <c r="J12" s="12" t="inlineStr">
        <is>
          <t>N956207298</t>
        </is>
      </c>
      <c r="K12" s="13" t="n">
        <v>46585</v>
      </c>
      <c r="L12" s="13" t="n">
        <v>46585</v>
      </c>
      <c r="M12" s="13" t="n">
        <v>46585</v>
      </c>
      <c r="N12" s="13" t="n">
        <v>46585</v>
      </c>
      <c r="O12" s="13" t="n">
        <v>46585</v>
      </c>
      <c r="P12" s="13" t="n">
        <v>46585</v>
      </c>
      <c r="Q12" s="13" t="n">
        <v>46585</v>
      </c>
      <c r="R12" s="13" t="n">
        <v>46585</v>
      </c>
      <c r="S12" s="13" t="n"/>
      <c r="T12" s="13" t="n"/>
      <c r="U12" s="13" t="n"/>
      <c r="V12" s="13" t="n"/>
      <c r="W12" s="13">
        <f>SUM(K12:V12)</f>
        <v/>
      </c>
      <c r="X12" s="10" t="n"/>
    </row>
    <row r="13">
      <c r="A13" s="9" t="n">
        <v>11</v>
      </c>
      <c r="B13" s="9" t="inlineStr">
        <is>
          <t>محيي الدين</t>
        </is>
      </c>
      <c r="C13" s="10" t="inlineStr">
        <is>
          <t>شريف هشام فوزي</t>
        </is>
      </c>
      <c r="D13" s="10" t="inlineStr">
        <is>
          <t>شريف هشام فوزي</t>
        </is>
      </c>
      <c r="E13" s="9" t="inlineStr">
        <is>
          <t>301</t>
        </is>
      </c>
      <c r="F13" s="9" t="inlineStr">
        <is>
          <t>شارع محيي الدين ابو العز 30</t>
        </is>
      </c>
      <c r="G13" s="31" t="n">
        <v>46143</v>
      </c>
      <c r="H13" s="31" t="n">
        <v>46507</v>
      </c>
      <c r="I13" s="9" t="n"/>
      <c r="J13" s="12" t="inlineStr">
        <is>
          <t>26443030301781</t>
        </is>
      </c>
      <c r="K13" s="13" t="n">
        <v>22990</v>
      </c>
      <c r="L13" s="13" t="n">
        <v>22990</v>
      </c>
      <c r="M13" s="13" t="n">
        <v>22990</v>
      </c>
      <c r="N13" s="13" t="n">
        <v>22990</v>
      </c>
      <c r="O13" s="13" t="n">
        <v>37000</v>
      </c>
      <c r="P13" s="13" t="n">
        <v>37000</v>
      </c>
      <c r="Q13" s="13" t="n">
        <v>37000</v>
      </c>
      <c r="R13" s="13" t="n">
        <v>37000</v>
      </c>
      <c r="S13" s="13" t="n"/>
      <c r="T13" s="13" t="n"/>
      <c r="U13" s="13" t="n"/>
      <c r="V13" s="13" t="n"/>
      <c r="W13" s="13">
        <f>SUM(K13:V13)</f>
        <v/>
      </c>
      <c r="X13" s="10" t="n"/>
    </row>
    <row r="14">
      <c r="A14" s="9" t="n">
        <v>12</v>
      </c>
      <c r="B14" s="9" t="inlineStr">
        <is>
          <t>محيي الدين</t>
        </is>
      </c>
      <c r="C14" s="10" t="inlineStr">
        <is>
          <t>د/ باسم أمير سليم</t>
        </is>
      </c>
      <c r="D14" s="10" t="inlineStr">
        <is>
          <t>د/ باسم أمير سليم</t>
        </is>
      </c>
      <c r="E14" s="9" t="inlineStr">
        <is>
          <t>302</t>
        </is>
      </c>
      <c r="F14" s="9" t="inlineStr">
        <is>
          <t>شارع محيي الدين ابو العز 30</t>
        </is>
      </c>
      <c r="G14" s="31" t="n">
        <v>46143</v>
      </c>
      <c r="H14" s="31" t="n">
        <v>46507</v>
      </c>
      <c r="I14" s="9" t="n"/>
      <c r="J14" s="12" t="inlineStr">
        <is>
          <t>23152474861518</t>
        </is>
      </c>
      <c r="K14" s="13" t="n">
        <v>35000</v>
      </c>
      <c r="L14" s="13" t="n">
        <v>35000</v>
      </c>
      <c r="M14" s="13" t="n">
        <v>35000</v>
      </c>
      <c r="N14" s="13" t="n">
        <v>35000</v>
      </c>
      <c r="O14" s="13" t="n">
        <v>38500</v>
      </c>
      <c r="P14" s="13" t="n">
        <v>38500</v>
      </c>
      <c r="Q14" s="13" t="n">
        <v>38500</v>
      </c>
      <c r="R14" s="13" t="n">
        <v>37500</v>
      </c>
      <c r="S14" s="13" t="n"/>
      <c r="T14" s="13" t="n"/>
      <c r="U14" s="13" t="n"/>
      <c r="V14" s="13" t="n"/>
      <c r="W14" s="13">
        <f>SUM(K14:V14)</f>
        <v/>
      </c>
      <c r="X14" s="10" t="n"/>
    </row>
    <row r="15">
      <c r="A15" s="9" t="n">
        <v>13</v>
      </c>
      <c r="B15" s="9" t="inlineStr">
        <is>
          <t>محيي الدين</t>
        </is>
      </c>
      <c r="C15" s="10" t="inlineStr">
        <is>
          <t>شركة الصفوة للإنتاج الفني</t>
        </is>
      </c>
      <c r="D15" s="10" t="inlineStr">
        <is>
          <t>خالد يوسف شاكر</t>
        </is>
      </c>
      <c r="E15" s="9" t="inlineStr">
        <is>
          <t>303</t>
        </is>
      </c>
      <c r="F15" s="9" t="inlineStr">
        <is>
          <t>شارع محيي الدين ابو العز 30</t>
        </is>
      </c>
      <c r="G15" s="31" t="n">
        <v>45870</v>
      </c>
      <c r="H15" s="31" t="n">
        <v>46965</v>
      </c>
      <c r="I15" s="9" t="inlineStr">
        <is>
          <t>963-271-933</t>
        </is>
      </c>
      <c r="J15" s="12" t="inlineStr">
        <is>
          <t>23918025447827</t>
        </is>
      </c>
      <c r="K15" s="13" t="n">
        <v>43000</v>
      </c>
      <c r="L15" s="13" t="n">
        <v>43000</v>
      </c>
      <c r="M15" s="13" t="n">
        <v>43000</v>
      </c>
      <c r="N15" s="13" t="n">
        <v>43000</v>
      </c>
      <c r="O15" s="13" t="n">
        <v>43000</v>
      </c>
      <c r="P15" s="13" t="n">
        <v>43000</v>
      </c>
      <c r="Q15" s="13" t="n">
        <v>43000</v>
      </c>
      <c r="R15" s="13" t="n">
        <v>49450</v>
      </c>
      <c r="S15" s="13" t="n"/>
      <c r="T15" s="13" t="n"/>
      <c r="U15" s="13" t="n"/>
      <c r="V15" s="13" t="n"/>
      <c r="W15" s="13">
        <f>SUM(K15:V15)</f>
        <v/>
      </c>
      <c r="X15" s="14" t="n"/>
    </row>
    <row r="16">
      <c r="A16" s="9" t="n">
        <v>14</v>
      </c>
      <c r="B16" s="9" t="inlineStr">
        <is>
          <t>محيي الدين</t>
        </is>
      </c>
      <c r="C16" s="10" t="inlineStr">
        <is>
          <t>شركة الصفوة للإنتاج الفني</t>
        </is>
      </c>
      <c r="D16" s="10" t="inlineStr">
        <is>
          <t>خالد يوسف شاكر</t>
        </is>
      </c>
      <c r="E16" s="9" t="inlineStr">
        <is>
          <t>304</t>
        </is>
      </c>
      <c r="F16" s="9" t="inlineStr">
        <is>
          <t>شارع محيي الدين ابو العز 30</t>
        </is>
      </c>
      <c r="G16" s="31" t="n">
        <v>45474</v>
      </c>
      <c r="H16" s="31" t="n">
        <v>46568</v>
      </c>
      <c r="I16" s="9" t="inlineStr">
        <is>
          <t>917-062-564</t>
        </is>
      </c>
      <c r="J16" s="12" t="inlineStr">
        <is>
          <t>23918025447827</t>
        </is>
      </c>
      <c r="K16" s="13" t="n">
        <v>25300</v>
      </c>
      <c r="L16" s="13" t="n">
        <v>25300</v>
      </c>
      <c r="M16" s="13" t="n">
        <v>25300</v>
      </c>
      <c r="N16" s="13" t="n">
        <v>25300</v>
      </c>
      <c r="O16" s="13" t="n">
        <v>25300</v>
      </c>
      <c r="P16" s="13" t="n">
        <v>25300</v>
      </c>
      <c r="Q16" s="13" t="n">
        <v>27830</v>
      </c>
      <c r="R16" s="13" t="n">
        <v>27830</v>
      </c>
      <c r="S16" s="13" t="n"/>
      <c r="T16" s="13" t="n"/>
      <c r="U16" s="13" t="n"/>
      <c r="V16" s="13" t="n"/>
      <c r="W16" s="13">
        <f>SUM(K16:V16)</f>
        <v/>
      </c>
      <c r="X16" s="14" t="n"/>
    </row>
    <row r="17">
      <c r="A17" s="9" t="n">
        <v>15</v>
      </c>
      <c r="B17" s="9" t="inlineStr">
        <is>
          <t>محيي الدين</t>
        </is>
      </c>
      <c r="C17" s="10" t="inlineStr">
        <is>
          <t>د/ يوسف حسن مكرم</t>
        </is>
      </c>
      <c r="D17" s="10" t="inlineStr">
        <is>
          <t>خالد نادر الجندي</t>
        </is>
      </c>
      <c r="E17" s="9" t="inlineStr">
        <is>
          <t>401</t>
        </is>
      </c>
      <c r="F17" s="9" t="inlineStr">
        <is>
          <t>شارع محيي الدين ابو العز 30</t>
        </is>
      </c>
      <c r="G17" s="31" t="n">
        <v>45668</v>
      </c>
      <c r="H17" s="31" t="n">
        <v>46397</v>
      </c>
      <c r="I17" s="9" t="n"/>
      <c r="J17" s="12" t="inlineStr">
        <is>
          <t>27097993904905</t>
        </is>
      </c>
      <c r="K17" s="13" t="n">
        <v>36025</v>
      </c>
      <c r="L17" s="13" t="n">
        <v>37665</v>
      </c>
      <c r="M17" s="13" t="n">
        <v>37665</v>
      </c>
      <c r="N17" s="13" t="n">
        <v>37665</v>
      </c>
      <c r="O17" s="13" t="n">
        <v>37665</v>
      </c>
      <c r="P17" s="13" t="n">
        <v>37665</v>
      </c>
      <c r="Q17" s="13" t="n">
        <v>37665</v>
      </c>
      <c r="R17" s="13" t="n">
        <v>37665</v>
      </c>
      <c r="S17" s="13" t="n"/>
      <c r="T17" s="13" t="n"/>
      <c r="U17" s="13" t="n"/>
      <c r="V17" s="13" t="n"/>
      <c r="W17" s="13">
        <f>SUM(K17:V17)</f>
        <v/>
      </c>
      <c r="X17" s="10" t="n"/>
    </row>
    <row r="18">
      <c r="A18" s="9" t="n">
        <v>16</v>
      </c>
      <c r="B18" s="9" t="inlineStr">
        <is>
          <t>محيي الدين</t>
        </is>
      </c>
      <c r="C18" s="10" t="inlineStr">
        <is>
          <t>د/ فادي سعيد منصور</t>
        </is>
      </c>
      <c r="D18" s="10" t="inlineStr">
        <is>
          <t>أيمن حسين عبد الرحمن</t>
        </is>
      </c>
      <c r="E18" s="9" t="inlineStr">
        <is>
          <t>404</t>
        </is>
      </c>
      <c r="F18" s="9" t="inlineStr">
        <is>
          <t>شارع محيي الدين ابو العز 30</t>
        </is>
      </c>
      <c r="G18" s="31" t="n">
        <v>45292</v>
      </c>
      <c r="H18" s="31" t="n">
        <v>46387</v>
      </c>
      <c r="I18" s="9" t="n"/>
      <c r="J18" s="12" t="inlineStr">
        <is>
          <t>20471368514380</t>
        </is>
      </c>
      <c r="K18" s="13" t="n">
        <v>30250</v>
      </c>
      <c r="L18" s="13" t="n">
        <v>30250</v>
      </c>
      <c r="M18" s="13" t="n">
        <v>30250</v>
      </c>
      <c r="N18" s="13" t="n">
        <v>30250</v>
      </c>
      <c r="O18" s="13" t="n">
        <v>30250</v>
      </c>
      <c r="P18" s="13" t="n">
        <v>30250</v>
      </c>
      <c r="Q18" s="13" t="n">
        <v>30250</v>
      </c>
      <c r="R18" s="13" t="n">
        <v>30250</v>
      </c>
      <c r="S18" s="13" t="n"/>
      <c r="T18" s="13" t="n"/>
      <c r="U18" s="13" t="n"/>
      <c r="V18" s="13" t="n"/>
      <c r="W18" s="13">
        <f>SUM(K18:V18)</f>
        <v/>
      </c>
      <c r="X18" s="10" t="n"/>
    </row>
    <row r="19">
      <c r="A19" s="9" t="n">
        <v>17</v>
      </c>
      <c r="B19" s="9" t="inlineStr">
        <is>
          <t>محيي الدين</t>
        </is>
      </c>
      <c r="C19" s="10" t="inlineStr">
        <is>
          <t>د/ رضوى خالد عبد الرحمن</t>
        </is>
      </c>
      <c r="D19" s="10" t="inlineStr">
        <is>
          <t>د/ رضوى خالد عبد الرحمن</t>
        </is>
      </c>
      <c r="E19" s="9" t="inlineStr">
        <is>
          <t>502</t>
        </is>
      </c>
      <c r="F19" s="9" t="inlineStr">
        <is>
          <t>شارع محيي الدين ابو العز 30</t>
        </is>
      </c>
      <c r="G19" s="31" t="n">
        <v>45170</v>
      </c>
      <c r="H19" s="31" t="n">
        <v>46265</v>
      </c>
      <c r="I19" s="9" t="n"/>
      <c r="J19" s="12" t="inlineStr">
        <is>
          <t>25947450186407</t>
        </is>
      </c>
      <c r="K19" s="13" t="n">
        <v>19060</v>
      </c>
      <c r="L19" s="13" t="n">
        <v>19060</v>
      </c>
      <c r="M19" s="13" t="n">
        <v>19060</v>
      </c>
      <c r="N19" s="13" t="n">
        <v>19060</v>
      </c>
      <c r="O19" s="13" t="n">
        <v>19060</v>
      </c>
      <c r="P19" s="13" t="n">
        <v>19060</v>
      </c>
      <c r="Q19" s="13" t="n">
        <v>19060</v>
      </c>
      <c r="R19" s="13" t="n">
        <v>19060</v>
      </c>
      <c r="S19" s="13" t="n"/>
      <c r="T19" s="13" t="n"/>
      <c r="U19" s="13" t="n"/>
      <c r="V19" s="13" t="n"/>
      <c r="W19" s="13">
        <f>SUM(K19:V19)</f>
        <v/>
      </c>
      <c r="X19" s="10" t="n"/>
    </row>
    <row r="20">
      <c r="A20" s="9" t="n">
        <v>18</v>
      </c>
      <c r="B20" s="9" t="inlineStr">
        <is>
          <t>محيي الدين</t>
        </is>
      </c>
      <c r="C20" s="10" t="inlineStr">
        <is>
          <t>د/ آية أيمن بدوي</t>
        </is>
      </c>
      <c r="D20" s="10" t="inlineStr">
        <is>
          <t>هالة إبراهيم سليم</t>
        </is>
      </c>
      <c r="E20" s="9" t="inlineStr">
        <is>
          <t>503</t>
        </is>
      </c>
      <c r="F20" s="9" t="inlineStr">
        <is>
          <t>شارع محيي الدين ابو العز 30</t>
        </is>
      </c>
      <c r="G20" s="31" t="n">
        <v>45200</v>
      </c>
      <c r="H20" s="31" t="n">
        <v>46295</v>
      </c>
      <c r="I20" s="9" t="n"/>
      <c r="J20" s="12" t="inlineStr">
        <is>
          <t>22497066998665</t>
        </is>
      </c>
      <c r="K20" s="13" t="n">
        <v>20570</v>
      </c>
      <c r="L20" s="13" t="n">
        <v>20570</v>
      </c>
      <c r="M20" s="13" t="n">
        <v>20570</v>
      </c>
      <c r="N20" s="13" t="n">
        <v>20570</v>
      </c>
      <c r="O20" s="13" t="n">
        <v>20570</v>
      </c>
      <c r="P20" s="13" t="n">
        <v>20570</v>
      </c>
      <c r="Q20" s="13" t="n">
        <v>20570</v>
      </c>
      <c r="R20" s="13" t="n">
        <v>20570</v>
      </c>
      <c r="S20" s="13" t="n"/>
      <c r="T20" s="13" t="n"/>
      <c r="U20" s="13" t="n"/>
      <c r="V20" s="13" t="n"/>
      <c r="W20" s="13">
        <f>SUM(K20:V20)</f>
        <v/>
      </c>
      <c r="X20" s="10" t="n"/>
    </row>
    <row r="21">
      <c r="A21" s="9" t="n">
        <v>19</v>
      </c>
      <c r="B21" s="9" t="inlineStr">
        <is>
          <t>محيي الدين</t>
        </is>
      </c>
      <c r="C21" s="10" t="inlineStr">
        <is>
          <t>محمد سعيد عبد الرحمن</t>
        </is>
      </c>
      <c r="D21" s="10" t="inlineStr">
        <is>
          <t>محمد سعيد عبد الرحمن</t>
        </is>
      </c>
      <c r="E21" s="9" t="inlineStr">
        <is>
          <t>504</t>
        </is>
      </c>
      <c r="F21" s="9" t="inlineStr">
        <is>
          <t>شارع محيي الدين ابو العز 30</t>
        </is>
      </c>
      <c r="G21" s="31" t="n">
        <v>45231</v>
      </c>
      <c r="H21" s="31" t="n">
        <v>46326</v>
      </c>
      <c r="I21" s="9" t="n"/>
      <c r="J21" s="12" t="inlineStr">
        <is>
          <t>26334081585080</t>
        </is>
      </c>
      <c r="K21" s="13" t="n">
        <v>25410</v>
      </c>
      <c r="L21" s="13" t="n">
        <v>25410</v>
      </c>
      <c r="M21" s="13" t="n">
        <v>25410</v>
      </c>
      <c r="N21" s="13" t="n">
        <v>25410</v>
      </c>
      <c r="O21" s="13" t="n">
        <v>25410</v>
      </c>
      <c r="P21" s="13" t="n">
        <v>25410</v>
      </c>
      <c r="Q21" s="13" t="n">
        <v>25410</v>
      </c>
      <c r="R21" s="13" t="n">
        <v>25410</v>
      </c>
      <c r="S21" s="13" t="n"/>
      <c r="T21" s="13" t="n"/>
      <c r="U21" s="13" t="n"/>
      <c r="V21" s="13" t="n"/>
      <c r="W21" s="13">
        <f>SUM(K21:V21)</f>
        <v/>
      </c>
      <c r="X21" s="10" t="n"/>
    </row>
    <row r="22">
      <c r="A22" s="15" t="n">
        <v>20</v>
      </c>
      <c r="B22" s="15" t="inlineStr">
        <is>
          <t>ابو بكر</t>
        </is>
      </c>
      <c r="C22" s="16" t="inlineStr">
        <is>
          <t>شركة الأمل للإنتاج الفني</t>
        </is>
      </c>
      <c r="D22" s="16" t="inlineStr">
        <is>
          <t>حسين إبراهيم حسنين</t>
        </is>
      </c>
      <c r="E22" s="15" t="inlineStr">
        <is>
          <t>ميزان 1</t>
        </is>
      </c>
      <c r="F22" s="15" t="inlineStr">
        <is>
          <t>شارع ابو بكر الصديق 3</t>
        </is>
      </c>
      <c r="G22" s="32" t="n">
        <v>45505</v>
      </c>
      <c r="H22" s="32" t="n">
        <v>46599</v>
      </c>
      <c r="I22" s="15" t="inlineStr">
        <is>
          <t>554-940-596</t>
        </is>
      </c>
      <c r="J22" s="18" t="inlineStr">
        <is>
          <t>21677613365039</t>
        </is>
      </c>
      <c r="K22" s="19" t="n">
        <v>40700</v>
      </c>
      <c r="L22" s="19" t="n">
        <v>40700</v>
      </c>
      <c r="M22" s="19" t="n">
        <v>40700</v>
      </c>
      <c r="N22" s="19" t="n">
        <v>40700</v>
      </c>
      <c r="O22" s="19" t="n">
        <v>40700</v>
      </c>
      <c r="P22" s="19" t="n">
        <v>40700</v>
      </c>
      <c r="Q22" s="19" t="n">
        <v>40700</v>
      </c>
      <c r="R22" s="19" t="n">
        <v>44770</v>
      </c>
      <c r="S22" s="19" t="n"/>
      <c r="T22" s="19" t="n"/>
      <c r="U22" s="19" t="n"/>
      <c r="V22" s="19" t="n"/>
      <c r="W22" s="19">
        <f>SUM(K22:V22)</f>
        <v/>
      </c>
      <c r="X22" s="16" t="n"/>
    </row>
    <row r="23">
      <c r="A23" s="15" t="n">
        <v>21</v>
      </c>
      <c r="B23" s="15" t="inlineStr">
        <is>
          <t>ابو بكر</t>
        </is>
      </c>
      <c r="C23" s="16" t="inlineStr">
        <is>
          <t>شركة النور للاستشارات الهندسية</t>
        </is>
      </c>
      <c r="D23" s="16" t="inlineStr">
        <is>
          <t>حسين إبراهيم حسنين</t>
        </is>
      </c>
      <c r="E23" s="15" t="inlineStr">
        <is>
          <t>ميزان 2</t>
        </is>
      </c>
      <c r="F23" s="15" t="inlineStr">
        <is>
          <t>شارع ابو بكر الصديق 3</t>
        </is>
      </c>
      <c r="G23" s="32" t="n">
        <v>45505</v>
      </c>
      <c r="H23" s="32" t="n">
        <v>46599</v>
      </c>
      <c r="I23" s="15" t="inlineStr">
        <is>
          <t>024-154-399</t>
        </is>
      </c>
      <c r="J23" s="18" t="inlineStr">
        <is>
          <t>21677613365039</t>
        </is>
      </c>
      <c r="K23" s="19" t="n">
        <v>40700</v>
      </c>
      <c r="L23" s="19" t="n">
        <v>40700</v>
      </c>
      <c r="M23" s="19" t="n">
        <v>40700</v>
      </c>
      <c r="N23" s="19" t="n">
        <v>40700</v>
      </c>
      <c r="O23" s="19" t="n">
        <v>40700</v>
      </c>
      <c r="P23" s="19" t="n">
        <v>40700</v>
      </c>
      <c r="Q23" s="19" t="n">
        <v>40700</v>
      </c>
      <c r="R23" s="19" t="n">
        <v>44770</v>
      </c>
      <c r="S23" s="19" t="n"/>
      <c r="T23" s="19" t="n"/>
      <c r="U23" s="19" t="n"/>
      <c r="V23" s="19" t="n"/>
      <c r="W23" s="19">
        <f>SUM(K23:V23)</f>
        <v/>
      </c>
      <c r="X23" s="16" t="n"/>
    </row>
    <row r="24">
      <c r="A24" s="15" t="n">
        <v>22</v>
      </c>
      <c r="B24" s="15" t="inlineStr">
        <is>
          <t>ابو بكر</t>
        </is>
      </c>
      <c r="C24" s="16" t="inlineStr">
        <is>
          <t>عادل عمر مكرم</t>
        </is>
      </c>
      <c r="D24" s="16" t="inlineStr">
        <is>
          <t>عادل عمر مكرم</t>
        </is>
      </c>
      <c r="E24" s="15" t="inlineStr">
        <is>
          <t>102</t>
        </is>
      </c>
      <c r="F24" s="15" t="inlineStr">
        <is>
          <t>شارع ابو بكر الصديق 3</t>
        </is>
      </c>
      <c r="G24" s="32" t="n">
        <v>46204</v>
      </c>
      <c r="H24" s="32" t="n">
        <v>46568</v>
      </c>
      <c r="I24" s="15" t="n"/>
      <c r="J24" s="18" t="inlineStr">
        <is>
          <t>P67585839</t>
        </is>
      </c>
      <c r="K24" s="19" t="n">
        <v>17500</v>
      </c>
      <c r="L24" s="19" t="n">
        <v>17500</v>
      </c>
      <c r="M24" s="19" t="n">
        <v>17500</v>
      </c>
      <c r="N24" s="19" t="n">
        <v>17500</v>
      </c>
      <c r="O24" s="19" t="n">
        <v>17500</v>
      </c>
      <c r="P24" s="19" t="n">
        <v>17500</v>
      </c>
      <c r="Q24" s="19" t="n">
        <v>20000</v>
      </c>
      <c r="R24" s="19" t="n">
        <v>20000</v>
      </c>
      <c r="S24" s="19" t="n"/>
      <c r="T24" s="19" t="n"/>
      <c r="U24" s="19" t="n"/>
      <c r="V24" s="19" t="n"/>
      <c r="W24" s="19">
        <f>SUM(K24:V24)</f>
        <v/>
      </c>
      <c r="X24" s="16" t="n"/>
    </row>
    <row r="25">
      <c r="A25" s="15" t="n">
        <v>23</v>
      </c>
      <c r="B25" s="15" t="inlineStr">
        <is>
          <t>ابو بكر</t>
        </is>
      </c>
      <c r="C25" s="16" t="inlineStr">
        <is>
          <t>تامر علي بدوي</t>
        </is>
      </c>
      <c r="D25" s="16" t="inlineStr">
        <is>
          <t>تامر علي بدوي</t>
        </is>
      </c>
      <c r="E25" s="15" t="inlineStr">
        <is>
          <t>103</t>
        </is>
      </c>
      <c r="F25" s="15" t="inlineStr">
        <is>
          <t>شارع ابو بكر الصديق 3</t>
        </is>
      </c>
      <c r="G25" s="32" t="n">
        <v>45992</v>
      </c>
      <c r="H25" s="32" t="n">
        <v>46356</v>
      </c>
      <c r="I25" s="15" t="n"/>
      <c r="J25" s="18" t="inlineStr">
        <is>
          <t>21316304221599</t>
        </is>
      </c>
      <c r="K25" s="19" t="n">
        <v>7000</v>
      </c>
      <c r="L25" s="19" t="n">
        <v>7000</v>
      </c>
      <c r="M25" s="19" t="n">
        <v>7000</v>
      </c>
      <c r="N25" s="19" t="n">
        <v>7000</v>
      </c>
      <c r="O25" s="19" t="n">
        <v>7000</v>
      </c>
      <c r="P25" s="19" t="n">
        <v>7000</v>
      </c>
      <c r="Q25" s="19" t="n">
        <v>7000</v>
      </c>
      <c r="R25" s="19" t="n">
        <v>7000</v>
      </c>
      <c r="S25" s="19" t="n"/>
      <c r="T25" s="19" t="n"/>
      <c r="U25" s="19" t="n"/>
      <c r="V25" s="19" t="n"/>
      <c r="W25" s="19">
        <f>SUM(K25:V25)</f>
        <v/>
      </c>
      <c r="X25" s="16" t="n"/>
    </row>
    <row r="26">
      <c r="A26" s="15" t="n">
        <v>24</v>
      </c>
      <c r="B26" s="15" t="inlineStr">
        <is>
          <t>ابو بكر</t>
        </is>
      </c>
      <c r="C26" s="16" t="inlineStr">
        <is>
          <t>مروان محمود حسنين</t>
        </is>
      </c>
      <c r="D26" s="16" t="inlineStr">
        <is>
          <t>مروان محمود حسنين</t>
        </is>
      </c>
      <c r="E26" s="15" t="inlineStr">
        <is>
          <t>104</t>
        </is>
      </c>
      <c r="F26" s="15" t="inlineStr">
        <is>
          <t>شارع ابو بكر الصديق 3</t>
        </is>
      </c>
      <c r="G26" s="32" t="n">
        <v>46204</v>
      </c>
      <c r="H26" s="32" t="n">
        <v>46568</v>
      </c>
      <c r="I26" s="15" t="n"/>
      <c r="J26" s="18" t="inlineStr">
        <is>
          <t>X488802</t>
        </is>
      </c>
      <c r="K26" s="19" t="n">
        <v>13000</v>
      </c>
      <c r="L26" s="19" t="n">
        <v>13000</v>
      </c>
      <c r="M26" s="19" t="n">
        <v>13000</v>
      </c>
      <c r="N26" s="19" t="n">
        <v>13000</v>
      </c>
      <c r="O26" s="19" t="n">
        <v>13000</v>
      </c>
      <c r="P26" s="19" t="n">
        <v>13000</v>
      </c>
      <c r="Q26" s="19" t="n">
        <v>15000</v>
      </c>
      <c r="R26" s="19" t="n">
        <v>15000</v>
      </c>
      <c r="S26" s="19" t="n"/>
      <c r="T26" s="19" t="n"/>
      <c r="U26" s="19" t="n"/>
      <c r="V26" s="19" t="n"/>
      <c r="W26" s="19">
        <f>SUM(K26:V26)</f>
        <v/>
      </c>
      <c r="X26" s="16" t="n"/>
    </row>
    <row r="27">
      <c r="A27" s="15" t="n">
        <v>25</v>
      </c>
      <c r="B27" s="15" t="inlineStr">
        <is>
          <t>ابو بكر</t>
        </is>
      </c>
      <c r="C27" s="16" t="inlineStr">
        <is>
          <t>عادل عمر مكرم</t>
        </is>
      </c>
      <c r="D27" s="16" t="inlineStr">
        <is>
          <t>عادل عمر مكرم</t>
        </is>
      </c>
      <c r="E27" s="15" t="inlineStr">
        <is>
          <t>105</t>
        </is>
      </c>
      <c r="F27" s="15" t="inlineStr">
        <is>
          <t>شارع ابو بكر الصديق 3</t>
        </is>
      </c>
      <c r="G27" s="32" t="n">
        <v>46204</v>
      </c>
      <c r="H27" s="32" t="n">
        <v>46568</v>
      </c>
      <c r="I27" s="15" t="n"/>
      <c r="J27" s="18" t="inlineStr">
        <is>
          <t>P16126721</t>
        </is>
      </c>
      <c r="K27" s="19" t="n">
        <v>13500</v>
      </c>
      <c r="L27" s="19" t="n">
        <v>13500</v>
      </c>
      <c r="M27" s="19" t="n">
        <v>13500</v>
      </c>
      <c r="N27" s="19" t="n">
        <v>13500</v>
      </c>
      <c r="O27" s="19" t="n">
        <v>13500</v>
      </c>
      <c r="P27" s="19" t="n">
        <v>13500</v>
      </c>
      <c r="Q27" s="19" t="n">
        <v>15000</v>
      </c>
      <c r="R27" s="19" t="n">
        <v>1000</v>
      </c>
      <c r="S27" s="19" t="n"/>
      <c r="T27" s="19" t="n"/>
      <c r="U27" s="19" t="n"/>
      <c r="V27" s="19" t="n"/>
      <c r="W27" s="19">
        <f>SUM(K27:V27)</f>
        <v/>
      </c>
      <c r="X27" s="16" t="n"/>
    </row>
    <row r="28">
      <c r="A28" s="15" t="n">
        <v>26</v>
      </c>
      <c r="B28" s="15" t="inlineStr">
        <is>
          <t>ابو بكر</t>
        </is>
      </c>
      <c r="C28" s="16" t="inlineStr">
        <is>
          <t>حسين أمير بدوي</t>
        </is>
      </c>
      <c r="D28" s="16" t="inlineStr">
        <is>
          <t>حسين أمير بدوي</t>
        </is>
      </c>
      <c r="E28" s="15" t="inlineStr">
        <is>
          <t>106</t>
        </is>
      </c>
      <c r="F28" s="15" t="inlineStr">
        <is>
          <t>شارع ابو بكر الصديق 3</t>
        </is>
      </c>
      <c r="G28" s="32" t="n">
        <v>45992</v>
      </c>
      <c r="H28" s="32" t="n">
        <v>46356</v>
      </c>
      <c r="I28" s="15" t="n"/>
      <c r="J28" s="18" t="inlineStr">
        <is>
          <t>29005091319585</t>
        </is>
      </c>
      <c r="K28" s="19" t="n">
        <v>7000</v>
      </c>
      <c r="L28" s="19" t="n">
        <v>7000</v>
      </c>
      <c r="M28" s="19" t="n">
        <v>7000</v>
      </c>
      <c r="N28" s="19" t="n">
        <v>7000</v>
      </c>
      <c r="O28" s="19" t="n">
        <v>7000</v>
      </c>
      <c r="P28" s="19" t="n">
        <v>7000</v>
      </c>
      <c r="Q28" s="19" t="n">
        <v>7000</v>
      </c>
      <c r="R28" s="19" t="n">
        <v>7000</v>
      </c>
      <c r="S28" s="19" t="n"/>
      <c r="T28" s="19" t="n"/>
      <c r="U28" s="19" t="n"/>
      <c r="V28" s="19" t="n"/>
      <c r="W28" s="19">
        <f>SUM(K28:V28)</f>
        <v/>
      </c>
      <c r="X28" s="16" t="n"/>
    </row>
    <row r="29">
      <c r="A29" s="15" t="n">
        <v>27</v>
      </c>
      <c r="B29" s="15" t="inlineStr">
        <is>
          <t>ابو بكر</t>
        </is>
      </c>
      <c r="C29" s="16" t="inlineStr">
        <is>
          <t>حسين أمير بدوي</t>
        </is>
      </c>
      <c r="D29" s="16" t="inlineStr">
        <is>
          <t>حسين أمير بدوي</t>
        </is>
      </c>
      <c r="E29" s="15" t="inlineStr">
        <is>
          <t>107</t>
        </is>
      </c>
      <c r="F29" s="15" t="inlineStr">
        <is>
          <t>شارع ابو بكر الصديق 3</t>
        </is>
      </c>
      <c r="G29" s="32" t="n">
        <v>46204</v>
      </c>
      <c r="H29" s="32" t="n">
        <v>46568</v>
      </c>
      <c r="I29" s="15" t="n"/>
      <c r="J29" s="18" t="inlineStr">
        <is>
          <t>29005091319585</t>
        </is>
      </c>
      <c r="K29" s="19" t="n">
        <v>6000</v>
      </c>
      <c r="L29" s="19" t="n">
        <v>6000</v>
      </c>
      <c r="M29" s="19" t="n">
        <v>6000</v>
      </c>
      <c r="N29" s="19" t="n">
        <v>6000</v>
      </c>
      <c r="O29" s="19" t="n">
        <v>6000</v>
      </c>
      <c r="P29" s="19" t="n">
        <v>8000</v>
      </c>
      <c r="Q29" s="19" t="n">
        <v>8000</v>
      </c>
      <c r="R29" s="19" t="n">
        <v>8000</v>
      </c>
      <c r="S29" s="19" t="n"/>
      <c r="T29" s="19" t="n"/>
      <c r="U29" s="19" t="n"/>
      <c r="V29" s="19" t="n"/>
      <c r="W29" s="19">
        <f>SUM(K29:V29)</f>
        <v/>
      </c>
      <c r="X29" s="16" t="n"/>
    </row>
    <row r="30">
      <c r="A30" s="15" t="n">
        <v>28</v>
      </c>
      <c r="B30" s="15" t="inlineStr">
        <is>
          <t>ابو بكر</t>
        </is>
      </c>
      <c r="C30" s="16" t="inlineStr">
        <is>
          <t>حسين أمير بدوي</t>
        </is>
      </c>
      <c r="D30" s="16" t="inlineStr">
        <is>
          <t>حسين أمير بدوي</t>
        </is>
      </c>
      <c r="E30" s="15" t="inlineStr">
        <is>
          <t>108</t>
        </is>
      </c>
      <c r="F30" s="15" t="inlineStr">
        <is>
          <t>شارع ابو بكر الصديق 3</t>
        </is>
      </c>
      <c r="G30" s="32" t="n">
        <v>46204</v>
      </c>
      <c r="H30" s="32" t="n">
        <v>46568</v>
      </c>
      <c r="I30" s="15" t="n"/>
      <c r="J30" s="18" t="inlineStr">
        <is>
          <t>29005091319585</t>
        </is>
      </c>
      <c r="K30" s="19" t="n">
        <v>6000</v>
      </c>
      <c r="L30" s="19" t="n">
        <v>6000</v>
      </c>
      <c r="M30" s="19" t="n">
        <v>6000</v>
      </c>
      <c r="N30" s="19" t="n">
        <v>6000</v>
      </c>
      <c r="O30" s="19" t="n">
        <v>6000</v>
      </c>
      <c r="P30" s="19" t="n">
        <v>8000</v>
      </c>
      <c r="Q30" s="19" t="n">
        <v>8000</v>
      </c>
      <c r="R30" s="19" t="n">
        <v>8000</v>
      </c>
      <c r="S30" s="19" t="n"/>
      <c r="T30" s="19" t="n"/>
      <c r="U30" s="19" t="n"/>
      <c r="V30" s="19" t="n"/>
      <c r="W30" s="19">
        <f>SUM(K30:V30)</f>
        <v/>
      </c>
      <c r="X30" s="16" t="n"/>
    </row>
    <row r="31">
      <c r="A31" s="15" t="n">
        <v>29</v>
      </c>
      <c r="B31" s="15" t="inlineStr">
        <is>
          <t>ابو بكر</t>
        </is>
      </c>
      <c r="C31" s="16" t="inlineStr">
        <is>
          <t>شركة الأفق للتدريب</t>
        </is>
      </c>
      <c r="D31" s="16" t="inlineStr">
        <is>
          <t>رضوى أيمن البنا</t>
        </is>
      </c>
      <c r="E31" s="15" t="inlineStr">
        <is>
          <t>201</t>
        </is>
      </c>
      <c r="F31" s="15" t="inlineStr">
        <is>
          <t>شارع ابو بكر الصديق 3</t>
        </is>
      </c>
      <c r="G31" s="32" t="n">
        <v>45078</v>
      </c>
      <c r="H31" s="32" t="n">
        <v>46173</v>
      </c>
      <c r="I31" s="15" t="n"/>
      <c r="J31" s="18" t="inlineStr">
        <is>
          <t>24376235169264</t>
        </is>
      </c>
      <c r="K31" s="19" t="n">
        <v>11495</v>
      </c>
      <c r="L31" s="19" t="n">
        <v>11495</v>
      </c>
      <c r="M31" s="19" t="n">
        <v>11495</v>
      </c>
      <c r="N31" s="19" t="n">
        <v>11495</v>
      </c>
      <c r="O31" s="19" t="n">
        <v>11495</v>
      </c>
      <c r="P31" s="19" t="n"/>
      <c r="Q31" s="19" t="n"/>
      <c r="R31" s="19" t="n"/>
      <c r="S31" s="19" t="n"/>
      <c r="T31" s="19" t="n"/>
      <c r="U31" s="19" t="n"/>
      <c r="V31" s="19" t="n"/>
      <c r="W31" s="19">
        <f>SUM(K31:V31)</f>
        <v/>
      </c>
      <c r="X31" s="20" t="n"/>
    </row>
    <row r="32">
      <c r="A32" s="15" t="n">
        <v>30</v>
      </c>
      <c r="B32" s="15" t="inlineStr">
        <is>
          <t>ابو بكر</t>
        </is>
      </c>
      <c r="C32" s="16" t="inlineStr">
        <is>
          <t>د/ نادر شريف شاكر</t>
        </is>
      </c>
      <c r="D32" s="16" t="inlineStr">
        <is>
          <t>هاني فادي الشريف</t>
        </is>
      </c>
      <c r="E32" s="15" t="inlineStr">
        <is>
          <t>202</t>
        </is>
      </c>
      <c r="F32" s="15" t="inlineStr">
        <is>
          <t>شارع ابو بكر الصديق 3</t>
        </is>
      </c>
      <c r="G32" s="32" t="n">
        <v>45901</v>
      </c>
      <c r="H32" s="32" t="n">
        <v>46265</v>
      </c>
      <c r="I32" s="15" t="n"/>
      <c r="J32" s="18" t="inlineStr">
        <is>
          <t>23662595948884</t>
        </is>
      </c>
      <c r="K32" s="19" t="n">
        <v>16500</v>
      </c>
      <c r="L32" s="19" t="n">
        <v>16500</v>
      </c>
      <c r="M32" s="19" t="n">
        <v>16500</v>
      </c>
      <c r="N32" s="19" t="n">
        <v>16500</v>
      </c>
      <c r="O32" s="19" t="n">
        <v>16500</v>
      </c>
      <c r="P32" s="19" t="n">
        <v>16500</v>
      </c>
      <c r="Q32" s="19" t="n">
        <v>16500</v>
      </c>
      <c r="R32" s="19" t="n">
        <v>16500</v>
      </c>
      <c r="S32" s="19" t="n"/>
      <c r="T32" s="19" t="n"/>
      <c r="U32" s="19" t="n"/>
      <c r="V32" s="19" t="n"/>
      <c r="W32" s="19">
        <f>SUM(K32:V32)</f>
        <v/>
      </c>
      <c r="X32" s="16" t="n"/>
    </row>
    <row r="33">
      <c r="A33" s="15" t="n">
        <v>31</v>
      </c>
      <c r="B33" s="15" t="inlineStr">
        <is>
          <t>ابو بكر</t>
        </is>
      </c>
      <c r="C33" s="16" t="inlineStr">
        <is>
          <t>د/ يوسف خالد الخولي</t>
        </is>
      </c>
      <c r="D33" s="16" t="inlineStr">
        <is>
          <t>علي عمرو غانم</t>
        </is>
      </c>
      <c r="E33" s="15" t="inlineStr">
        <is>
          <t>204</t>
        </is>
      </c>
      <c r="F33" s="15" t="inlineStr">
        <is>
          <t>شارع ابو بكر الصديق 3</t>
        </is>
      </c>
      <c r="G33" s="32" t="n">
        <v>45839</v>
      </c>
      <c r="H33" s="32" t="n">
        <v>46203</v>
      </c>
      <c r="I33" s="15" t="n"/>
      <c r="J33" s="18" t="inlineStr">
        <is>
          <t>27385486153673</t>
        </is>
      </c>
      <c r="K33" s="19" t="n">
        <v>12500</v>
      </c>
      <c r="L33" s="19" t="n">
        <v>12500</v>
      </c>
      <c r="M33" s="19" t="n">
        <v>12500</v>
      </c>
      <c r="N33" s="19" t="n">
        <v>12500</v>
      </c>
      <c r="O33" s="19" t="n">
        <v>12500</v>
      </c>
      <c r="P33" s="19" t="n">
        <v>12500</v>
      </c>
      <c r="Q33" s="19" t="n"/>
      <c r="R33" s="19" t="n"/>
      <c r="S33" s="19" t="n"/>
      <c r="T33" s="19" t="n"/>
      <c r="U33" s="19" t="n"/>
      <c r="V33" s="19" t="n"/>
      <c r="W33" s="19">
        <f>SUM(K33:V33)</f>
        <v/>
      </c>
      <c r="X33" s="16" t="n"/>
    </row>
    <row r="34">
      <c r="A34" s="15" t="n">
        <v>32</v>
      </c>
      <c r="B34" s="15" t="inlineStr">
        <is>
          <t>ابو بكر</t>
        </is>
      </c>
      <c r="C34" s="16" t="inlineStr">
        <is>
          <t>د/ عمر باسم رزق</t>
        </is>
      </c>
      <c r="D34" s="16" t="inlineStr">
        <is>
          <t>طارق حسن زكي</t>
        </is>
      </c>
      <c r="E34" s="15" t="inlineStr">
        <is>
          <t>204</t>
        </is>
      </c>
      <c r="F34" s="15" t="inlineStr">
        <is>
          <t>شارع ابو بكر الصديق 3</t>
        </is>
      </c>
      <c r="G34" s="32" t="n">
        <v>46204</v>
      </c>
      <c r="H34" s="32" t="n">
        <v>46568</v>
      </c>
      <c r="I34" s="15" t="n"/>
      <c r="J34" s="18" t="inlineStr">
        <is>
          <t>21773257847648</t>
        </is>
      </c>
      <c r="K34" s="19" t="n"/>
      <c r="L34" s="19" t="n"/>
      <c r="M34" s="19" t="n"/>
      <c r="N34" s="19" t="n"/>
      <c r="O34" s="19" t="n"/>
      <c r="P34" s="19" t="n"/>
      <c r="Q34" s="19" t="n">
        <v>14500</v>
      </c>
      <c r="R34" s="19" t="n">
        <v>14500</v>
      </c>
      <c r="S34" s="19" t="n"/>
      <c r="T34" s="19" t="n"/>
      <c r="U34" s="19" t="n"/>
      <c r="V34" s="19" t="n"/>
      <c r="W34" s="19">
        <f>SUM(K34:V34)</f>
        <v/>
      </c>
      <c r="X34" s="16" t="n"/>
    </row>
    <row r="35">
      <c r="A35" s="15" t="n">
        <v>33</v>
      </c>
      <c r="B35" s="15" t="inlineStr">
        <is>
          <t>ابو بكر</t>
        </is>
      </c>
      <c r="C35" s="16" t="inlineStr">
        <is>
          <t>أحمد عمرو سليم</t>
        </is>
      </c>
      <c r="D35" s="16" t="inlineStr">
        <is>
          <t>أحمد عمرو سليم</t>
        </is>
      </c>
      <c r="E35" s="15" t="inlineStr">
        <is>
          <t>205</t>
        </is>
      </c>
      <c r="F35" s="15" t="inlineStr">
        <is>
          <t>شارع ابو بكر الصديق 3</t>
        </is>
      </c>
      <c r="G35" s="32" t="n">
        <v>45977</v>
      </c>
      <c r="H35" s="32" t="n">
        <v>46341</v>
      </c>
      <c r="I35" s="15" t="n"/>
      <c r="J35" s="18" t="inlineStr">
        <is>
          <t>N669822642</t>
        </is>
      </c>
      <c r="K35" s="19" t="n">
        <v>14000</v>
      </c>
      <c r="L35" s="19" t="n">
        <v>14000</v>
      </c>
      <c r="M35" s="19" t="n">
        <v>14000</v>
      </c>
      <c r="N35" s="19" t="n">
        <v>14000</v>
      </c>
      <c r="O35" s="19" t="n">
        <v>14000</v>
      </c>
      <c r="P35" s="19" t="n">
        <v>14000</v>
      </c>
      <c r="Q35" s="19" t="n">
        <v>14000</v>
      </c>
      <c r="R35" s="19" t="n">
        <v>14000</v>
      </c>
      <c r="S35" s="19" t="n"/>
      <c r="T35" s="19" t="n"/>
      <c r="U35" s="19" t="n"/>
      <c r="V35" s="19" t="n"/>
      <c r="W35" s="19">
        <f>SUM(K35:V35)</f>
        <v/>
      </c>
      <c r="X35" s="16" t="n"/>
    </row>
    <row r="36">
      <c r="A36" s="15" t="n">
        <v>34</v>
      </c>
      <c r="B36" s="15" t="inlineStr">
        <is>
          <t>ابو بكر</t>
        </is>
      </c>
      <c r="C36" s="16" t="inlineStr">
        <is>
          <t>شركة النخبة للتجارة</t>
        </is>
      </c>
      <c r="D36" s="16" t="inlineStr">
        <is>
          <t>آية سامح غانم</t>
        </is>
      </c>
      <c r="E36" s="15" t="inlineStr">
        <is>
          <t>206</t>
        </is>
      </c>
      <c r="F36" s="15" t="inlineStr">
        <is>
          <t>شارع ابو بكر الصديق 3</t>
        </is>
      </c>
      <c r="G36" s="32" t="n">
        <v>45901</v>
      </c>
      <c r="H36" s="32" t="n">
        <v>46264</v>
      </c>
      <c r="I36" s="15" t="n"/>
      <c r="J36" s="18" t="inlineStr">
        <is>
          <t>21663141681918</t>
        </is>
      </c>
      <c r="K36" s="19" t="n">
        <v>16500</v>
      </c>
      <c r="L36" s="19" t="n">
        <v>16500</v>
      </c>
      <c r="M36" s="19" t="n">
        <v>16500</v>
      </c>
      <c r="N36" s="19" t="n">
        <v>16500</v>
      </c>
      <c r="O36" s="19" t="n">
        <v>16500</v>
      </c>
      <c r="P36" s="19" t="n">
        <v>16500</v>
      </c>
      <c r="Q36" s="19" t="n">
        <v>16500</v>
      </c>
      <c r="R36" s="19" t="n">
        <v>16500</v>
      </c>
      <c r="S36" s="19" t="n"/>
      <c r="T36" s="19" t="n"/>
      <c r="U36" s="19" t="n"/>
      <c r="V36" s="19" t="n"/>
      <c r="W36" s="19">
        <f>SUM(K36:V36)</f>
        <v/>
      </c>
      <c r="X36" s="20" t="n"/>
    </row>
    <row r="37">
      <c r="A37" s="15" t="n">
        <v>35</v>
      </c>
      <c r="B37" s="15" t="inlineStr">
        <is>
          <t>ابو بكر</t>
        </is>
      </c>
      <c r="C37" s="16" t="inlineStr">
        <is>
          <t>د/ رنا هشام رزق</t>
        </is>
      </c>
      <c r="D37" s="16" t="inlineStr">
        <is>
          <t>شيماء عادل البنا</t>
        </is>
      </c>
      <c r="E37" s="15" t="inlineStr">
        <is>
          <t>207</t>
        </is>
      </c>
      <c r="F37" s="15" t="inlineStr">
        <is>
          <t>شارع ابو بكر الصديق 3</t>
        </is>
      </c>
      <c r="G37" s="32" t="n">
        <v>46143</v>
      </c>
      <c r="H37" s="32" t="n">
        <v>46507</v>
      </c>
      <c r="I37" s="15" t="n"/>
      <c r="J37" s="18" t="inlineStr">
        <is>
          <t>P59909132</t>
        </is>
      </c>
      <c r="K37" s="19" t="n"/>
      <c r="L37" s="19" t="n"/>
      <c r="M37" s="19" t="n"/>
      <c r="N37" s="19" t="n"/>
      <c r="O37" s="19" t="n">
        <v>20000</v>
      </c>
      <c r="P37" s="19" t="n">
        <v>20000</v>
      </c>
      <c r="Q37" s="19" t="n">
        <v>20000</v>
      </c>
      <c r="R37" s="19" t="n">
        <v>20000</v>
      </c>
      <c r="S37" s="19" t="n"/>
      <c r="T37" s="19" t="n"/>
      <c r="U37" s="19" t="n"/>
      <c r="V37" s="19" t="n"/>
      <c r="W37" s="19">
        <f>SUM(K37:V37)</f>
        <v/>
      </c>
      <c r="X37" s="16" t="n"/>
    </row>
    <row r="38">
      <c r="A38" s="15" t="n">
        <v>36</v>
      </c>
      <c r="B38" s="15" t="inlineStr">
        <is>
          <t>ابو بكر</t>
        </is>
      </c>
      <c r="C38" s="16" t="inlineStr">
        <is>
          <t>شركة النخبة للإنتاج الفني</t>
        </is>
      </c>
      <c r="D38" s="16" t="inlineStr">
        <is>
          <t>نادر فادي حجازي</t>
        </is>
      </c>
      <c r="E38" s="15" t="inlineStr">
        <is>
          <t>208</t>
        </is>
      </c>
      <c r="F38" s="15" t="inlineStr">
        <is>
          <t>شارع ابو بكر الصديق 3</t>
        </is>
      </c>
      <c r="G38" s="32" t="n">
        <v>45383</v>
      </c>
      <c r="H38" s="32" t="n">
        <v>46477</v>
      </c>
      <c r="I38" s="15" t="inlineStr">
        <is>
          <t>007-132-345</t>
        </is>
      </c>
      <c r="J38" s="18" t="inlineStr">
        <is>
          <t>26108998543202</t>
        </is>
      </c>
      <c r="K38" s="19" t="n">
        <v>19250</v>
      </c>
      <c r="L38" s="19" t="n">
        <v>19250</v>
      </c>
      <c r="M38" s="19" t="n">
        <v>19250</v>
      </c>
      <c r="N38" s="19" t="n">
        <v>21175</v>
      </c>
      <c r="O38" s="19" t="n">
        <v>21175</v>
      </c>
      <c r="P38" s="19" t="n">
        <v>21175</v>
      </c>
      <c r="Q38" s="19" t="n">
        <v>21175</v>
      </c>
      <c r="R38" s="19" t="n">
        <v>21175</v>
      </c>
      <c r="S38" s="19" t="n"/>
      <c r="T38" s="19" t="n"/>
      <c r="U38" s="19" t="n"/>
      <c r="V38" s="19" t="n"/>
      <c r="W38" s="19">
        <f>SUM(K38:V38)</f>
        <v/>
      </c>
      <c r="X38" s="20" t="n"/>
    </row>
    <row r="39">
      <c r="A39" s="15" t="n">
        <v>37</v>
      </c>
      <c r="B39" s="15" t="inlineStr">
        <is>
          <t>ابو بكر</t>
        </is>
      </c>
      <c r="C39" s="16" t="inlineStr">
        <is>
          <t>أحمد طارق غانم</t>
        </is>
      </c>
      <c r="D39" s="16" t="inlineStr">
        <is>
          <t>أحمد طارق غانم</t>
        </is>
      </c>
      <c r="E39" s="15" t="inlineStr">
        <is>
          <t>301</t>
        </is>
      </c>
      <c r="F39" s="15" t="inlineStr">
        <is>
          <t>شارع ابو بكر الصديق 3</t>
        </is>
      </c>
      <c r="G39" s="32" t="n">
        <v>45920</v>
      </c>
      <c r="H39" s="32" t="n">
        <v>46284</v>
      </c>
      <c r="I39" s="15" t="n"/>
      <c r="J39" s="18" t="inlineStr">
        <is>
          <t>25580455031010</t>
        </is>
      </c>
      <c r="K39" s="19" t="n">
        <v>17000</v>
      </c>
      <c r="L39" s="19" t="n">
        <v>17000</v>
      </c>
      <c r="M39" s="19" t="n">
        <v>17000</v>
      </c>
      <c r="N39" s="19" t="n">
        <v>17000</v>
      </c>
      <c r="O39" s="19" t="n">
        <v>17000</v>
      </c>
      <c r="P39" s="19" t="n"/>
      <c r="Q39" s="19" t="n"/>
      <c r="R39" s="19" t="n"/>
      <c r="S39" s="19" t="n"/>
      <c r="T39" s="19" t="n"/>
      <c r="U39" s="19" t="n"/>
      <c r="V39" s="19" t="n"/>
      <c r="W39" s="19">
        <f>SUM(K39:V39)</f>
        <v/>
      </c>
      <c r="X39" s="16" t="n"/>
    </row>
    <row r="40">
      <c r="A40" s="15" t="n">
        <v>38</v>
      </c>
      <c r="B40" s="15" t="inlineStr">
        <is>
          <t>ابو بكر</t>
        </is>
      </c>
      <c r="C40" s="16" t="inlineStr">
        <is>
          <t>خالد شريف زكي</t>
        </is>
      </c>
      <c r="D40" s="16" t="inlineStr">
        <is>
          <t>خالد شريف زكي</t>
        </is>
      </c>
      <c r="E40" s="15" t="inlineStr">
        <is>
          <t>302</t>
        </is>
      </c>
      <c r="F40" s="15" t="inlineStr">
        <is>
          <t>شارع ابو بكر الصديق 3</t>
        </is>
      </c>
      <c r="G40" s="32" t="n">
        <v>45916</v>
      </c>
      <c r="H40" s="32" t="n">
        <v>46280</v>
      </c>
      <c r="I40" s="15" t="inlineStr">
        <is>
          <t>402-661-896</t>
        </is>
      </c>
      <c r="J40" s="18" t="inlineStr">
        <is>
          <t>27848778987415</t>
        </is>
      </c>
      <c r="K40" s="19" t="n">
        <v>17000</v>
      </c>
      <c r="L40" s="19" t="n">
        <v>17000</v>
      </c>
      <c r="M40" s="19" t="n">
        <v>17000</v>
      </c>
      <c r="N40" s="19" t="n">
        <v>17000</v>
      </c>
      <c r="O40" s="19" t="n">
        <v>17000</v>
      </c>
      <c r="P40" s="19" t="n">
        <v>17000</v>
      </c>
      <c r="Q40" s="19" t="n">
        <v>17000</v>
      </c>
      <c r="R40" s="19" t="n">
        <v>17000</v>
      </c>
      <c r="S40" s="19" t="n"/>
      <c r="T40" s="19" t="n"/>
      <c r="U40" s="19" t="n"/>
      <c r="V40" s="19" t="n"/>
      <c r="W40" s="19">
        <f>SUM(K40:V40)</f>
        <v/>
      </c>
      <c r="X40" s="16" t="n"/>
    </row>
    <row r="41">
      <c r="A41" s="15" t="n">
        <v>39</v>
      </c>
      <c r="B41" s="15" t="inlineStr">
        <is>
          <t>ابو بكر</t>
        </is>
      </c>
      <c r="C41" s="16" t="inlineStr">
        <is>
          <t>عادل عمر مكرم</t>
        </is>
      </c>
      <c r="D41" s="16" t="inlineStr">
        <is>
          <t>عادل عمر مكرم</t>
        </is>
      </c>
      <c r="E41" s="15" t="inlineStr">
        <is>
          <t>303</t>
        </is>
      </c>
      <c r="F41" s="15" t="inlineStr">
        <is>
          <t>شارع ابو بكر الصديق 3</t>
        </is>
      </c>
      <c r="G41" s="32" t="n">
        <v>46054</v>
      </c>
      <c r="H41" s="32" t="n">
        <v>46418</v>
      </c>
      <c r="I41" s="15" t="n"/>
      <c r="J41" s="18" t="inlineStr">
        <is>
          <t>P67585839</t>
        </is>
      </c>
      <c r="K41" s="19" t="n"/>
      <c r="L41" s="19" t="n">
        <v>19000</v>
      </c>
      <c r="M41" s="19" t="n">
        <v>19000</v>
      </c>
      <c r="N41" s="19" t="n">
        <v>19000</v>
      </c>
      <c r="O41" s="19" t="n">
        <v>19000</v>
      </c>
      <c r="P41" s="19" t="n">
        <v>19000</v>
      </c>
      <c r="Q41" s="19" t="n">
        <v>19000</v>
      </c>
      <c r="R41" s="19" t="n">
        <v>19000</v>
      </c>
      <c r="S41" s="19" t="n"/>
      <c r="T41" s="19" t="n"/>
      <c r="U41" s="19" t="n"/>
      <c r="V41" s="19" t="n"/>
      <c r="W41" s="19">
        <f>SUM(K41:V41)</f>
        <v/>
      </c>
      <c r="X41" s="16" t="n"/>
    </row>
    <row r="42">
      <c r="A42" s="15" t="n">
        <v>40</v>
      </c>
      <c r="B42" s="15" t="inlineStr">
        <is>
          <t>ابو بكر</t>
        </is>
      </c>
      <c r="C42" s="16" t="inlineStr">
        <is>
          <t>مصطفى عمر صبري</t>
        </is>
      </c>
      <c r="D42" s="16" t="inlineStr">
        <is>
          <t>مصطفى عمر صبري</t>
        </is>
      </c>
      <c r="E42" s="15" t="inlineStr">
        <is>
          <t>304</t>
        </is>
      </c>
      <c r="F42" s="15" t="inlineStr">
        <is>
          <t>شارع ابو بكر الصديق 3</t>
        </is>
      </c>
      <c r="G42" s="32" t="n">
        <v>44968</v>
      </c>
      <c r="H42" s="32" t="n">
        <v>46063</v>
      </c>
      <c r="I42" s="15" t="n"/>
      <c r="J42" s="18" t="inlineStr">
        <is>
          <t>B06893415</t>
        </is>
      </c>
      <c r="K42" s="19" t="n">
        <v>7565</v>
      </c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>
        <f>SUM(K42:V42)</f>
        <v/>
      </c>
      <c r="X42" s="16" t="n"/>
    </row>
    <row r="43">
      <c r="A43" s="15" t="n">
        <v>41</v>
      </c>
      <c r="B43" s="15" t="inlineStr">
        <is>
          <t>ابو بكر</t>
        </is>
      </c>
      <c r="C43" s="16" t="inlineStr">
        <is>
          <t>ندى محمد البنا</t>
        </is>
      </c>
      <c r="D43" s="16" t="inlineStr">
        <is>
          <t>ندى محمد البنا</t>
        </is>
      </c>
      <c r="E43" s="15" t="inlineStr">
        <is>
          <t>304</t>
        </is>
      </c>
      <c r="F43" s="15" t="inlineStr">
        <is>
          <t>شارع ابو بكر الصديق 3</t>
        </is>
      </c>
      <c r="G43" s="32" t="n">
        <v>46235</v>
      </c>
      <c r="H43" s="32" t="n">
        <v>46599</v>
      </c>
      <c r="I43" s="15" t="n"/>
      <c r="J43" s="18" t="inlineStr">
        <is>
          <t>P28116896</t>
        </is>
      </c>
      <c r="K43" s="19" t="n"/>
      <c r="L43" s="19" t="n"/>
      <c r="M43" s="19" t="n"/>
      <c r="N43" s="19" t="n"/>
      <c r="O43" s="19" t="n"/>
      <c r="P43" s="19" t="n"/>
      <c r="Q43" s="19" t="n"/>
      <c r="R43" s="19" t="n">
        <v>14000</v>
      </c>
      <c r="S43" s="19" t="n"/>
      <c r="T43" s="19" t="n"/>
      <c r="U43" s="19" t="n"/>
      <c r="V43" s="19" t="n"/>
      <c r="W43" s="19">
        <f>SUM(K43:V43)</f>
        <v/>
      </c>
      <c r="X43" s="16" t="n"/>
    </row>
    <row r="44">
      <c r="A44" s="15" t="n">
        <v>42</v>
      </c>
      <c r="B44" s="15" t="inlineStr">
        <is>
          <t>ابو بكر</t>
        </is>
      </c>
      <c r="C44" s="16" t="inlineStr">
        <is>
          <t>شركة النور للخدمات الطبية</t>
        </is>
      </c>
      <c r="D44" s="16" t="inlineStr">
        <is>
          <t>محمود كريم حسنين</t>
        </is>
      </c>
      <c r="E44" s="15" t="inlineStr">
        <is>
          <t>305</t>
        </is>
      </c>
      <c r="F44" s="15" t="inlineStr">
        <is>
          <t>شارع ابو بكر الصديق 3</t>
        </is>
      </c>
      <c r="G44" s="32" t="n">
        <v>46023</v>
      </c>
      <c r="H44" s="32" t="n">
        <v>46387</v>
      </c>
      <c r="I44" s="15" t="inlineStr">
        <is>
          <t>321-202-991</t>
        </is>
      </c>
      <c r="J44" s="18" t="inlineStr">
        <is>
          <t>24268072855091</t>
        </is>
      </c>
      <c r="K44" s="19" t="n">
        <v>11500</v>
      </c>
      <c r="L44" s="19" t="n">
        <v>11500</v>
      </c>
      <c r="M44" s="19" t="n">
        <v>11500</v>
      </c>
      <c r="N44" s="19" t="n">
        <v>11500</v>
      </c>
      <c r="O44" s="19" t="n">
        <v>11500</v>
      </c>
      <c r="P44" s="19" t="n">
        <v>11500</v>
      </c>
      <c r="Q44" s="19" t="n">
        <v>11500</v>
      </c>
      <c r="R44" s="19" t="n">
        <v>11500</v>
      </c>
      <c r="S44" s="19" t="n"/>
      <c r="T44" s="19" t="n"/>
      <c r="U44" s="19" t="n"/>
      <c r="V44" s="19" t="n"/>
      <c r="W44" s="19">
        <f>SUM(K44:V44)</f>
        <v/>
      </c>
      <c r="X44" s="16" t="n"/>
    </row>
    <row r="45">
      <c r="A45" s="15" t="n">
        <v>43</v>
      </c>
      <c r="B45" s="15" t="inlineStr">
        <is>
          <t>ابو بكر</t>
        </is>
      </c>
      <c r="C45" s="16" t="inlineStr">
        <is>
          <t>سامح إبراهيم منصور</t>
        </is>
      </c>
      <c r="D45" s="16" t="inlineStr">
        <is>
          <t>سامح إبراهيم منصور</t>
        </is>
      </c>
      <c r="E45" s="15" t="inlineStr">
        <is>
          <t>306</t>
        </is>
      </c>
      <c r="F45" s="15" t="inlineStr">
        <is>
          <t>شارع ابو بكر الصديق 3</t>
        </is>
      </c>
      <c r="G45" s="32" t="n">
        <v>45261</v>
      </c>
      <c r="H45" s="32" t="n">
        <v>46356</v>
      </c>
      <c r="I45" s="15" t="n"/>
      <c r="J45" s="18" t="inlineStr">
        <is>
          <t>24713627349793</t>
        </is>
      </c>
      <c r="K45" s="19" t="n">
        <v>11195</v>
      </c>
      <c r="L45" s="19" t="n">
        <v>11195</v>
      </c>
      <c r="M45" s="19" t="n">
        <v>11195</v>
      </c>
      <c r="N45" s="19" t="n">
        <v>11195</v>
      </c>
      <c r="O45" s="19" t="n">
        <v>11195</v>
      </c>
      <c r="P45" s="19" t="n">
        <v>11195</v>
      </c>
      <c r="Q45" s="19" t="n">
        <v>11195</v>
      </c>
      <c r="R45" s="19" t="n">
        <v>11195</v>
      </c>
      <c r="S45" s="19" t="n"/>
      <c r="T45" s="19" t="n"/>
      <c r="U45" s="19" t="n"/>
      <c r="V45" s="19" t="n"/>
      <c r="W45" s="19">
        <f>SUM(K45:V45)</f>
        <v/>
      </c>
      <c r="X45" s="16" t="n"/>
    </row>
    <row r="46">
      <c r="A46" s="15" t="n">
        <v>44</v>
      </c>
      <c r="B46" s="15" t="inlineStr">
        <is>
          <t>ابو بكر</t>
        </is>
      </c>
      <c r="C46" s="16" t="inlineStr">
        <is>
          <t>د/ منى أمير الشريف</t>
        </is>
      </c>
      <c r="D46" s="16" t="inlineStr">
        <is>
          <t>نهى حسين رزق</t>
        </is>
      </c>
      <c r="E46" s="15" t="inlineStr">
        <is>
          <t>307</t>
        </is>
      </c>
      <c r="F46" s="15" t="inlineStr">
        <is>
          <t>شارع ابو بكر الصديق 3</t>
        </is>
      </c>
      <c r="G46" s="32" t="n">
        <v>45627</v>
      </c>
      <c r="H46" s="32" t="n">
        <v>46721</v>
      </c>
      <c r="I46" s="15" t="n"/>
      <c r="J46" s="18" t="inlineStr">
        <is>
          <t>22015390430484</t>
        </is>
      </c>
      <c r="K46" s="19" t="n">
        <v>12100</v>
      </c>
      <c r="L46" s="19" t="n">
        <v>12100</v>
      </c>
      <c r="M46" s="19" t="n">
        <v>12100</v>
      </c>
      <c r="N46" s="19" t="n">
        <v>12100</v>
      </c>
      <c r="O46" s="19" t="n">
        <v>12100</v>
      </c>
      <c r="P46" s="19" t="n">
        <v>12100</v>
      </c>
      <c r="Q46" s="19" t="n">
        <v>12100</v>
      </c>
      <c r="R46" s="19" t="n">
        <v>12100</v>
      </c>
      <c r="S46" s="19" t="n"/>
      <c r="T46" s="19" t="n"/>
      <c r="U46" s="19" t="n"/>
      <c r="V46" s="19" t="n"/>
      <c r="W46" s="19">
        <f>SUM(K46:V46)</f>
        <v/>
      </c>
      <c r="X46" s="16" t="n"/>
    </row>
    <row r="47">
      <c r="A47" s="15" t="n">
        <v>45</v>
      </c>
      <c r="B47" s="15" t="inlineStr">
        <is>
          <t>ابو بكر</t>
        </is>
      </c>
      <c r="C47" s="16" t="inlineStr">
        <is>
          <t>شركة الأمل للخدمات الطبية</t>
        </is>
      </c>
      <c r="D47" s="16" t="inlineStr">
        <is>
          <t>هالة فادي رزق</t>
        </is>
      </c>
      <c r="E47" s="15" t="inlineStr">
        <is>
          <t>401</t>
        </is>
      </c>
      <c r="F47" s="15" t="inlineStr">
        <is>
          <t>شارع ابو بكر الصديق 3</t>
        </is>
      </c>
      <c r="G47" s="32" t="n">
        <v>45444</v>
      </c>
      <c r="H47" s="32" t="n">
        <v>46538</v>
      </c>
      <c r="I47" s="15" t="inlineStr">
        <is>
          <t>285-771-688</t>
        </is>
      </c>
      <c r="J47" s="18" t="inlineStr">
        <is>
          <t>24576316942942</t>
        </is>
      </c>
      <c r="K47" s="19" t="n">
        <v>11000</v>
      </c>
      <c r="L47" s="19" t="n">
        <v>11000</v>
      </c>
      <c r="M47" s="19" t="n">
        <v>11000</v>
      </c>
      <c r="N47" s="19" t="n">
        <v>11000</v>
      </c>
      <c r="O47" s="19" t="n">
        <v>11000</v>
      </c>
      <c r="P47" s="19" t="n">
        <v>12100</v>
      </c>
      <c r="Q47" s="19" t="n">
        <v>12100</v>
      </c>
      <c r="R47" s="19" t="n">
        <v>12100</v>
      </c>
      <c r="S47" s="19" t="n"/>
      <c r="T47" s="19" t="n"/>
      <c r="U47" s="19" t="n"/>
      <c r="V47" s="19" t="n"/>
      <c r="W47" s="19">
        <f>SUM(K47:V47)</f>
        <v/>
      </c>
      <c r="X47" s="16" t="n"/>
    </row>
    <row r="48">
      <c r="A48" s="15" t="n">
        <v>46</v>
      </c>
      <c r="B48" s="15" t="inlineStr">
        <is>
          <t>ابو بكر</t>
        </is>
      </c>
      <c r="C48" s="16" t="inlineStr">
        <is>
          <t>شركة البركة للتدريب</t>
        </is>
      </c>
      <c r="D48" s="16" t="inlineStr">
        <is>
          <t>تامر محمد عبد الرحمن</t>
        </is>
      </c>
      <c r="E48" s="15" t="inlineStr">
        <is>
          <t>403</t>
        </is>
      </c>
      <c r="F48" s="15" t="inlineStr">
        <is>
          <t>شارع ابو بكر الصديق 3</t>
        </is>
      </c>
      <c r="G48" s="32" t="n">
        <v>45307</v>
      </c>
      <c r="H48" s="32" t="n">
        <v>46402</v>
      </c>
      <c r="I48" s="15" t="n"/>
      <c r="J48" s="18" t="inlineStr">
        <is>
          <t>P32014397</t>
        </is>
      </c>
      <c r="K48" s="19" t="n">
        <v>14850</v>
      </c>
      <c r="L48" s="19" t="n">
        <v>14850</v>
      </c>
      <c r="M48" s="19" t="n">
        <v>16335</v>
      </c>
      <c r="N48" s="19" t="n">
        <v>16335</v>
      </c>
      <c r="O48" s="19" t="n">
        <v>16335</v>
      </c>
      <c r="P48" s="19" t="n">
        <v>16335</v>
      </c>
      <c r="Q48" s="19" t="n">
        <v>16335</v>
      </c>
      <c r="R48" s="19" t="n">
        <v>16335</v>
      </c>
      <c r="S48" s="19" t="n"/>
      <c r="T48" s="19" t="n"/>
      <c r="U48" s="19" t="n"/>
      <c r="V48" s="19" t="n"/>
      <c r="W48" s="19">
        <f>SUM(K48:V48)</f>
        <v/>
      </c>
      <c r="X48" s="20" t="n"/>
    </row>
    <row r="49">
      <c r="A49" s="15" t="n">
        <v>47</v>
      </c>
      <c r="B49" s="15" t="inlineStr">
        <is>
          <t>ابو بكر</t>
        </is>
      </c>
      <c r="C49" s="16" t="inlineStr">
        <is>
          <t>آية محمود بدوي</t>
        </is>
      </c>
      <c r="D49" s="16" t="inlineStr">
        <is>
          <t>آية محمود بدوي</t>
        </is>
      </c>
      <c r="E49" s="15" t="inlineStr">
        <is>
          <t>404</t>
        </is>
      </c>
      <c r="F49" s="15" t="inlineStr">
        <is>
          <t>شارع ابو بكر الصديق 3</t>
        </is>
      </c>
      <c r="G49" s="32" t="n">
        <v>46174</v>
      </c>
      <c r="H49" s="32" t="n">
        <v>46538</v>
      </c>
      <c r="I49" s="15" t="n"/>
      <c r="J49" s="18" t="inlineStr">
        <is>
          <t>28845924107212</t>
        </is>
      </c>
      <c r="K49" s="19" t="n">
        <v>12000</v>
      </c>
      <c r="L49" s="19" t="n">
        <v>12000</v>
      </c>
      <c r="M49" s="19" t="n">
        <v>12000</v>
      </c>
      <c r="N49" s="19" t="n">
        <v>12000</v>
      </c>
      <c r="O49" s="19" t="n">
        <v>12000</v>
      </c>
      <c r="P49" s="19" t="n">
        <v>13500</v>
      </c>
      <c r="Q49" s="19" t="n">
        <v>13500</v>
      </c>
      <c r="R49" s="19" t="n">
        <v>13500</v>
      </c>
      <c r="S49" s="19" t="n"/>
      <c r="T49" s="19" t="n"/>
      <c r="U49" s="19" t="n"/>
      <c r="V49" s="19" t="n"/>
      <c r="W49" s="19">
        <f>SUM(K49:V49)</f>
        <v/>
      </c>
      <c r="X49" s="16" t="n"/>
    </row>
    <row r="50">
      <c r="A50" s="15" t="n">
        <v>48</v>
      </c>
      <c r="B50" s="15" t="inlineStr">
        <is>
          <t>ابو بكر</t>
        </is>
      </c>
      <c r="C50" s="16" t="inlineStr">
        <is>
          <t>شركة الأصيل للإنتاج الفني</t>
        </is>
      </c>
      <c r="D50" s="16" t="inlineStr">
        <is>
          <t>طارق تامر فهمي</t>
        </is>
      </c>
      <c r="E50" s="15" t="inlineStr">
        <is>
          <t>405</t>
        </is>
      </c>
      <c r="F50" s="15" t="inlineStr">
        <is>
          <t>شارع ابو بكر الصديق 3</t>
        </is>
      </c>
      <c r="G50" s="32" t="n">
        <v>46082</v>
      </c>
      <c r="H50" s="32" t="n">
        <v>46446</v>
      </c>
      <c r="I50" s="15" t="n"/>
      <c r="J50" s="18" t="inlineStr">
        <is>
          <t>X7515985</t>
        </is>
      </c>
      <c r="K50" s="19" t="n">
        <v>12000</v>
      </c>
      <c r="L50" s="19" t="n">
        <v>12000</v>
      </c>
      <c r="M50" s="19" t="n">
        <v>14000</v>
      </c>
      <c r="N50" s="19" t="n">
        <v>14000</v>
      </c>
      <c r="O50" s="19" t="n">
        <v>14000</v>
      </c>
      <c r="P50" s="19" t="n">
        <v>14000</v>
      </c>
      <c r="Q50" s="19" t="n">
        <v>14000</v>
      </c>
      <c r="R50" s="19" t="n">
        <v>14000</v>
      </c>
      <c r="S50" s="19" t="n"/>
      <c r="T50" s="19" t="n"/>
      <c r="U50" s="19" t="n"/>
      <c r="V50" s="19" t="n"/>
      <c r="W50" s="19">
        <f>SUM(K50:V50)</f>
        <v/>
      </c>
      <c r="X50" s="20" t="n"/>
    </row>
    <row r="51">
      <c r="A51" s="15" t="n">
        <v>49</v>
      </c>
      <c r="B51" s="15" t="inlineStr">
        <is>
          <t>ابو بكر</t>
        </is>
      </c>
      <c r="C51" s="16" t="inlineStr">
        <is>
          <t>شركة البركة للاستشارات الهندسية</t>
        </is>
      </c>
      <c r="D51" s="16" t="inlineStr">
        <is>
          <t>مصطفى إبراهيم صبري</t>
        </is>
      </c>
      <c r="E51" s="15" t="inlineStr">
        <is>
          <t>406</t>
        </is>
      </c>
      <c r="F51" s="15" t="inlineStr">
        <is>
          <t>شارع ابو بكر الصديق 3</t>
        </is>
      </c>
      <c r="G51" s="32" t="n">
        <v>45302</v>
      </c>
      <c r="H51" s="32" t="n">
        <v>46397</v>
      </c>
      <c r="I51" s="15" t="n"/>
      <c r="J51" s="18" t="inlineStr">
        <is>
          <t>P77226406</t>
        </is>
      </c>
      <c r="K51" s="19" t="n">
        <v>14575</v>
      </c>
      <c r="L51" s="19" t="n">
        <v>14565</v>
      </c>
      <c r="M51" s="19" t="n">
        <v>16035</v>
      </c>
      <c r="N51" s="19" t="n">
        <v>16035</v>
      </c>
      <c r="O51" s="19" t="n">
        <v>16035</v>
      </c>
      <c r="P51" s="19" t="n">
        <v>16035</v>
      </c>
      <c r="Q51" s="19" t="n">
        <v>16035</v>
      </c>
      <c r="R51" s="19" t="n">
        <v>16035</v>
      </c>
      <c r="S51" s="19" t="n"/>
      <c r="T51" s="19" t="n"/>
      <c r="U51" s="19" t="n"/>
      <c r="V51" s="19" t="n"/>
      <c r="W51" s="19">
        <f>SUM(K51:V51)</f>
        <v/>
      </c>
      <c r="X51" s="20" t="n"/>
    </row>
    <row r="52" ht="26.4" customHeight="1">
      <c r="A52" s="15" t="n">
        <v>50</v>
      </c>
      <c r="B52" s="15" t="inlineStr">
        <is>
          <t>ابو بكر</t>
        </is>
      </c>
      <c r="C52" s="16" t="inlineStr">
        <is>
          <t>شركة الهرم لتكنولوجيا المعلومات</t>
        </is>
      </c>
      <c r="D52" s="16" t="inlineStr">
        <is>
          <t>مصطفى عمر صبري</t>
        </is>
      </c>
      <c r="E52" s="15" t="inlineStr">
        <is>
          <t>407</t>
        </is>
      </c>
      <c r="F52" s="15" t="inlineStr">
        <is>
          <t>شارع ابو بكر الصديق 3</t>
        </is>
      </c>
      <c r="G52" s="32" t="n">
        <v>46023</v>
      </c>
      <c r="H52" s="32" t="n">
        <v>46387</v>
      </c>
      <c r="I52" s="15" t="n"/>
      <c r="J52" s="18" t="inlineStr">
        <is>
          <t>269-105-006</t>
        </is>
      </c>
      <c r="K52" s="19" t="n">
        <v>16500</v>
      </c>
      <c r="L52" s="19" t="n">
        <v>16500</v>
      </c>
      <c r="M52" s="19" t="n">
        <v>16500</v>
      </c>
      <c r="N52" s="19" t="n">
        <v>16500</v>
      </c>
      <c r="O52" s="19" t="n">
        <v>16500</v>
      </c>
      <c r="P52" s="19" t="n">
        <v>16500</v>
      </c>
      <c r="Q52" s="19" t="n">
        <v>16500</v>
      </c>
      <c r="R52" s="19" t="n">
        <v>16500</v>
      </c>
      <c r="S52" s="19" t="n"/>
      <c r="T52" s="19" t="n"/>
      <c r="U52" s="19" t="n"/>
      <c r="V52" s="19" t="n"/>
      <c r="W52" s="19">
        <f>SUM(K52:V52)</f>
        <v/>
      </c>
      <c r="X52" s="20" t="inlineStr">
        <is>
          <t>الإجمالي في الورقة 115,500 لكن الشهور مجموعها 132,000 - راجع الأصل</t>
        </is>
      </c>
    </row>
    <row r="53">
      <c r="A53" s="15" t="n">
        <v>51</v>
      </c>
      <c r="B53" s="15" t="inlineStr">
        <is>
          <t>ابو بكر</t>
        </is>
      </c>
      <c r="C53" s="16" t="inlineStr">
        <is>
          <t>مصطفى وليد الجندي</t>
        </is>
      </c>
      <c r="D53" s="16" t="inlineStr">
        <is>
          <t>مصطفى وليد الجندي</t>
        </is>
      </c>
      <c r="E53" s="15" t="inlineStr">
        <is>
          <t>408</t>
        </is>
      </c>
      <c r="F53" s="15" t="inlineStr">
        <is>
          <t>شارع ابو بكر الصديق 3</t>
        </is>
      </c>
      <c r="G53" s="32" t="n">
        <v>45931</v>
      </c>
      <c r="H53" s="32" t="n">
        <v>46295</v>
      </c>
      <c r="I53" s="15" t="n"/>
      <c r="J53" s="18" t="inlineStr">
        <is>
          <t>20494595375850</t>
        </is>
      </c>
      <c r="K53" s="19" t="n">
        <v>18500</v>
      </c>
      <c r="L53" s="19" t="n">
        <v>18500</v>
      </c>
      <c r="M53" s="19" t="n">
        <v>18500</v>
      </c>
      <c r="N53" s="19" t="n">
        <v>18500</v>
      </c>
      <c r="O53" s="19" t="n">
        <v>18500</v>
      </c>
      <c r="P53" s="19" t="n">
        <v>18500</v>
      </c>
      <c r="Q53" s="19" t="n">
        <v>18500</v>
      </c>
      <c r="R53" s="19" t="n">
        <v>18500</v>
      </c>
      <c r="S53" s="19" t="n"/>
      <c r="T53" s="19" t="n"/>
      <c r="U53" s="19" t="n"/>
      <c r="V53" s="19" t="n"/>
      <c r="W53" s="19">
        <f>SUM(K53:V53)</f>
        <v/>
      </c>
      <c r="X53" s="16" t="n"/>
    </row>
    <row r="54">
      <c r="A54" s="15" t="n">
        <v>52</v>
      </c>
      <c r="B54" s="15" t="inlineStr">
        <is>
          <t>ابو بكر</t>
        </is>
      </c>
      <c r="C54" s="16" t="inlineStr">
        <is>
          <t>شركة الياسمين للتسويق</t>
        </is>
      </c>
      <c r="D54" s="16" t="inlineStr">
        <is>
          <t>رضوى هاني الخولي</t>
        </is>
      </c>
      <c r="E54" s="15" t="inlineStr">
        <is>
          <t>501</t>
        </is>
      </c>
      <c r="F54" s="15" t="inlineStr">
        <is>
          <t>شارع ابو بكر الصديق 3</t>
        </is>
      </c>
      <c r="G54" s="32" t="n">
        <v>45870</v>
      </c>
      <c r="H54" s="32" t="n">
        <v>46234</v>
      </c>
      <c r="I54" s="15" t="n"/>
      <c r="J54" s="18" t="inlineStr">
        <is>
          <t>29181560770972</t>
        </is>
      </c>
      <c r="K54" s="19" t="n">
        <v>15000</v>
      </c>
      <c r="L54" s="19" t="n">
        <v>15000</v>
      </c>
      <c r="M54" s="19" t="n">
        <v>15000</v>
      </c>
      <c r="N54" s="19" t="n">
        <v>15000</v>
      </c>
      <c r="O54" s="19" t="n">
        <v>15000</v>
      </c>
      <c r="P54" s="19" t="n">
        <v>15000</v>
      </c>
      <c r="Q54" s="19" t="n">
        <v>15000</v>
      </c>
      <c r="R54" s="19" t="n"/>
      <c r="S54" s="19" t="n"/>
      <c r="T54" s="19" t="n"/>
      <c r="U54" s="19" t="n"/>
      <c r="V54" s="19" t="n"/>
      <c r="W54" s="19">
        <f>SUM(K54:V54)</f>
        <v/>
      </c>
      <c r="X54" s="16" t="n"/>
    </row>
    <row r="55">
      <c r="A55" s="15" t="n">
        <v>53</v>
      </c>
      <c r="B55" s="15" t="inlineStr">
        <is>
          <t>ابو بكر</t>
        </is>
      </c>
      <c r="C55" s="16" t="inlineStr">
        <is>
          <t>شركة الياسمين للتسويق</t>
        </is>
      </c>
      <c r="D55" s="16" t="inlineStr">
        <is>
          <t>رضوى هاني الخولي</t>
        </is>
      </c>
      <c r="E55" s="15" t="inlineStr">
        <is>
          <t>502</t>
        </is>
      </c>
      <c r="F55" s="15" t="inlineStr">
        <is>
          <t>شارع ابو بكر الصديق 3</t>
        </is>
      </c>
      <c r="G55" s="32" t="n">
        <v>45870</v>
      </c>
      <c r="H55" s="32" t="n">
        <v>46234</v>
      </c>
      <c r="I55" s="15" t="n"/>
      <c r="J55" s="18" t="inlineStr">
        <is>
          <t>29181560770972</t>
        </is>
      </c>
      <c r="K55" s="19" t="n">
        <v>15000</v>
      </c>
      <c r="L55" s="19" t="n">
        <v>15000</v>
      </c>
      <c r="M55" s="19" t="n">
        <v>15000</v>
      </c>
      <c r="N55" s="19" t="n">
        <v>15000</v>
      </c>
      <c r="O55" s="19" t="n">
        <v>15000</v>
      </c>
      <c r="P55" s="19" t="n">
        <v>15000</v>
      </c>
      <c r="Q55" s="19" t="n">
        <v>15000</v>
      </c>
      <c r="R55" s="19" t="n"/>
      <c r="S55" s="19" t="n"/>
      <c r="T55" s="19" t="n"/>
      <c r="U55" s="19" t="n"/>
      <c r="V55" s="19" t="n"/>
      <c r="W55" s="19">
        <f>SUM(K55:V55)</f>
        <v/>
      </c>
      <c r="X55" s="16" t="n"/>
    </row>
    <row r="56" ht="26.4" customHeight="1">
      <c r="A56" s="15" t="n">
        <v>54</v>
      </c>
      <c r="B56" s="15" t="inlineStr">
        <is>
          <t>ابو بكر</t>
        </is>
      </c>
      <c r="C56" s="16" t="inlineStr">
        <is>
          <t>إبراهيم أحمد البنا</t>
        </is>
      </c>
      <c r="D56" s="16" t="inlineStr">
        <is>
          <t>إبراهيم أحمد البنا</t>
        </is>
      </c>
      <c r="E56" s="15" t="inlineStr">
        <is>
          <t>503</t>
        </is>
      </c>
      <c r="F56" s="15" t="inlineStr">
        <is>
          <t>شارع ابو بكر الصديق 3</t>
        </is>
      </c>
      <c r="G56" s="32" t="n">
        <v>45231</v>
      </c>
      <c r="H56" s="32" t="n">
        <v>46326</v>
      </c>
      <c r="I56" s="15" t="n"/>
      <c r="J56" s="18" t="inlineStr">
        <is>
          <t>29562011693306</t>
        </is>
      </c>
      <c r="K56" s="19" t="n">
        <v>11195</v>
      </c>
      <c r="L56" s="19" t="n">
        <v>11195</v>
      </c>
      <c r="M56" s="19" t="n">
        <v>11195</v>
      </c>
      <c r="N56" s="19" t="n">
        <v>11195</v>
      </c>
      <c r="O56" s="19" t="n">
        <v>11195</v>
      </c>
      <c r="P56" s="19" t="n">
        <v>11195</v>
      </c>
      <c r="Q56" s="19" t="n">
        <v>11135</v>
      </c>
      <c r="R56" s="19" t="n"/>
      <c r="S56" s="19" t="n"/>
      <c r="T56" s="19" t="n"/>
      <c r="U56" s="19" t="n"/>
      <c r="V56" s="19" t="n"/>
      <c r="W56" s="19">
        <f>SUM(K56:V56)</f>
        <v/>
      </c>
      <c r="X56" s="20" t="inlineStr">
        <is>
          <t>الإجمالي في الورقة 78,765 لكن الشهور مجموعها 78,305 - يوليو ممكن يكون 11,595</t>
        </is>
      </c>
    </row>
    <row r="57">
      <c r="A57" s="15" t="n">
        <v>55</v>
      </c>
      <c r="B57" s="15" t="inlineStr">
        <is>
          <t>ابو بكر</t>
        </is>
      </c>
      <c r="C57" s="16" t="inlineStr">
        <is>
          <t>شركة المستقبل للخدمات الطبية</t>
        </is>
      </c>
      <c r="D57" s="16" t="inlineStr">
        <is>
          <t>نادر عادل شاكر</t>
        </is>
      </c>
      <c r="E57" s="15" t="inlineStr">
        <is>
          <t>504</t>
        </is>
      </c>
      <c r="F57" s="15" t="inlineStr">
        <is>
          <t>شارع ابو بكر الصديق 3</t>
        </is>
      </c>
      <c r="G57" s="32" t="n">
        <v>45901</v>
      </c>
      <c r="H57" s="32" t="n">
        <v>46265</v>
      </c>
      <c r="I57" s="15" t="n"/>
      <c r="J57" s="18" t="inlineStr">
        <is>
          <t>23449480817877</t>
        </is>
      </c>
      <c r="K57" s="19" t="n">
        <v>10000</v>
      </c>
      <c r="L57" s="19" t="n">
        <v>10000</v>
      </c>
      <c r="M57" s="19" t="n">
        <v>10000</v>
      </c>
      <c r="N57" s="19" t="n">
        <v>10000</v>
      </c>
      <c r="O57" s="19" t="n">
        <v>10000</v>
      </c>
      <c r="P57" s="19" t="n">
        <v>10000</v>
      </c>
      <c r="Q57" s="19" t="n">
        <v>10000</v>
      </c>
      <c r="R57" s="19" t="n">
        <v>10000</v>
      </c>
      <c r="S57" s="19" t="n"/>
      <c r="T57" s="19" t="n"/>
      <c r="U57" s="19" t="n"/>
      <c r="V57" s="19" t="n"/>
      <c r="W57" s="19">
        <f>SUM(K57:V57)</f>
        <v/>
      </c>
      <c r="X57" s="16" t="n"/>
    </row>
    <row r="58">
      <c r="A58" s="15" t="n">
        <v>56</v>
      </c>
      <c r="B58" s="15" t="inlineStr">
        <is>
          <t>ابو بكر</t>
        </is>
      </c>
      <c r="C58" s="16" t="inlineStr">
        <is>
          <t>حسين أمير بدوي</t>
        </is>
      </c>
      <c r="D58" s="16" t="inlineStr">
        <is>
          <t>حسين أمير بدوي</t>
        </is>
      </c>
      <c r="E58" s="15" t="inlineStr">
        <is>
          <t>505</t>
        </is>
      </c>
      <c r="F58" s="15" t="inlineStr">
        <is>
          <t>شارع ابو بكر الصديق 3</t>
        </is>
      </c>
      <c r="G58" s="32" t="n">
        <v>46204</v>
      </c>
      <c r="H58" s="32" t="n">
        <v>46568</v>
      </c>
      <c r="I58" s="15" t="n"/>
      <c r="J58" s="18" t="inlineStr">
        <is>
          <t>29005091319585</t>
        </is>
      </c>
      <c r="K58" s="19" t="n">
        <v>11000</v>
      </c>
      <c r="L58" s="19" t="n">
        <v>11000</v>
      </c>
      <c r="M58" s="19" t="n">
        <v>11000</v>
      </c>
      <c r="N58" s="19" t="n">
        <v>11000</v>
      </c>
      <c r="O58" s="19" t="n">
        <v>11000</v>
      </c>
      <c r="P58" s="19" t="n">
        <v>11000</v>
      </c>
      <c r="Q58" s="19" t="n">
        <v>13000</v>
      </c>
      <c r="R58" s="19" t="n">
        <v>13000</v>
      </c>
      <c r="S58" s="19" t="n"/>
      <c r="T58" s="19" t="n"/>
      <c r="U58" s="19" t="n"/>
      <c r="V58" s="19" t="n"/>
      <c r="W58" s="19">
        <f>SUM(K58:V58)</f>
        <v/>
      </c>
      <c r="X58" s="16" t="n"/>
    </row>
    <row r="59">
      <c r="A59" s="15" t="n">
        <v>57</v>
      </c>
      <c r="B59" s="15" t="inlineStr">
        <is>
          <t>ابو بكر</t>
        </is>
      </c>
      <c r="C59" s="16" t="inlineStr">
        <is>
          <t>د/ آية هشام رشاد</t>
        </is>
      </c>
      <c r="D59" s="16" t="inlineStr">
        <is>
          <t>رضوى باسم سلامة</t>
        </is>
      </c>
      <c r="E59" s="15" t="inlineStr">
        <is>
          <t>506</t>
        </is>
      </c>
      <c r="F59" s="15" t="inlineStr">
        <is>
          <t>شارع ابو بكر الصديق 3</t>
        </is>
      </c>
      <c r="G59" s="32" t="n">
        <v>46174</v>
      </c>
      <c r="H59" s="32" t="n">
        <v>46538</v>
      </c>
      <c r="I59" s="15" t="n"/>
      <c r="J59" s="18" t="inlineStr">
        <is>
          <t>P1137016</t>
        </is>
      </c>
      <c r="K59" s="19" t="n">
        <v>17000</v>
      </c>
      <c r="L59" s="19" t="n">
        <v>17000</v>
      </c>
      <c r="M59" s="19" t="n">
        <v>17000</v>
      </c>
      <c r="N59" s="19" t="n">
        <v>17000</v>
      </c>
      <c r="O59" s="19" t="n">
        <v>17000</v>
      </c>
      <c r="P59" s="19" t="n">
        <v>19000</v>
      </c>
      <c r="Q59" s="19" t="n">
        <v>19000</v>
      </c>
      <c r="R59" s="19" t="n">
        <v>19000</v>
      </c>
      <c r="S59" s="19" t="n"/>
      <c r="T59" s="19" t="n"/>
      <c r="U59" s="19" t="n"/>
      <c r="V59" s="19" t="n"/>
      <c r="W59" s="19">
        <f>SUM(K59:V59)</f>
        <v/>
      </c>
      <c r="X59" s="16" t="n"/>
    </row>
    <row r="60">
      <c r="A60" s="15" t="n">
        <v>58</v>
      </c>
      <c r="B60" s="15" t="inlineStr">
        <is>
          <t>ابو بكر</t>
        </is>
      </c>
      <c r="C60" s="16" t="inlineStr">
        <is>
          <t>شركة الأصيل للاستشارات الهندسية</t>
        </is>
      </c>
      <c r="D60" s="16" t="inlineStr">
        <is>
          <t>عمرو مصطفى نصار</t>
        </is>
      </c>
      <c r="E60" s="15" t="inlineStr">
        <is>
          <t>508</t>
        </is>
      </c>
      <c r="F60" s="15" t="inlineStr">
        <is>
          <t>شارع ابو بكر الصديق 3</t>
        </is>
      </c>
      <c r="G60" s="32" t="n">
        <v>46180</v>
      </c>
      <c r="H60" s="32" t="n">
        <v>46544</v>
      </c>
      <c r="I60" s="15" t="inlineStr">
        <is>
          <t>160-305-190</t>
        </is>
      </c>
      <c r="J60" s="18" t="inlineStr">
        <is>
          <t>P67487613</t>
        </is>
      </c>
      <c r="K60" s="19" t="n"/>
      <c r="L60" s="19" t="n"/>
      <c r="M60" s="19" t="n"/>
      <c r="N60" s="19" t="n"/>
      <c r="O60" s="19" t="n"/>
      <c r="P60" s="19" t="n">
        <v>13500</v>
      </c>
      <c r="Q60" s="19" t="n">
        <v>18000</v>
      </c>
      <c r="R60" s="19" t="n">
        <v>18000</v>
      </c>
      <c r="S60" s="19" t="n"/>
      <c r="T60" s="19" t="n"/>
      <c r="U60" s="19" t="n"/>
      <c r="V60" s="19" t="n"/>
      <c r="W60" s="19">
        <f>SUM(K60:V60)</f>
        <v/>
      </c>
      <c r="X60" s="16" t="n"/>
    </row>
    <row r="61">
      <c r="A61" s="15" t="n">
        <v>59</v>
      </c>
      <c r="B61" s="15" t="inlineStr">
        <is>
          <t>ابو بكر</t>
        </is>
      </c>
      <c r="C61" s="16" t="inlineStr">
        <is>
          <t>شركة الوادي للتنمية</t>
        </is>
      </c>
      <c r="D61" s="16" t="inlineStr">
        <is>
          <t>يوسف شريف عبد الرحمن</t>
        </is>
      </c>
      <c r="E61" s="15" t="inlineStr">
        <is>
          <t>601</t>
        </is>
      </c>
      <c r="F61" s="15" t="inlineStr">
        <is>
          <t>شارع ابو بكر الصديق 3</t>
        </is>
      </c>
      <c r="G61" s="32" t="n">
        <v>45170</v>
      </c>
      <c r="H61" s="32" t="n">
        <v>46265</v>
      </c>
      <c r="I61" s="15" t="n"/>
      <c r="J61" s="18" t="inlineStr">
        <is>
          <t>22463542796975</t>
        </is>
      </c>
      <c r="K61" s="19" t="n">
        <v>9680</v>
      </c>
      <c r="L61" s="19" t="n">
        <v>9680</v>
      </c>
      <c r="M61" s="19" t="n">
        <v>9680</v>
      </c>
      <c r="N61" s="19" t="n">
        <v>9680</v>
      </c>
      <c r="O61" s="19" t="n">
        <v>9680</v>
      </c>
      <c r="P61" s="19" t="n">
        <v>9680</v>
      </c>
      <c r="Q61" s="19" t="n">
        <v>9680</v>
      </c>
      <c r="R61" s="19" t="n">
        <v>9680</v>
      </c>
      <c r="S61" s="19" t="n"/>
      <c r="T61" s="19" t="n"/>
      <c r="U61" s="19" t="n"/>
      <c r="V61" s="19" t="n"/>
      <c r="W61" s="19">
        <f>SUM(K61:V61)</f>
        <v/>
      </c>
      <c r="X61" s="16" t="n"/>
    </row>
    <row r="62">
      <c r="A62" s="15" t="n">
        <v>60</v>
      </c>
      <c r="B62" s="15" t="inlineStr">
        <is>
          <t>ابو بكر</t>
        </is>
      </c>
      <c r="C62" s="16" t="inlineStr">
        <is>
          <t>شركة الوفاء للاستشارات الهندسية</t>
        </is>
      </c>
      <c r="D62" s="16" t="inlineStr">
        <is>
          <t>عادل عمر فهمي</t>
        </is>
      </c>
      <c r="E62" s="15" t="inlineStr">
        <is>
          <t>602</t>
        </is>
      </c>
      <c r="F62" s="15" t="inlineStr">
        <is>
          <t>شارع ابو بكر الصديق 3</t>
        </is>
      </c>
      <c r="G62" s="32" t="n">
        <v>45931</v>
      </c>
      <c r="H62" s="32" t="n">
        <v>46295</v>
      </c>
      <c r="I62" s="15" t="inlineStr">
        <is>
          <t>775-395-397</t>
        </is>
      </c>
      <c r="J62" s="18" t="inlineStr">
        <is>
          <t>28440709184758</t>
        </is>
      </c>
      <c r="K62" s="19" t="n">
        <v>19000</v>
      </c>
      <c r="L62" s="19" t="n">
        <v>19000</v>
      </c>
      <c r="M62" s="19" t="n">
        <v>19000</v>
      </c>
      <c r="N62" s="19" t="n">
        <v>19000</v>
      </c>
      <c r="O62" s="19" t="n">
        <v>19000</v>
      </c>
      <c r="P62" s="19" t="n">
        <v>19000</v>
      </c>
      <c r="Q62" s="19" t="n">
        <v>19000</v>
      </c>
      <c r="R62" s="19" t="n">
        <v>19000</v>
      </c>
      <c r="S62" s="19" t="n"/>
      <c r="T62" s="19" t="n"/>
      <c r="U62" s="19" t="n"/>
      <c r="V62" s="19" t="n"/>
      <c r="W62" s="19">
        <f>SUM(K62:V62)</f>
        <v/>
      </c>
      <c r="X62" s="20" t="n"/>
    </row>
    <row r="63" ht="26.4" customHeight="1">
      <c r="A63" s="15" t="n">
        <v>61</v>
      </c>
      <c r="B63" s="15" t="inlineStr">
        <is>
          <t>ابو بكر</t>
        </is>
      </c>
      <c r="C63" s="16" t="inlineStr">
        <is>
          <t>عادل باسم حسنين</t>
        </is>
      </c>
      <c r="D63" s="16" t="inlineStr">
        <is>
          <t>عادل باسم حسنين</t>
        </is>
      </c>
      <c r="E63" s="15" t="inlineStr">
        <is>
          <t>603</t>
        </is>
      </c>
      <c r="F63" s="15" t="inlineStr">
        <is>
          <t>شارع ابو بكر الصديق 3</t>
        </is>
      </c>
      <c r="G63" s="32" t="n">
        <v>45231</v>
      </c>
      <c r="H63" s="32" t="n">
        <v>46326</v>
      </c>
      <c r="I63" s="15" t="n"/>
      <c r="J63" s="18" t="inlineStr">
        <is>
          <t>P32438961</t>
        </is>
      </c>
      <c r="K63" s="19" t="n">
        <v>11495</v>
      </c>
      <c r="L63" s="19" t="n">
        <v>11495</v>
      </c>
      <c r="M63" s="19" t="n">
        <v>11495</v>
      </c>
      <c r="N63" s="19" t="n">
        <v>11495</v>
      </c>
      <c r="O63" s="19" t="n">
        <v>11495</v>
      </c>
      <c r="P63" s="19" t="n">
        <v>11495</v>
      </c>
      <c r="Q63" s="19" t="n">
        <v>11495</v>
      </c>
      <c r="R63" s="19" t="n">
        <v>11495</v>
      </c>
      <c r="S63" s="19" t="n"/>
      <c r="T63" s="19" t="n"/>
      <c r="U63" s="19" t="n"/>
      <c r="V63" s="19" t="n"/>
      <c r="W63" s="19">
        <f>SUM(K63:V63)</f>
        <v/>
      </c>
      <c r="X63" s="16" t="n"/>
    </row>
    <row r="64">
      <c r="A64" s="15" t="n">
        <v>62</v>
      </c>
      <c r="B64" s="15" t="inlineStr">
        <is>
          <t>ابو بكر</t>
        </is>
      </c>
      <c r="C64" s="16" t="inlineStr">
        <is>
          <t>ندى وليد حسنين</t>
        </is>
      </c>
      <c r="D64" s="16" t="inlineStr">
        <is>
          <t>ندى وليد حسنين</t>
        </is>
      </c>
      <c r="E64" s="15" t="inlineStr">
        <is>
          <t>604</t>
        </is>
      </c>
      <c r="F64" s="15" t="inlineStr">
        <is>
          <t>شارع ابو بكر الصديق 3</t>
        </is>
      </c>
      <c r="G64" s="32" t="n">
        <v>45962</v>
      </c>
      <c r="H64" s="32" t="n">
        <v>46326</v>
      </c>
      <c r="I64" s="15" t="n"/>
      <c r="J64" s="18" t="inlineStr">
        <is>
          <t>22823424081654</t>
        </is>
      </c>
      <c r="K64" s="19" t="n">
        <v>11000</v>
      </c>
      <c r="L64" s="19" t="n">
        <v>11000</v>
      </c>
      <c r="M64" s="19" t="n">
        <v>11000</v>
      </c>
      <c r="N64" s="19" t="n">
        <v>11000</v>
      </c>
      <c r="O64" s="19" t="n">
        <v>11000</v>
      </c>
      <c r="P64" s="19" t="n">
        <v>11000</v>
      </c>
      <c r="Q64" s="19" t="n">
        <v>11000</v>
      </c>
      <c r="R64" s="19" t="n">
        <v>11000</v>
      </c>
      <c r="S64" s="19" t="n"/>
      <c r="T64" s="19" t="n"/>
      <c r="U64" s="19" t="n"/>
      <c r="V64" s="19" t="n"/>
      <c r="W64" s="19">
        <f>SUM(K64:V64)</f>
        <v/>
      </c>
      <c r="X64" s="16" t="n"/>
    </row>
    <row r="65">
      <c r="A65" s="15" t="n">
        <v>63</v>
      </c>
      <c r="B65" s="15" t="inlineStr">
        <is>
          <t>ابو بكر</t>
        </is>
      </c>
      <c r="C65" s="16" t="inlineStr">
        <is>
          <t>شريف هاني فهمي</t>
        </is>
      </c>
      <c r="D65" s="16" t="inlineStr">
        <is>
          <t>شريف هاني فهمي</t>
        </is>
      </c>
      <c r="E65" s="15" t="inlineStr">
        <is>
          <t>605</t>
        </is>
      </c>
      <c r="F65" s="15" t="inlineStr">
        <is>
          <t>شارع ابو بكر الصديق 3</t>
        </is>
      </c>
      <c r="G65" s="32" t="n">
        <v>46219</v>
      </c>
      <c r="H65" s="32" t="n">
        <v>46583</v>
      </c>
      <c r="I65" s="15" t="n"/>
      <c r="J65" s="18" t="inlineStr">
        <is>
          <t>25107441967523</t>
        </is>
      </c>
      <c r="K65" s="19" t="n">
        <v>8775</v>
      </c>
      <c r="L65" s="19" t="n">
        <v>8775</v>
      </c>
      <c r="M65" s="19" t="n">
        <v>8775</v>
      </c>
      <c r="N65" s="19" t="n">
        <v>8775</v>
      </c>
      <c r="O65" s="19" t="n">
        <v>8775</v>
      </c>
      <c r="P65" s="19" t="n">
        <v>8775</v>
      </c>
      <c r="Q65" s="19" t="n">
        <v>11390</v>
      </c>
      <c r="R65" s="19" t="inlineStr">
        <is>
          <t>63+.0+3+26309</t>
        </is>
      </c>
      <c r="S65" s="19" t="n"/>
      <c r="T65" s="19" t="n"/>
      <c r="U65" s="19" t="n"/>
      <c r="V65" s="19" t="n"/>
      <c r="W65" s="19">
        <f>SUM(K65:V65)</f>
        <v/>
      </c>
      <c r="X65" s="20" t="inlineStr">
        <is>
          <t>خانة أغسطس مكتوب فيها نص مش رقم (زي الورقة)</t>
        </is>
      </c>
    </row>
    <row r="66">
      <c r="A66" s="15" t="n">
        <v>64</v>
      </c>
      <c r="B66" s="15" t="inlineStr">
        <is>
          <t>ابو بكر</t>
        </is>
      </c>
      <c r="C66" s="16" t="inlineStr">
        <is>
          <t>شركة الياسمين للاستشارات الهندسية</t>
        </is>
      </c>
      <c r="D66" s="16" t="inlineStr">
        <is>
          <t>تامر كريم عابدين</t>
        </is>
      </c>
      <c r="E66" s="15" t="inlineStr">
        <is>
          <t>606</t>
        </is>
      </c>
      <c r="F66" s="15" t="inlineStr">
        <is>
          <t>شارع ابو بكر الصديق 3</t>
        </is>
      </c>
      <c r="G66" s="32" t="n">
        <v>46219</v>
      </c>
      <c r="H66" s="32" t="n">
        <v>46583</v>
      </c>
      <c r="I66" s="15" t="n"/>
      <c r="J66" s="18" t="inlineStr">
        <is>
          <t>P53868816</t>
        </is>
      </c>
      <c r="K66" s="19" t="n">
        <v>15000</v>
      </c>
      <c r="L66" s="19" t="n">
        <v>15000</v>
      </c>
      <c r="M66" s="19" t="n">
        <v>15000</v>
      </c>
      <c r="N66" s="19" t="n">
        <v>15000</v>
      </c>
      <c r="O66" s="19" t="n">
        <v>15000</v>
      </c>
      <c r="P66" s="19" t="n">
        <v>15000</v>
      </c>
      <c r="Q66" s="19" t="n">
        <v>17000</v>
      </c>
      <c r="R66" s="19" t="n">
        <v>19000</v>
      </c>
      <c r="S66" s="19" t="n"/>
      <c r="T66" s="19" t="n"/>
      <c r="U66" s="19" t="n"/>
      <c r="V66" s="19" t="n"/>
      <c r="W66" s="19">
        <f>SUM(K66:V66)</f>
        <v/>
      </c>
      <c r="X66" s="16" t="n"/>
    </row>
    <row r="67">
      <c r="A67" s="15" t="n">
        <v>65</v>
      </c>
      <c r="B67" s="15" t="inlineStr">
        <is>
          <t>ابو بكر</t>
        </is>
      </c>
      <c r="C67" s="16" t="inlineStr">
        <is>
          <t>شركة الدلتا للتجارة</t>
        </is>
      </c>
      <c r="D67" s="16" t="inlineStr">
        <is>
          <t>ياسر عمرو حسنين</t>
        </is>
      </c>
      <c r="E67" s="15" t="inlineStr">
        <is>
          <t>607</t>
        </is>
      </c>
      <c r="F67" s="15" t="inlineStr">
        <is>
          <t>شارع ابو بكر الصديق 3</t>
        </is>
      </c>
      <c r="G67" s="32" t="n">
        <v>46143</v>
      </c>
      <c r="H67" s="32" t="n">
        <v>46142</v>
      </c>
      <c r="I67" s="15" t="n"/>
      <c r="J67" s="18" t="inlineStr">
        <is>
          <t>22212055486555</t>
        </is>
      </c>
      <c r="K67" s="19" t="n">
        <v>10500</v>
      </c>
      <c r="L67" s="19" t="n">
        <v>10500</v>
      </c>
      <c r="M67" s="19" t="n">
        <v>10500</v>
      </c>
      <c r="N67" s="19" t="n">
        <v>10500</v>
      </c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>
        <f>SUM(K67:V67)</f>
        <v/>
      </c>
      <c r="X67" s="20" t="n"/>
    </row>
    <row r="68">
      <c r="A68" s="15" t="n">
        <v>66</v>
      </c>
      <c r="B68" s="15" t="inlineStr">
        <is>
          <t>ابو بكر</t>
        </is>
      </c>
      <c r="C68" s="16" t="inlineStr">
        <is>
          <t>شركة السلام للتسويق</t>
        </is>
      </c>
      <c r="D68" s="16" t="inlineStr">
        <is>
          <t>باسم حسين صبري</t>
        </is>
      </c>
      <c r="E68" s="15" t="inlineStr">
        <is>
          <t>608</t>
        </is>
      </c>
      <c r="F68" s="15" t="inlineStr">
        <is>
          <t>شارع ابو بكر الصديق 3</t>
        </is>
      </c>
      <c r="G68" s="32" t="n">
        <v>45839</v>
      </c>
      <c r="H68" s="32" t="n">
        <v>46203</v>
      </c>
      <c r="I68" s="15" t="n"/>
      <c r="J68" s="18" t="inlineStr">
        <is>
          <t>21497039356152</t>
        </is>
      </c>
      <c r="K68" s="19" t="n">
        <v>13000</v>
      </c>
      <c r="L68" s="19" t="n">
        <v>13000</v>
      </c>
      <c r="M68" s="19" t="n">
        <v>13000</v>
      </c>
      <c r="N68" s="19" t="n">
        <v>13000</v>
      </c>
      <c r="O68" s="19" t="n">
        <v>13000</v>
      </c>
      <c r="P68" s="19" t="n">
        <v>13000</v>
      </c>
      <c r="Q68" s="19" t="n"/>
      <c r="R68" s="19" t="n"/>
      <c r="S68" s="19" t="n"/>
      <c r="T68" s="19" t="n"/>
      <c r="U68" s="19" t="n"/>
      <c r="V68" s="19" t="n"/>
      <c r="W68" s="19">
        <f>SUM(K68:V68)</f>
        <v/>
      </c>
      <c r="X68" s="20" t="n"/>
    </row>
    <row r="69">
      <c r="A69" s="15" t="n">
        <v>67</v>
      </c>
      <c r="B69" s="15" t="inlineStr">
        <is>
          <t>ابو بكر</t>
        </is>
      </c>
      <c r="C69" s="16" t="inlineStr">
        <is>
          <t>شركة المستقبل للتنمية</t>
        </is>
      </c>
      <c r="D69" s="16" t="inlineStr">
        <is>
          <t>ريم فادي الخولي</t>
        </is>
      </c>
      <c r="E69" s="15" t="inlineStr">
        <is>
          <t>701</t>
        </is>
      </c>
      <c r="F69" s="15" t="inlineStr">
        <is>
          <t>شارع ابو بكر الصديق 3</t>
        </is>
      </c>
      <c r="G69" s="32" t="n">
        <v>45916</v>
      </c>
      <c r="H69" s="32" t="n">
        <v>46280</v>
      </c>
      <c r="I69" s="15" t="inlineStr">
        <is>
          <t>756-267-651</t>
        </is>
      </c>
      <c r="J69" s="18" t="inlineStr">
        <is>
          <t>21453385572731</t>
        </is>
      </c>
      <c r="K69" s="19" t="n">
        <v>17000</v>
      </c>
      <c r="L69" s="19" t="n">
        <v>17000</v>
      </c>
      <c r="M69" s="19" t="n">
        <v>17000</v>
      </c>
      <c r="N69" s="19" t="n">
        <v>17000</v>
      </c>
      <c r="O69" s="19" t="n">
        <v>17000</v>
      </c>
      <c r="P69" s="19" t="n">
        <v>17000</v>
      </c>
      <c r="Q69" s="19" t="n">
        <v>17000</v>
      </c>
      <c r="R69" s="19" t="n">
        <v>17000</v>
      </c>
      <c r="S69" s="19" t="n"/>
      <c r="T69" s="19" t="n"/>
      <c r="U69" s="19" t="n"/>
      <c r="V69" s="19" t="n"/>
      <c r="W69" s="19">
        <f>SUM(K69:V69)</f>
        <v/>
      </c>
      <c r="X69" s="16" t="n"/>
    </row>
    <row r="70">
      <c r="A70" s="15" t="n">
        <v>68</v>
      </c>
      <c r="B70" s="15" t="inlineStr">
        <is>
          <t>ابو بكر</t>
        </is>
      </c>
      <c r="C70" s="16" t="inlineStr">
        <is>
          <t>شركة النخبة للتنمية</t>
        </is>
      </c>
      <c r="D70" s="16" t="inlineStr">
        <is>
          <t>أحمد تامر الجندي</t>
        </is>
      </c>
      <c r="E70" s="15" t="inlineStr">
        <is>
          <t>703</t>
        </is>
      </c>
      <c r="F70" s="15" t="inlineStr">
        <is>
          <t>شارع ابو بكر الصديق 3</t>
        </is>
      </c>
      <c r="G70" s="32" t="n">
        <v>46204</v>
      </c>
      <c r="H70" s="32" t="n">
        <v>46568</v>
      </c>
      <c r="I70" s="15" t="n"/>
      <c r="J70" s="18" t="inlineStr">
        <is>
          <t>EM7579528</t>
        </is>
      </c>
      <c r="K70" s="19" t="n"/>
      <c r="L70" s="19" t="n"/>
      <c r="M70" s="19" t="n"/>
      <c r="N70" s="19" t="n"/>
      <c r="O70" s="19" t="n"/>
      <c r="P70" s="19" t="n"/>
      <c r="Q70" s="19" t="n">
        <v>20000</v>
      </c>
      <c r="R70" s="19" t="n">
        <v>20000</v>
      </c>
      <c r="S70" s="19" t="n"/>
      <c r="T70" s="19" t="n"/>
      <c r="U70" s="19" t="n"/>
      <c r="V70" s="19" t="n"/>
      <c r="W70" s="19">
        <f>SUM(K70:V70)</f>
        <v/>
      </c>
      <c r="X70" s="16" t="n"/>
    </row>
    <row r="71">
      <c r="A71" s="15" t="n">
        <v>69</v>
      </c>
      <c r="B71" s="15" t="inlineStr">
        <is>
          <t>ابو بكر</t>
        </is>
      </c>
      <c r="C71" s="16" t="inlineStr">
        <is>
          <t>شركة البركة للتسويق</t>
        </is>
      </c>
      <c r="D71" s="16" t="inlineStr">
        <is>
          <t>إبراهيم أحمد عبد الله</t>
        </is>
      </c>
      <c r="E71" s="15" t="inlineStr">
        <is>
          <t>704</t>
        </is>
      </c>
      <c r="F71" s="15" t="inlineStr">
        <is>
          <t>شارع ابو بكر الصديق 3</t>
        </is>
      </c>
      <c r="G71" s="32" t="n">
        <v>45946</v>
      </c>
      <c r="H71" s="32" t="n">
        <v>46310</v>
      </c>
      <c r="I71" s="15" t="n"/>
      <c r="J71" s="18" t="inlineStr">
        <is>
          <t>17587095</t>
        </is>
      </c>
      <c r="K71" s="19" t="n">
        <v>11000</v>
      </c>
      <c r="L71" s="19" t="n">
        <v>11000</v>
      </c>
      <c r="M71" s="19" t="n">
        <v>11000</v>
      </c>
      <c r="N71" s="19" t="n">
        <v>11000</v>
      </c>
      <c r="O71" s="19" t="n">
        <v>11000</v>
      </c>
      <c r="P71" s="19" t="n">
        <v>11000</v>
      </c>
      <c r="Q71" s="19" t="n">
        <v>11000</v>
      </c>
      <c r="R71" s="19" t="n"/>
      <c r="S71" s="19" t="n"/>
      <c r="T71" s="19" t="n"/>
      <c r="U71" s="19" t="n"/>
      <c r="V71" s="19" t="n"/>
      <c r="W71" s="19">
        <f>SUM(K71:V71)</f>
        <v/>
      </c>
      <c r="X71" s="16" t="n"/>
    </row>
    <row r="72">
      <c r="A72" s="15" t="n">
        <v>70</v>
      </c>
      <c r="B72" s="15" t="inlineStr">
        <is>
          <t>ابو بكر</t>
        </is>
      </c>
      <c r="C72" s="16" t="inlineStr">
        <is>
          <t>عمر مروان غانم</t>
        </is>
      </c>
      <c r="D72" s="16" t="inlineStr">
        <is>
          <t>عمر مروان غانم</t>
        </is>
      </c>
      <c r="E72" s="15" t="inlineStr">
        <is>
          <t>705</t>
        </is>
      </c>
      <c r="F72" s="15" t="inlineStr">
        <is>
          <t>شارع ابو بكر الصديق 3</t>
        </is>
      </c>
      <c r="G72" s="32" t="n">
        <v>45938</v>
      </c>
      <c r="H72" s="32" t="n">
        <v>46302</v>
      </c>
      <c r="I72" s="15" t="n"/>
      <c r="J72" s="18" t="inlineStr">
        <is>
          <t>O3328543</t>
        </is>
      </c>
      <c r="K72" s="19" t="n">
        <v>11000</v>
      </c>
      <c r="L72" s="19" t="n">
        <v>11000</v>
      </c>
      <c r="M72" s="19" t="n">
        <v>11000</v>
      </c>
      <c r="N72" s="19" t="n">
        <v>11000</v>
      </c>
      <c r="O72" s="19" t="n">
        <v>11000</v>
      </c>
      <c r="P72" s="19" t="n"/>
      <c r="Q72" s="19" t="n"/>
      <c r="R72" s="19" t="n"/>
      <c r="S72" s="19" t="n"/>
      <c r="T72" s="19" t="n"/>
      <c r="U72" s="19" t="n"/>
      <c r="V72" s="19" t="n"/>
      <c r="W72" s="19">
        <f>SUM(K72:V72)</f>
        <v/>
      </c>
      <c r="X72" s="16" t="n"/>
    </row>
    <row r="73">
      <c r="A73" s="15" t="n">
        <v>71</v>
      </c>
      <c r="B73" s="15" t="inlineStr">
        <is>
          <t>ابو بكر</t>
        </is>
      </c>
      <c r="C73" s="16" t="inlineStr">
        <is>
          <t>شركة الأمل للتسويق</t>
        </is>
      </c>
      <c r="D73" s="16" t="inlineStr">
        <is>
          <t>أحمد نادر البنا</t>
        </is>
      </c>
      <c r="E73" s="15" t="inlineStr">
        <is>
          <t>706</t>
        </is>
      </c>
      <c r="F73" s="15" t="inlineStr">
        <is>
          <t>شارع ابو بكر الصديق 3</t>
        </is>
      </c>
      <c r="G73" s="32" t="n">
        <v>45139</v>
      </c>
      <c r="H73" s="32" t="n">
        <v>46234</v>
      </c>
      <c r="I73" s="15" t="inlineStr">
        <is>
          <t>226-294-497</t>
        </is>
      </c>
      <c r="J73" s="18" t="inlineStr">
        <is>
          <t>24254910957165</t>
        </is>
      </c>
      <c r="K73" s="19" t="n">
        <v>10890</v>
      </c>
      <c r="L73" s="19" t="n">
        <v>10890</v>
      </c>
      <c r="M73" s="19" t="n">
        <v>10890</v>
      </c>
      <c r="N73" s="19" t="n">
        <v>10890</v>
      </c>
      <c r="O73" s="19" t="n">
        <v>10890</v>
      </c>
      <c r="P73" s="19" t="n">
        <v>10890</v>
      </c>
      <c r="Q73" s="19" t="n"/>
      <c r="R73" s="19" t="n"/>
      <c r="S73" s="19" t="n"/>
      <c r="T73" s="19" t="n"/>
      <c r="U73" s="19" t="n"/>
      <c r="V73" s="19" t="n"/>
      <c r="W73" s="19">
        <f>SUM(K73:V73)</f>
        <v/>
      </c>
      <c r="X73" s="16" t="n"/>
    </row>
    <row r="74">
      <c r="A74" s="15" t="n">
        <v>72</v>
      </c>
      <c r="B74" s="15" t="inlineStr">
        <is>
          <t>ابو بكر</t>
        </is>
      </c>
      <c r="C74" s="16" t="inlineStr">
        <is>
          <t>شركة الأفق للخدمات الطبية</t>
        </is>
      </c>
      <c r="D74" s="16" t="inlineStr">
        <is>
          <t>أحمد شريف بدوي</t>
        </is>
      </c>
      <c r="E74" s="15" t="inlineStr">
        <is>
          <t>707</t>
        </is>
      </c>
      <c r="F74" s="15" t="inlineStr">
        <is>
          <t>شارع ابو بكر الصديق 3</t>
        </is>
      </c>
      <c r="G74" s="32" t="n">
        <v>45901</v>
      </c>
      <c r="H74" s="32" t="n">
        <v>46265</v>
      </c>
      <c r="I74" s="15" t="n"/>
      <c r="J74" s="18" t="inlineStr">
        <is>
          <t>P73767314</t>
        </is>
      </c>
      <c r="K74" s="19" t="n">
        <v>13000</v>
      </c>
      <c r="L74" s="19" t="n">
        <v>13000</v>
      </c>
      <c r="M74" s="19" t="n">
        <v>13000</v>
      </c>
      <c r="N74" s="19" t="n">
        <v>13000</v>
      </c>
      <c r="O74" s="19" t="n">
        <v>13000</v>
      </c>
      <c r="P74" s="19" t="n">
        <v>13000</v>
      </c>
      <c r="Q74" s="19" t="n">
        <v>13000</v>
      </c>
      <c r="R74" s="19" t="n">
        <v>13000</v>
      </c>
      <c r="S74" s="19" t="n"/>
      <c r="T74" s="19" t="n"/>
      <c r="U74" s="19" t="n"/>
      <c r="V74" s="19" t="n"/>
      <c r="W74" s="19">
        <f>SUM(K74:V74)</f>
        <v/>
      </c>
      <c r="X74" s="16" t="n"/>
    </row>
    <row r="75">
      <c r="A75" s="15" t="n">
        <v>73</v>
      </c>
      <c r="B75" s="15" t="inlineStr">
        <is>
          <t>ابو بكر</t>
        </is>
      </c>
      <c r="C75" s="16" t="inlineStr">
        <is>
          <t>شركة الأفق للخدمات الطبية</t>
        </is>
      </c>
      <c r="D75" s="16" t="inlineStr">
        <is>
          <t>أحمد شريف بدوي</t>
        </is>
      </c>
      <c r="E75" s="15" t="inlineStr">
        <is>
          <t>708</t>
        </is>
      </c>
      <c r="F75" s="15" t="inlineStr">
        <is>
          <t>شارع ابو بكر الصديق 3</t>
        </is>
      </c>
      <c r="G75" s="32" t="n">
        <v>45931</v>
      </c>
      <c r="H75" s="32" t="n">
        <v>46295</v>
      </c>
      <c r="I75" s="15" t="n"/>
      <c r="J75" s="18" t="inlineStr">
        <is>
          <t>P73767314</t>
        </is>
      </c>
      <c r="K75" s="19" t="n">
        <v>13000</v>
      </c>
      <c r="L75" s="19" t="n">
        <v>13000</v>
      </c>
      <c r="M75" s="19" t="n">
        <v>13000</v>
      </c>
      <c r="N75" s="19" t="n">
        <v>13000</v>
      </c>
      <c r="O75" s="19" t="n">
        <v>13000</v>
      </c>
      <c r="P75" s="19" t="n">
        <v>13000</v>
      </c>
      <c r="Q75" s="19" t="n">
        <v>13000</v>
      </c>
      <c r="R75" s="19" t="n">
        <v>13000</v>
      </c>
      <c r="S75" s="19" t="n"/>
      <c r="T75" s="19" t="n"/>
      <c r="U75" s="19" t="n"/>
      <c r="V75" s="19" t="n"/>
      <c r="W75" s="19">
        <f>SUM(K75:V75)</f>
        <v/>
      </c>
      <c r="X75" s="16" t="n"/>
    </row>
    <row r="76">
      <c r="A76" s="21" t="n"/>
      <c r="B76" s="21" t="n"/>
      <c r="C76" s="21" t="inlineStr">
        <is>
          <t>الاجمالي العام</t>
        </is>
      </c>
      <c r="D76" s="21" t="n"/>
      <c r="E76" s="21" t="n"/>
      <c r="F76" s="21" t="n"/>
      <c r="G76" s="21" t="n"/>
      <c r="H76" s="21" t="n"/>
      <c r="I76" s="21" t="n"/>
      <c r="J76" s="21" t="n"/>
      <c r="K76" s="22">
        <f>SUM(K3:K75)</f>
        <v/>
      </c>
      <c r="L76" s="22">
        <f>SUM(L3:L75)</f>
        <v/>
      </c>
      <c r="M76" s="22">
        <f>SUM(M3:M75)</f>
        <v/>
      </c>
      <c r="N76" s="22">
        <f>SUM(N3:N75)</f>
        <v/>
      </c>
      <c r="O76" s="22">
        <f>SUM(O3:O75)</f>
        <v/>
      </c>
      <c r="P76" s="22">
        <f>SUM(P3:P75)</f>
        <v/>
      </c>
      <c r="Q76" s="22">
        <f>SUM(Q3:Q75)</f>
        <v/>
      </c>
      <c r="R76" s="22">
        <f>SUM(R3:R75)</f>
        <v/>
      </c>
      <c r="S76" s="22">
        <f>SUM(S3:S75)</f>
        <v/>
      </c>
      <c r="T76" s="22">
        <f>SUM(T3:T75)</f>
        <v/>
      </c>
      <c r="U76" s="22">
        <f>SUM(U3:U75)</f>
        <v/>
      </c>
      <c r="V76" s="22">
        <f>SUM(V3:V75)</f>
        <v/>
      </c>
      <c r="W76" s="22">
        <f>SUM(W3:W75)</f>
        <v/>
      </c>
      <c r="X76" s="21" t="n"/>
    </row>
  </sheetData>
  <autoFilter ref="A2:X75"/>
  <mergeCells count="1">
    <mergeCell ref="K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selection activeCell="A1" sqref="A1"/>
    </sheetView>
  </sheetViews>
  <sheetFormatPr baseColWidth="8" defaultRowHeight="14.4"/>
  <cols>
    <col width="18" customWidth="1" min="1" max="1"/>
    <col width="14" customWidth="1" min="2" max="2"/>
    <col width="18" customWidth="1" min="3" max="3"/>
  </cols>
  <sheetData>
    <row r="1">
      <c r="A1" s="2" t="inlineStr">
        <is>
          <t>المشروع</t>
        </is>
      </c>
      <c r="B1" s="2" t="inlineStr">
        <is>
          <t>عدد الوحدات</t>
        </is>
      </c>
      <c r="C1" s="23" t="inlineStr">
        <is>
          <t>الاجمالي</t>
        </is>
      </c>
    </row>
    <row r="2">
      <c r="A2" s="24" t="inlineStr">
        <is>
          <t>بابل</t>
        </is>
      </c>
      <c r="B2" s="24">
        <f>COUNTIF('2026'!B3:B75,A2)</f>
        <v/>
      </c>
      <c r="C2" s="25">
        <f>SUMIF('2026'!B3:B75,A2,'2026'!W3:W75)</f>
        <v/>
      </c>
    </row>
    <row r="3">
      <c r="A3" s="24" t="inlineStr">
        <is>
          <t>محيي الدين</t>
        </is>
      </c>
      <c r="B3" s="24">
        <f>COUNTIF('2026'!B3:B75,A3)</f>
        <v/>
      </c>
      <c r="C3" s="25">
        <f>SUMIF('2026'!B3:B75,A3,'2026'!W3:W75)</f>
        <v/>
      </c>
    </row>
    <row r="4">
      <c r="A4" s="24" t="inlineStr">
        <is>
          <t>ابو بكر</t>
        </is>
      </c>
      <c r="B4" s="24">
        <f>COUNTIF('2026'!B3:B75,A4)</f>
        <v/>
      </c>
      <c r="C4" s="25">
        <f>SUMIF('2026'!B3:B75,A4,'2026'!W3:W75)</f>
        <v/>
      </c>
    </row>
    <row r="5">
      <c r="A5" s="26" t="inlineStr">
        <is>
          <t>الاجمالي</t>
        </is>
      </c>
      <c r="B5" s="26">
        <f>SUM(B2:B4)</f>
        <v/>
      </c>
      <c r="C5" s="27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2026-10-08T15:05:53Z</dcterms:created>
  <dcterms:modified xmlns:dcterms="http://purl.org/dc/terms/" xmlns:xsi="http://www.w3.org/2001/XMLSchema-instance" xsi:type="dcterms:W3CDTF">2026-10-09T15:13:45Z</dcterms:modified>
  <cp:lastModifiedBy>Moataz Mahdy</cp:lastModifiedBy>
</cp:coreProperties>
</file>